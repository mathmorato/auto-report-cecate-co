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son\Dropbox\090_UFG\08_PTE - FAPPTE\19_6CTE\Relatorio\"/>
    </mc:Choice>
  </mc:AlternateContent>
  <xr:revisionPtr revIDLastSave="0" documentId="8_{8F01B307-0658-4DF9-90C4-64F9B66640C0}" xr6:coauthVersionLast="47" xr6:coauthVersionMax="47" xr10:uidLastSave="{00000000-0000-0000-0000-000000000000}"/>
  <bookViews>
    <workbookView xWindow="-120" yWindow="-120" windowWidth="20730" windowHeight="11160" firstSheet="1" activeTab="1" xr2:uid="{A4EF77FE-0DD3-495E-9828-3CE506D0B83F}"/>
  </bookViews>
  <sheets>
    <sheet name="P" sheetId="8" state="hidden" r:id="rId1"/>
    <sheet name="Certificado" sheetId="9" r:id="rId2"/>
    <sheet name="Presentes" sheetId="1" r:id="rId3"/>
    <sheet name="INS" sheetId="6" state="hidden" r:id="rId4"/>
    <sheet name="Inscritos" sheetId="3" r:id="rId5"/>
    <sheet name="Resumo " sheetId="4" r:id="rId6"/>
  </sheets>
  <definedNames>
    <definedName name="_xlnm._FilterDatabase" localSheetId="1" hidden="1">Certificado!$A$1:$F$93</definedName>
    <definedName name="_xlnm._FilterDatabase" localSheetId="4" hidden="1">Inscritos!$A$1:$N$91</definedName>
    <definedName name="_xlnm._FilterDatabase" localSheetId="2" hidden="1">Presentes!$A$1:$H$93</definedName>
    <definedName name="_xlnm._FilterDatabase" localSheetId="5" hidden="1">'Resumo '!$D$4:$H$44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6" i="3" l="1"/>
  <c r="M105" i="3"/>
  <c r="M82" i="3"/>
  <c r="M76" i="3"/>
  <c r="M72" i="3"/>
  <c r="M70" i="3"/>
  <c r="M65" i="3"/>
  <c r="M60" i="3"/>
  <c r="M50" i="3"/>
  <c r="M43" i="3"/>
  <c r="M41" i="3"/>
  <c r="M34" i="3"/>
  <c r="M31" i="3"/>
  <c r="M20" i="3"/>
  <c r="M19" i="3"/>
  <c r="M16" i="3"/>
  <c r="M12" i="3"/>
  <c r="M9" i="3"/>
  <c r="M4" i="3"/>
  <c r="H3" i="9"/>
  <c r="H4" i="9"/>
  <c r="H5" i="9"/>
  <c r="H6" i="9"/>
  <c r="H7" i="9"/>
  <c r="H8" i="9"/>
  <c r="H9" i="9"/>
  <c r="H10" i="9"/>
  <c r="H11" i="9"/>
  <c r="H47" i="9"/>
  <c r="H12" i="9"/>
  <c r="H13" i="9"/>
  <c r="H14" i="9"/>
  <c r="H15" i="9"/>
  <c r="H16" i="9"/>
  <c r="H37" i="9"/>
  <c r="H17" i="9"/>
  <c r="H18" i="9"/>
  <c r="H19" i="9"/>
  <c r="H48" i="9"/>
  <c r="H49" i="9"/>
  <c r="H41" i="9"/>
  <c r="H20" i="9"/>
  <c r="H21" i="9"/>
  <c r="H45" i="9"/>
  <c r="H46" i="9"/>
  <c r="H22" i="9"/>
  <c r="H39" i="9"/>
  <c r="H23" i="9"/>
  <c r="H24" i="9"/>
  <c r="H25" i="9"/>
  <c r="H26" i="9"/>
  <c r="H27" i="9"/>
  <c r="H28" i="9"/>
  <c r="H40" i="9"/>
  <c r="H29" i="9"/>
  <c r="H30" i="9"/>
  <c r="H38" i="9"/>
  <c r="H31" i="9"/>
  <c r="H32" i="9"/>
  <c r="H33" i="9"/>
  <c r="H34" i="9"/>
  <c r="H35" i="9"/>
  <c r="H36" i="9"/>
  <c r="H89" i="9"/>
  <c r="H50" i="9"/>
  <c r="H51" i="9"/>
  <c r="H52" i="9"/>
  <c r="H53" i="9"/>
  <c r="H54" i="9"/>
  <c r="H88" i="9"/>
  <c r="H87" i="9"/>
  <c r="H55" i="9"/>
  <c r="H56" i="9"/>
  <c r="H86" i="9"/>
  <c r="H57" i="9"/>
  <c r="H58" i="9"/>
  <c r="H59" i="9"/>
  <c r="H60" i="9"/>
  <c r="H61" i="9"/>
  <c r="H62" i="9"/>
  <c r="H63" i="9"/>
  <c r="H90" i="9"/>
  <c r="H64" i="9"/>
  <c r="H65" i="9"/>
  <c r="H66" i="9"/>
  <c r="H67" i="9"/>
  <c r="H92" i="9"/>
  <c r="H93" i="9"/>
  <c r="H68" i="9"/>
  <c r="H69" i="9"/>
  <c r="H43" i="9"/>
  <c r="H44" i="9"/>
  <c r="H42" i="9"/>
  <c r="H70" i="9"/>
  <c r="H71" i="9"/>
  <c r="H72" i="9"/>
  <c r="H73" i="9"/>
  <c r="H74" i="9"/>
  <c r="H75" i="9"/>
  <c r="H76" i="9"/>
  <c r="H77" i="9"/>
  <c r="H78" i="9"/>
  <c r="H91" i="9"/>
  <c r="H79" i="9"/>
  <c r="H80" i="9"/>
  <c r="H81" i="9"/>
  <c r="H82" i="9"/>
  <c r="H83" i="9"/>
  <c r="H84" i="9"/>
  <c r="H85" i="9"/>
  <c r="H2" i="9"/>
  <c r="D3" i="9"/>
  <c r="D4" i="9"/>
  <c r="D5" i="9"/>
  <c r="D6" i="9"/>
  <c r="D7" i="9"/>
  <c r="D8" i="9"/>
  <c r="D9" i="9"/>
  <c r="D10" i="9"/>
  <c r="D11" i="9"/>
  <c r="D47" i="9"/>
  <c r="D12" i="9"/>
  <c r="D13" i="9"/>
  <c r="D14" i="9"/>
  <c r="D15" i="9"/>
  <c r="D16" i="9"/>
  <c r="D37" i="9"/>
  <c r="D17" i="9"/>
  <c r="D18" i="9"/>
  <c r="D19" i="9"/>
  <c r="D48" i="9"/>
  <c r="D49" i="9"/>
  <c r="D41" i="9"/>
  <c r="D20" i="9"/>
  <c r="D21" i="9"/>
  <c r="D45" i="9"/>
  <c r="D46" i="9"/>
  <c r="D22" i="9"/>
  <c r="D39" i="9"/>
  <c r="D23" i="9"/>
  <c r="D24" i="9"/>
  <c r="D25" i="9"/>
  <c r="D26" i="9"/>
  <c r="D27" i="9"/>
  <c r="D28" i="9"/>
  <c r="D40" i="9"/>
  <c r="D29" i="9"/>
  <c r="D30" i="9"/>
  <c r="D38" i="9"/>
  <c r="D31" i="9"/>
  <c r="D32" i="9"/>
  <c r="D33" i="9"/>
  <c r="D34" i="9"/>
  <c r="D35" i="9"/>
  <c r="D36" i="9"/>
  <c r="D89" i="9"/>
  <c r="D50" i="9"/>
  <c r="D51" i="9"/>
  <c r="D52" i="9"/>
  <c r="D53" i="9"/>
  <c r="D54" i="9"/>
  <c r="D88" i="9"/>
  <c r="D87" i="9"/>
  <c r="D55" i="9"/>
  <c r="D56" i="9"/>
  <c r="D86" i="9"/>
  <c r="D57" i="9"/>
  <c r="D58" i="9"/>
  <c r="D59" i="9"/>
  <c r="D60" i="9"/>
  <c r="D61" i="9"/>
  <c r="D62" i="9"/>
  <c r="D63" i="9"/>
  <c r="D90" i="9"/>
  <c r="D64" i="9"/>
  <c r="D65" i="9"/>
  <c r="D66" i="9"/>
  <c r="D67" i="9"/>
  <c r="D92" i="9"/>
  <c r="D93" i="9"/>
  <c r="D68" i="9"/>
  <c r="D69" i="9"/>
  <c r="D43" i="9"/>
  <c r="D44" i="9"/>
  <c r="D42" i="9"/>
  <c r="D70" i="9"/>
  <c r="D71" i="9"/>
  <c r="D72" i="9"/>
  <c r="D73" i="9"/>
  <c r="D74" i="9"/>
  <c r="D75" i="9"/>
  <c r="D76" i="9"/>
  <c r="D77" i="9"/>
  <c r="D78" i="9"/>
  <c r="D91" i="9"/>
  <c r="D79" i="9"/>
  <c r="D80" i="9"/>
  <c r="D81" i="9"/>
  <c r="D82" i="9"/>
  <c r="D83" i="9"/>
  <c r="D84" i="9"/>
  <c r="D85" i="9"/>
  <c r="D2" i="9"/>
  <c r="C3" i="9"/>
  <c r="C4" i="9"/>
  <c r="C5" i="9"/>
  <c r="C6" i="9"/>
  <c r="C7" i="9"/>
  <c r="C8" i="9"/>
  <c r="C9" i="9"/>
  <c r="C10" i="9"/>
  <c r="C11" i="9"/>
  <c r="C47" i="9"/>
  <c r="C12" i="9"/>
  <c r="C13" i="9"/>
  <c r="C14" i="9"/>
  <c r="C15" i="9"/>
  <c r="C16" i="9"/>
  <c r="C37" i="9"/>
  <c r="C17" i="9"/>
  <c r="C18" i="9"/>
  <c r="C19" i="9"/>
  <c r="C48" i="9"/>
  <c r="C49" i="9"/>
  <c r="C41" i="9"/>
  <c r="C20" i="9"/>
  <c r="C21" i="9"/>
  <c r="C45" i="9"/>
  <c r="C46" i="9"/>
  <c r="C22" i="9"/>
  <c r="C39" i="9"/>
  <c r="C23" i="9"/>
  <c r="C24" i="9"/>
  <c r="C25" i="9"/>
  <c r="C26" i="9"/>
  <c r="C27" i="9"/>
  <c r="C28" i="9"/>
  <c r="C40" i="9"/>
  <c r="C29" i="9"/>
  <c r="C30" i="9"/>
  <c r="C38" i="9"/>
  <c r="C31" i="9"/>
  <c r="C32" i="9"/>
  <c r="C33" i="9"/>
  <c r="C34" i="9"/>
  <c r="C35" i="9"/>
  <c r="C36" i="9"/>
  <c r="C89" i="9"/>
  <c r="C50" i="9"/>
  <c r="C51" i="9"/>
  <c r="C52" i="9"/>
  <c r="C53" i="9"/>
  <c r="C54" i="9"/>
  <c r="C88" i="9"/>
  <c r="C87" i="9"/>
  <c r="C55" i="9"/>
  <c r="C56" i="9"/>
  <c r="C86" i="9"/>
  <c r="C57" i="9"/>
  <c r="C58" i="9"/>
  <c r="C59" i="9"/>
  <c r="C60" i="9"/>
  <c r="C61" i="9"/>
  <c r="C62" i="9"/>
  <c r="C63" i="9"/>
  <c r="C90" i="9"/>
  <c r="C64" i="9"/>
  <c r="C65" i="9"/>
  <c r="C66" i="9"/>
  <c r="C67" i="9"/>
  <c r="C92" i="9"/>
  <c r="C93" i="9"/>
  <c r="C68" i="9"/>
  <c r="C69" i="9"/>
  <c r="C43" i="9"/>
  <c r="C44" i="9"/>
  <c r="C42" i="9"/>
  <c r="C70" i="9"/>
  <c r="C71" i="9"/>
  <c r="C72" i="9"/>
  <c r="C73" i="9"/>
  <c r="C74" i="9"/>
  <c r="C75" i="9"/>
  <c r="C76" i="9"/>
  <c r="C77" i="9"/>
  <c r="C78" i="9"/>
  <c r="C91" i="9"/>
  <c r="C79" i="9"/>
  <c r="C80" i="9"/>
  <c r="C81" i="9"/>
  <c r="C82" i="9"/>
  <c r="C83" i="9"/>
  <c r="C84" i="9"/>
  <c r="C85" i="9"/>
  <c r="C2" i="9"/>
  <c r="B3" i="9"/>
  <c r="B4" i="9"/>
  <c r="B5" i="9"/>
  <c r="B6" i="9"/>
  <c r="B7" i="9"/>
  <c r="B8" i="9"/>
  <c r="B9" i="9"/>
  <c r="B10" i="9"/>
  <c r="B11" i="9"/>
  <c r="B47" i="9"/>
  <c r="B12" i="9"/>
  <c r="B13" i="9"/>
  <c r="B14" i="9"/>
  <c r="B15" i="9"/>
  <c r="B16" i="9"/>
  <c r="B37" i="9"/>
  <c r="B17" i="9"/>
  <c r="B18" i="9"/>
  <c r="B19" i="9"/>
  <c r="B48" i="9"/>
  <c r="B49" i="9"/>
  <c r="B41" i="9"/>
  <c r="B20" i="9"/>
  <c r="B21" i="9"/>
  <c r="B45" i="9"/>
  <c r="B46" i="9"/>
  <c r="B22" i="9"/>
  <c r="B39" i="9"/>
  <c r="B23" i="9"/>
  <c r="B24" i="9"/>
  <c r="B25" i="9"/>
  <c r="B26" i="9"/>
  <c r="B27" i="9"/>
  <c r="B28" i="9"/>
  <c r="B40" i="9"/>
  <c r="B29" i="9"/>
  <c r="B30" i="9"/>
  <c r="B38" i="9"/>
  <c r="B31" i="9"/>
  <c r="B32" i="9"/>
  <c r="B33" i="9"/>
  <c r="B34" i="9"/>
  <c r="B35" i="9"/>
  <c r="B36" i="9"/>
  <c r="B89" i="9"/>
  <c r="B50" i="9"/>
  <c r="B51" i="9"/>
  <c r="B52" i="9"/>
  <c r="B53" i="9"/>
  <c r="B54" i="9"/>
  <c r="B88" i="9"/>
  <c r="B87" i="9"/>
  <c r="B55" i="9"/>
  <c r="B56" i="9"/>
  <c r="B86" i="9"/>
  <c r="B57" i="9"/>
  <c r="B58" i="9"/>
  <c r="B59" i="9"/>
  <c r="B60" i="9"/>
  <c r="B61" i="9"/>
  <c r="B62" i="9"/>
  <c r="B63" i="9"/>
  <c r="B90" i="9"/>
  <c r="B64" i="9"/>
  <c r="B65" i="9"/>
  <c r="B66" i="9"/>
  <c r="B67" i="9"/>
  <c r="B92" i="9"/>
  <c r="B93" i="9"/>
  <c r="B68" i="9"/>
  <c r="B69" i="9"/>
  <c r="B43" i="9"/>
  <c r="B44" i="9"/>
  <c r="B42" i="9"/>
  <c r="B70" i="9"/>
  <c r="B71" i="9"/>
  <c r="B72" i="9"/>
  <c r="B73" i="9"/>
  <c r="B74" i="9"/>
  <c r="B75" i="9"/>
  <c r="B76" i="9"/>
  <c r="B77" i="9"/>
  <c r="B78" i="9"/>
  <c r="B91" i="9"/>
  <c r="B79" i="9"/>
  <c r="B80" i="9"/>
  <c r="B81" i="9"/>
  <c r="B82" i="9"/>
  <c r="B83" i="9"/>
  <c r="B84" i="9"/>
  <c r="B85" i="9"/>
  <c r="B2" i="9"/>
  <c r="F85" i="9"/>
  <c r="E85" i="9"/>
  <c r="F84" i="9"/>
  <c r="E84" i="9"/>
  <c r="F83" i="9"/>
  <c r="E83" i="9"/>
  <c r="F82" i="9"/>
  <c r="E82" i="9"/>
  <c r="F81" i="9"/>
  <c r="E81" i="9"/>
  <c r="F80" i="9"/>
  <c r="E80" i="9"/>
  <c r="F79" i="9"/>
  <c r="E79" i="9"/>
  <c r="F91" i="9"/>
  <c r="E91" i="9"/>
  <c r="F78" i="9"/>
  <c r="E78" i="9"/>
  <c r="F77" i="9"/>
  <c r="E77" i="9"/>
  <c r="F76" i="9"/>
  <c r="E76" i="9"/>
  <c r="F75" i="9"/>
  <c r="E75" i="9"/>
  <c r="F74" i="9"/>
  <c r="E74" i="9"/>
  <c r="F73" i="9"/>
  <c r="E73" i="9"/>
  <c r="F72" i="9"/>
  <c r="E72" i="9"/>
  <c r="F71" i="9"/>
  <c r="E71" i="9"/>
  <c r="F70" i="9"/>
  <c r="E70" i="9"/>
  <c r="F42" i="9"/>
  <c r="E42" i="9"/>
  <c r="F44" i="9"/>
  <c r="E44" i="9"/>
  <c r="F43" i="9"/>
  <c r="E43" i="9"/>
  <c r="F69" i="9"/>
  <c r="E69" i="9"/>
  <c r="F68" i="9"/>
  <c r="E68" i="9"/>
  <c r="F93" i="9"/>
  <c r="E93" i="9"/>
  <c r="F92" i="9"/>
  <c r="E92" i="9"/>
  <c r="F67" i="9"/>
  <c r="E67" i="9"/>
  <c r="F66" i="9"/>
  <c r="E66" i="9"/>
  <c r="F65" i="9"/>
  <c r="E65" i="9"/>
  <c r="F64" i="9"/>
  <c r="E64" i="9"/>
  <c r="F90" i="9"/>
  <c r="E90" i="9"/>
  <c r="F63" i="9"/>
  <c r="E63" i="9"/>
  <c r="F62" i="9"/>
  <c r="E62" i="9"/>
  <c r="F61" i="9"/>
  <c r="E61" i="9"/>
  <c r="F60" i="9"/>
  <c r="E60" i="9"/>
  <c r="F59" i="9"/>
  <c r="E59" i="9"/>
  <c r="F58" i="9"/>
  <c r="E58" i="9"/>
  <c r="F57" i="9"/>
  <c r="E57" i="9"/>
  <c r="F86" i="9"/>
  <c r="E86" i="9"/>
  <c r="F56" i="9"/>
  <c r="E56" i="9"/>
  <c r="F55" i="9"/>
  <c r="E55" i="9"/>
  <c r="F87" i="9"/>
  <c r="E87" i="9"/>
  <c r="F88" i="9"/>
  <c r="E88" i="9"/>
  <c r="F54" i="9"/>
  <c r="E54" i="9"/>
  <c r="F53" i="9"/>
  <c r="E53" i="9"/>
  <c r="F52" i="9"/>
  <c r="E52" i="9"/>
  <c r="F51" i="9"/>
  <c r="E51" i="9"/>
  <c r="F50" i="9"/>
  <c r="E50" i="9"/>
  <c r="F89" i="9"/>
  <c r="E89" i="9"/>
  <c r="F36" i="9"/>
  <c r="E36" i="9"/>
  <c r="F35" i="9"/>
  <c r="E35" i="9"/>
  <c r="F34" i="9"/>
  <c r="E34" i="9"/>
  <c r="F33" i="9"/>
  <c r="E33" i="9"/>
  <c r="F32" i="9"/>
  <c r="E32" i="9"/>
  <c r="F31" i="9"/>
  <c r="E31" i="9"/>
  <c r="F38" i="9"/>
  <c r="E38" i="9"/>
  <c r="F30" i="9"/>
  <c r="E30" i="9"/>
  <c r="F29" i="9"/>
  <c r="E29" i="9"/>
  <c r="F40" i="9"/>
  <c r="E40" i="9"/>
  <c r="F28" i="9"/>
  <c r="E28" i="9"/>
  <c r="F27" i="9"/>
  <c r="E27" i="9"/>
  <c r="F26" i="9"/>
  <c r="E26" i="9"/>
  <c r="F25" i="9"/>
  <c r="E25" i="9"/>
  <c r="F24" i="9"/>
  <c r="E24" i="9"/>
  <c r="F23" i="9"/>
  <c r="E23" i="9"/>
  <c r="F39" i="9"/>
  <c r="E39" i="9"/>
  <c r="F22" i="9"/>
  <c r="E22" i="9"/>
  <c r="F46" i="9"/>
  <c r="E46" i="9"/>
  <c r="F45" i="9"/>
  <c r="E45" i="9"/>
  <c r="F21" i="9"/>
  <c r="E21" i="9"/>
  <c r="F20" i="9"/>
  <c r="E20" i="9"/>
  <c r="F41" i="9"/>
  <c r="E41" i="9"/>
  <c r="F49" i="9"/>
  <c r="E49" i="9"/>
  <c r="F48" i="9"/>
  <c r="E48" i="9"/>
  <c r="F19" i="9"/>
  <c r="E19" i="9"/>
  <c r="F18" i="9"/>
  <c r="E18" i="9"/>
  <c r="F17" i="9"/>
  <c r="E17" i="9"/>
  <c r="F37" i="9"/>
  <c r="E37" i="9"/>
  <c r="F16" i="9"/>
  <c r="E16" i="9"/>
  <c r="F15" i="9"/>
  <c r="E15" i="9"/>
  <c r="F14" i="9"/>
  <c r="E14" i="9"/>
  <c r="F13" i="9"/>
  <c r="E13" i="9"/>
  <c r="F12" i="9"/>
  <c r="E12" i="9"/>
  <c r="F47" i="9"/>
  <c r="E47" i="9"/>
  <c r="F11" i="9"/>
  <c r="E11" i="9"/>
  <c r="F10" i="9"/>
  <c r="E10" i="9"/>
  <c r="F9" i="9"/>
  <c r="E9" i="9"/>
  <c r="F8" i="9"/>
  <c r="E8" i="9"/>
  <c r="F7" i="9"/>
  <c r="E7" i="9"/>
  <c r="F6" i="9"/>
  <c r="E6" i="9"/>
  <c r="F5" i="9"/>
  <c r="E5" i="9"/>
  <c r="F4" i="9"/>
  <c r="E4" i="9"/>
  <c r="F3" i="9"/>
  <c r="E3" i="9"/>
  <c r="F2" i="9"/>
  <c r="E2" i="9"/>
  <c r="Q46" i="4" l="1"/>
  <c r="Q45" i="4"/>
  <c r="Q42" i="4"/>
  <c r="O5" i="4"/>
  <c r="P5" i="4"/>
  <c r="O6" i="4"/>
  <c r="P6" i="4"/>
  <c r="O7" i="4"/>
  <c r="P7" i="4"/>
  <c r="O8" i="4"/>
  <c r="P8" i="4"/>
  <c r="O9" i="4"/>
  <c r="P9" i="4"/>
  <c r="O10" i="4"/>
  <c r="P10" i="4"/>
  <c r="O11" i="4"/>
  <c r="P11" i="4"/>
  <c r="O12" i="4"/>
  <c r="P12" i="4"/>
  <c r="O13" i="4"/>
  <c r="P13" i="4"/>
  <c r="O14" i="4"/>
  <c r="P14" i="4"/>
  <c r="O15" i="4"/>
  <c r="P15" i="4"/>
  <c r="O16" i="4"/>
  <c r="P16" i="4"/>
  <c r="O17" i="4"/>
  <c r="P17" i="4"/>
  <c r="O18" i="4"/>
  <c r="P18" i="4"/>
  <c r="O19" i="4"/>
  <c r="P19" i="4"/>
  <c r="O20" i="4"/>
  <c r="P20" i="4"/>
  <c r="O21" i="4"/>
  <c r="P21" i="4"/>
  <c r="O22" i="4"/>
  <c r="P22" i="4"/>
  <c r="O23" i="4"/>
  <c r="P23" i="4"/>
  <c r="O24" i="4"/>
  <c r="P24" i="4"/>
  <c r="O25" i="4"/>
  <c r="P25" i="4"/>
  <c r="O26" i="4"/>
  <c r="P26" i="4"/>
  <c r="O27" i="4"/>
  <c r="P27" i="4"/>
  <c r="O28" i="4"/>
  <c r="P28" i="4"/>
  <c r="O29" i="4"/>
  <c r="P29" i="4"/>
  <c r="O30" i="4"/>
  <c r="P30" i="4"/>
  <c r="O31" i="4"/>
  <c r="P31" i="4"/>
  <c r="O32" i="4"/>
  <c r="P32" i="4"/>
  <c r="O33" i="4"/>
  <c r="P33" i="4"/>
  <c r="O34" i="4"/>
  <c r="P34" i="4"/>
  <c r="O35" i="4"/>
  <c r="P35" i="4"/>
  <c r="O36" i="4"/>
  <c r="P36" i="4"/>
  <c r="O37" i="4"/>
  <c r="P37" i="4"/>
  <c r="O38" i="4"/>
  <c r="P38" i="4"/>
  <c r="O39" i="4"/>
  <c r="P39" i="4"/>
  <c r="O40" i="4"/>
  <c r="P40" i="4"/>
  <c r="O41" i="4"/>
  <c r="P41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5" i="4"/>
  <c r="O3" i="4"/>
  <c r="P3" i="4"/>
  <c r="N3" i="4"/>
  <c r="N2" i="4"/>
  <c r="O2" i="4"/>
  <c r="P2" i="4"/>
  <c r="J6" i="4"/>
  <c r="K6" i="4"/>
  <c r="J7" i="4"/>
  <c r="K7" i="4"/>
  <c r="J8" i="4"/>
  <c r="K8" i="4"/>
  <c r="L8" i="4" s="1"/>
  <c r="J9" i="4"/>
  <c r="K9" i="4"/>
  <c r="J10" i="4"/>
  <c r="K10" i="4"/>
  <c r="J11" i="4"/>
  <c r="K11" i="4"/>
  <c r="J12" i="4"/>
  <c r="K12" i="4"/>
  <c r="L12" i="4" s="1"/>
  <c r="J13" i="4"/>
  <c r="K13" i="4"/>
  <c r="J14" i="4"/>
  <c r="K14" i="4"/>
  <c r="J15" i="4"/>
  <c r="K15" i="4"/>
  <c r="J16" i="4"/>
  <c r="K16" i="4"/>
  <c r="L16" i="4" s="1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L32" i="4" s="1"/>
  <c r="J33" i="4"/>
  <c r="K33" i="4"/>
  <c r="J34" i="4"/>
  <c r="K34" i="4"/>
  <c r="J35" i="4"/>
  <c r="K35" i="4"/>
  <c r="J36" i="4"/>
  <c r="K36" i="4"/>
  <c r="J37" i="4"/>
  <c r="K37" i="4"/>
  <c r="J38" i="4"/>
  <c r="K38" i="4"/>
  <c r="J39" i="4"/>
  <c r="K39" i="4"/>
  <c r="J40" i="4"/>
  <c r="K40" i="4"/>
  <c r="J41" i="4"/>
  <c r="K41" i="4"/>
  <c r="K5" i="4"/>
  <c r="J5" i="4"/>
  <c r="H40" i="4"/>
  <c r="G40" i="4"/>
  <c r="G3" i="1"/>
  <c r="H3" i="1"/>
  <c r="G4" i="1"/>
  <c r="H4" i="1"/>
  <c r="G7" i="4" s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6" i="4" s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H2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2" i="1"/>
  <c r="H6" i="4"/>
  <c r="G8" i="4"/>
  <c r="H8" i="4"/>
  <c r="G9" i="4"/>
  <c r="H9" i="4"/>
  <c r="G10" i="4"/>
  <c r="H10" i="4"/>
  <c r="G11" i="4"/>
  <c r="H11" i="4"/>
  <c r="G12" i="4"/>
  <c r="H12" i="4"/>
  <c r="G13" i="4"/>
  <c r="H13" i="4"/>
  <c r="G14" i="4"/>
  <c r="H14" i="4"/>
  <c r="G15" i="4"/>
  <c r="H15" i="4"/>
  <c r="G16" i="4"/>
  <c r="H16" i="4"/>
  <c r="G17" i="4"/>
  <c r="H17" i="4"/>
  <c r="G18" i="4"/>
  <c r="H18" i="4"/>
  <c r="G19" i="4"/>
  <c r="H19" i="4"/>
  <c r="G20" i="4"/>
  <c r="H20" i="4"/>
  <c r="G21" i="4"/>
  <c r="H21" i="4"/>
  <c r="G22" i="4"/>
  <c r="H22" i="4"/>
  <c r="G23" i="4"/>
  <c r="H23" i="4"/>
  <c r="G24" i="4"/>
  <c r="H24" i="4"/>
  <c r="G25" i="4"/>
  <c r="H25" i="4"/>
  <c r="G26" i="4"/>
  <c r="H26" i="4"/>
  <c r="G27" i="4"/>
  <c r="H27" i="4"/>
  <c r="G28" i="4"/>
  <c r="H28" i="4"/>
  <c r="G29" i="4"/>
  <c r="H29" i="4"/>
  <c r="G30" i="4"/>
  <c r="H30" i="4"/>
  <c r="G31" i="4"/>
  <c r="H31" i="4"/>
  <c r="G32" i="4"/>
  <c r="H32" i="4"/>
  <c r="G33" i="4"/>
  <c r="H33" i="4"/>
  <c r="G34" i="4"/>
  <c r="H34" i="4"/>
  <c r="G35" i="4"/>
  <c r="H35" i="4"/>
  <c r="G36" i="4"/>
  <c r="H36" i="4"/>
  <c r="G37" i="4"/>
  <c r="H37" i="4"/>
  <c r="G38" i="4"/>
  <c r="H38" i="4"/>
  <c r="G39" i="4"/>
  <c r="H39" i="4"/>
  <c r="G41" i="4"/>
  <c r="H41" i="4"/>
  <c r="H5" i="4"/>
  <c r="G5" i="4"/>
  <c r="L41" i="4" l="1"/>
  <c r="L37" i="4"/>
  <c r="L33" i="4"/>
  <c r="L29" i="4"/>
  <c r="L25" i="4"/>
  <c r="L21" i="4"/>
  <c r="L17" i="4"/>
  <c r="L40" i="4"/>
  <c r="L36" i="4"/>
  <c r="L28" i="4"/>
  <c r="L24" i="4"/>
  <c r="L18" i="4"/>
  <c r="I40" i="4"/>
  <c r="L13" i="4"/>
  <c r="L11" i="4"/>
  <c r="L9" i="4"/>
  <c r="L34" i="4"/>
  <c r="L31" i="4"/>
  <c r="L23" i="4"/>
  <c r="L14" i="4"/>
  <c r="L7" i="4"/>
  <c r="L19" i="4"/>
  <c r="L10" i="4"/>
  <c r="L39" i="4"/>
  <c r="L26" i="4"/>
  <c r="L38" i="4"/>
  <c r="L35" i="4"/>
  <c r="L30" i="4"/>
  <c r="L27" i="4"/>
  <c r="L22" i="4"/>
  <c r="L20" i="4"/>
  <c r="L15" i="4"/>
  <c r="L6" i="4"/>
  <c r="H7" i="4"/>
  <c r="I7" i="4" s="1"/>
  <c r="J43" i="4"/>
  <c r="J42" i="4"/>
  <c r="L5" i="4"/>
  <c r="K42" i="4"/>
  <c r="K43" i="4"/>
  <c r="I6" i="4"/>
  <c r="I13" i="4"/>
  <c r="I5" i="4"/>
  <c r="I14" i="4"/>
  <c r="I10" i="4"/>
  <c r="I36" i="4"/>
  <c r="I28" i="4"/>
  <c r="I21" i="4"/>
  <c r="I39" i="4"/>
  <c r="I35" i="4"/>
  <c r="I31" i="4"/>
  <c r="I27" i="4"/>
  <c r="I20" i="4"/>
  <c r="I16" i="4"/>
  <c r="I12" i="4"/>
  <c r="I8" i="4"/>
  <c r="G42" i="4"/>
  <c r="G43" i="4"/>
  <c r="I38" i="4"/>
  <c r="I34" i="4"/>
  <c r="I30" i="4"/>
  <c r="I26" i="4"/>
  <c r="I23" i="4"/>
  <c r="I19" i="4"/>
  <c r="I15" i="4"/>
  <c r="I11" i="4"/>
  <c r="I37" i="4"/>
  <c r="I33" i="4"/>
  <c r="I29" i="4"/>
  <c r="I25" i="4"/>
  <c r="I22" i="4"/>
  <c r="I18" i="4"/>
  <c r="I41" i="4"/>
  <c r="I32" i="4"/>
  <c r="I24" i="4"/>
  <c r="I17" i="4"/>
  <c r="I9" i="4"/>
  <c r="N43" i="4" l="1"/>
  <c r="N42" i="4"/>
  <c r="H43" i="4"/>
  <c r="O43" i="4" s="1"/>
  <c r="H42" i="4"/>
  <c r="O42" i="4" s="1"/>
  <c r="L43" i="4"/>
  <c r="I43" i="4"/>
  <c r="L42" i="4"/>
  <c r="I42" i="4"/>
  <c r="P42" i="4" l="1"/>
  <c r="P43" i="4"/>
</calcChain>
</file>

<file path=xl/sharedStrings.xml><?xml version="1.0" encoding="utf-8"?>
<sst xmlns="http://schemas.openxmlformats.org/spreadsheetml/2006/main" count="2927" uniqueCount="714">
  <si>
    <t>Carimbo de data/hora</t>
  </si>
  <si>
    <t>Endereço de e-mail</t>
  </si>
  <si>
    <t>Nome Completo:</t>
  </si>
  <si>
    <t>CPF</t>
  </si>
  <si>
    <t>Você já está inscrito no Curso de Capacitação em Transporte Escolar?</t>
  </si>
  <si>
    <t>Data de Nascimento</t>
  </si>
  <si>
    <t>Telefone (XX)XXXXX-XXXX</t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</si>
  <si>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</si>
  <si>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</si>
  <si>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</si>
  <si>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</si>
  <si>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</si>
  <si>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Cidade</t>
  </si>
  <si>
    <t>Função</t>
  </si>
  <si>
    <t>garai.wender@gmail.com</t>
  </si>
  <si>
    <t>Wender Luiz Farias Garai</t>
  </si>
  <si>
    <t>971.277.281-00</t>
  </si>
  <si>
    <t>Sim</t>
  </si>
  <si>
    <t>Amambai</t>
  </si>
  <si>
    <t>CACS-FUNDEB</t>
  </si>
  <si>
    <t>profosmar@hotmail.com</t>
  </si>
  <si>
    <t>Osmar Aparecido Delvecchio</t>
  </si>
  <si>
    <t>319.591.219-87</t>
  </si>
  <si>
    <t>valdemarantonio5@hotmail.com</t>
  </si>
  <si>
    <t>Valdemar Antônio de Oliveira</t>
  </si>
  <si>
    <t>372.774.131-72</t>
  </si>
  <si>
    <t>Gestão municipal</t>
  </si>
  <si>
    <t>edinaldo_s_silva@hotmail.com</t>
  </si>
  <si>
    <t>Edinaldo Silva</t>
  </si>
  <si>
    <t>830.554.871-68</t>
  </si>
  <si>
    <t>osmair_garcia@hotmail.com</t>
  </si>
  <si>
    <t>Osmair Alves Garcia</t>
  </si>
  <si>
    <t>796.398.951-72</t>
  </si>
  <si>
    <t>Anaurilândia</t>
  </si>
  <si>
    <t>nenemdaolaria@yahoo.com.br</t>
  </si>
  <si>
    <t>Edson Umbelino</t>
  </si>
  <si>
    <t>554.765.201-63</t>
  </si>
  <si>
    <t>ricardosm2002@hotmail.com</t>
  </si>
  <si>
    <t>Ricardo Souza Marchini</t>
  </si>
  <si>
    <t>022.616.841-77</t>
  </si>
  <si>
    <t>Angélica</t>
  </si>
  <si>
    <t>fv747993@gmail.com</t>
  </si>
  <si>
    <t>José Fernando Vieira da Silva</t>
  </si>
  <si>
    <t>005.338.441-50</t>
  </si>
  <si>
    <t>marcosantoniokol17@gmail.com</t>
  </si>
  <si>
    <t>Marcos Antônio Kol Rudes</t>
  </si>
  <si>
    <t>088.101.191-69</t>
  </si>
  <si>
    <t>Aral Moreira</t>
  </si>
  <si>
    <t>martavlrigon@gmail.com</t>
  </si>
  <si>
    <t>Marta Vieira Leite Rigon</t>
  </si>
  <si>
    <t>906.974.991-20</t>
  </si>
  <si>
    <t>rafaelfilho.sofia@gmail.com</t>
  </si>
  <si>
    <t>Rafael Aparecido da Silva Bezerra</t>
  </si>
  <si>
    <t>028.916.671-31</t>
  </si>
  <si>
    <t>Não</t>
  </si>
  <si>
    <t>(67) 98182-7265</t>
  </si>
  <si>
    <t>Bataguassu</t>
  </si>
  <si>
    <t>Coordenador do Transporte Escolar</t>
  </si>
  <si>
    <t>alcenirlima2025semec@gmail.com</t>
  </si>
  <si>
    <t>Alcenir Rodrigues de Lima</t>
  </si>
  <si>
    <t>365.252.431-49</t>
  </si>
  <si>
    <t>vanderleifreitas722@gmail.com</t>
  </si>
  <si>
    <t>Vanderlei de Freitas Santos</t>
  </si>
  <si>
    <t>019.226.361-77</t>
  </si>
  <si>
    <t>Batayporã</t>
  </si>
  <si>
    <t>smec2018@outlook.com</t>
  </si>
  <si>
    <t>Adriana Ramos da Silva</t>
  </si>
  <si>
    <t>015.884.291-05</t>
  </si>
  <si>
    <t>cidamirandasilva@gmail.com</t>
  </si>
  <si>
    <t>Maria Aparecida Miranda da Silva</t>
  </si>
  <si>
    <t>481.570.661-15</t>
  </si>
  <si>
    <t>leiasouzass@hotmail.com</t>
  </si>
  <si>
    <t>Leia Maria de Jesus Souza</t>
  </si>
  <si>
    <t>797.993.701-59</t>
  </si>
  <si>
    <t>davi.v.lopes@hotmail.com</t>
  </si>
  <si>
    <t>Davi Vieira Lopes</t>
  </si>
  <si>
    <t>840.823.481-15</t>
  </si>
  <si>
    <t>Caarapó</t>
  </si>
  <si>
    <t>bell-ifsm@hotmail.com</t>
  </si>
  <si>
    <t>Isabel Fernandes Santos</t>
  </si>
  <si>
    <t>876.656.541-34</t>
  </si>
  <si>
    <t>josilaineneves01@gmail.com</t>
  </si>
  <si>
    <t>Josilâine Neves da Silva</t>
  </si>
  <si>
    <t>032.679.841-22</t>
  </si>
  <si>
    <t>geigyson@gmail.com</t>
  </si>
  <si>
    <t>Geigyson Mendonça Ribeiro</t>
  </si>
  <si>
    <t>003.625.511-46</t>
  </si>
  <si>
    <t>(67)9689-2918</t>
  </si>
  <si>
    <t>Instrutor de Informática</t>
  </si>
  <si>
    <t>franzwillians@gmail.com</t>
  </si>
  <si>
    <t>Franz Willians Coimbra Martins</t>
  </si>
  <si>
    <t>851.073.361-91</t>
  </si>
  <si>
    <t>Cassilândia</t>
  </si>
  <si>
    <t>romeugoulart@gmail.com</t>
  </si>
  <si>
    <t>Romeu Goulart da Silva</t>
  </si>
  <si>
    <t>312.097.501-04</t>
  </si>
  <si>
    <t>prof_jcarvalho@outlook.com</t>
  </si>
  <si>
    <t>Jucimar Carvalho Chaves</t>
  </si>
  <si>
    <t>031.051.231-05</t>
  </si>
  <si>
    <t>Coronel Sapucaia</t>
  </si>
  <si>
    <t>gislenemfarias@hotmail.com</t>
  </si>
  <si>
    <t>Gislene Aparecida Micuinha Farias</t>
  </si>
  <si>
    <t>519.164.361-53</t>
  </si>
  <si>
    <t>(67)99963-8701</t>
  </si>
  <si>
    <t>Prestação de contas</t>
  </si>
  <si>
    <t>Não tem</t>
  </si>
  <si>
    <t>cleberfaria5552@gmail.com</t>
  </si>
  <si>
    <t>Cleber Roza de Faria</t>
  </si>
  <si>
    <t>982.073.261-15</t>
  </si>
  <si>
    <t>Deodápolis</t>
  </si>
  <si>
    <t>anapedrodugordo12@gmail.com</t>
  </si>
  <si>
    <t>Ana Cecília Santos Oliveira</t>
  </si>
  <si>
    <t>022.800.451-92</t>
  </si>
  <si>
    <t>Douradina</t>
  </si>
  <si>
    <t>Conselheira Tutelar</t>
  </si>
  <si>
    <t>(67) 99901-8177</t>
  </si>
  <si>
    <t>tania.salmeida@hotmail.com</t>
  </si>
  <si>
    <t>Tânia Regina dos Santos Almeida</t>
  </si>
  <si>
    <t>637.035.051-68</t>
  </si>
  <si>
    <t>fayane.m@hotmail.com</t>
  </si>
  <si>
    <t>Fayane Montenegro Gonçalves Paz</t>
  </si>
  <si>
    <t>048.862.981-09</t>
  </si>
  <si>
    <t>(67) 99684-8202</t>
  </si>
  <si>
    <t>Técnica administrativa</t>
  </si>
  <si>
    <t>luizaquevedonascimento@gmail.com</t>
  </si>
  <si>
    <t>Luiza Quevedo Nascimento</t>
  </si>
  <si>
    <t>065.889.541-90</t>
  </si>
  <si>
    <t>Dourados</t>
  </si>
  <si>
    <t>valderene13@gmail.com</t>
  </si>
  <si>
    <t>Valderene Ferreira de Alencar</t>
  </si>
  <si>
    <t>582.163.831-34</t>
  </si>
  <si>
    <t>(67)99997-7213</t>
  </si>
  <si>
    <t>Assessoria da Deputada Estadual Gleice Jane Barbosa</t>
  </si>
  <si>
    <t>Não conheço</t>
  </si>
  <si>
    <t>gustavo.texeira33@gmail.com</t>
  </si>
  <si>
    <t>Gustavo Texeira Silva</t>
  </si>
  <si>
    <t>070.308.241-80</t>
  </si>
  <si>
    <t>vivianne_pf@hotmail.com</t>
  </si>
  <si>
    <t>Viviane Mantovani Martines</t>
  </si>
  <si>
    <t>829.613.871-91</t>
  </si>
  <si>
    <t>maria_aigustha@hormail.com</t>
  </si>
  <si>
    <t>Maria Augustha Espíndola Domingues</t>
  </si>
  <si>
    <t>000.249.231-84</t>
  </si>
  <si>
    <t>camilosanches2247@hotmail.com</t>
  </si>
  <si>
    <t>José Camilo Sanches</t>
  </si>
  <si>
    <t>312.780.271-49</t>
  </si>
  <si>
    <t>Eldorado</t>
  </si>
  <si>
    <t>profnunes11@gmail.com</t>
  </si>
  <si>
    <t>Claudineis Nunes</t>
  </si>
  <si>
    <t>035.212.591-88</t>
  </si>
  <si>
    <t>professorasuelli@gmail.com</t>
  </si>
  <si>
    <t>Sueli Menezes da Silva</t>
  </si>
  <si>
    <t>480.712.501-04</t>
  </si>
  <si>
    <t>Glória de Dourados</t>
  </si>
  <si>
    <t>costa.dema2409@gmail.com</t>
  </si>
  <si>
    <t>Ademir da Silva Costa</t>
  </si>
  <si>
    <t>500.851.311-72</t>
  </si>
  <si>
    <t>(67)99958-4558</t>
  </si>
  <si>
    <t>Vice presidente</t>
  </si>
  <si>
    <t>maurosanp_@hotmail.com</t>
  </si>
  <si>
    <t>Mauro San pereira da silva</t>
  </si>
  <si>
    <t>038.697.801-85</t>
  </si>
  <si>
    <t>Iguatemi</t>
  </si>
  <si>
    <t>crodoaldosp@hotmail.com</t>
  </si>
  <si>
    <t>Crodoaldo Spessoto Prado</t>
  </si>
  <si>
    <t>489.415.901-59</t>
  </si>
  <si>
    <t>Itaporã</t>
  </si>
  <si>
    <t>jonsongeduita@gmail.com</t>
  </si>
  <si>
    <t>Jonson Carvalho Miranda</t>
  </si>
  <si>
    <t>814.407.581-15</t>
  </si>
  <si>
    <t>dpfedufisica@hotmail.com</t>
  </si>
  <si>
    <t>Danillo Petinari Ferratto</t>
  </si>
  <si>
    <t>654.708.931-20</t>
  </si>
  <si>
    <t>(67)99677-9393</t>
  </si>
  <si>
    <t>Técnico departamento de transporte escolar</t>
  </si>
  <si>
    <t>Logística das rotas</t>
  </si>
  <si>
    <t>luzinel01@gmail.com</t>
  </si>
  <si>
    <t>Luzinel Socorro do Nascimento</t>
  </si>
  <si>
    <t>802.739.041-91</t>
  </si>
  <si>
    <t>Itaquiraí</t>
  </si>
  <si>
    <t>555.696.501-30</t>
  </si>
  <si>
    <t>montelegal171@hotmail.xom</t>
  </si>
  <si>
    <t>Wagner Pereira Fenandes</t>
  </si>
  <si>
    <t>narahbraguini@gmail.com</t>
  </si>
  <si>
    <t>Nara Henrique Braguini</t>
  </si>
  <si>
    <t>023.395.351-58</t>
  </si>
  <si>
    <t>Ivinhema</t>
  </si>
  <si>
    <t>lucianomorisco@hitmail.com</t>
  </si>
  <si>
    <t>Luciano Morisco Rapchan</t>
  </si>
  <si>
    <t>447.812.531-72</t>
  </si>
  <si>
    <t>valdineipavanelli@hotmail.com</t>
  </si>
  <si>
    <t>Valdinei da Silva Pavanelli</t>
  </si>
  <si>
    <t>000.371.471-37</t>
  </si>
  <si>
    <t>Japorã</t>
  </si>
  <si>
    <t>andresenize@hotmail.com</t>
  </si>
  <si>
    <t>André de Souza Mattos</t>
  </si>
  <si>
    <t>813.198.431-15</t>
  </si>
  <si>
    <t>(67)98131-5635</t>
  </si>
  <si>
    <t>Presidente</t>
  </si>
  <si>
    <t>rauljateieducacao@gmail.com</t>
  </si>
  <si>
    <t>Raul FernandoGarcia</t>
  </si>
  <si>
    <t>592.634.901-04</t>
  </si>
  <si>
    <t>Jateí</t>
  </si>
  <si>
    <t>autenir1@hotmail.com</t>
  </si>
  <si>
    <t>Autenir Rodrigues de Lima</t>
  </si>
  <si>
    <t>825.762.621-04</t>
  </si>
  <si>
    <t>Carol_juti@hotmail.com</t>
  </si>
  <si>
    <t>Carolina Fernandes Paes de Almeida</t>
  </si>
  <si>
    <t>905.700.301-53</t>
  </si>
  <si>
    <t>Juti</t>
  </si>
  <si>
    <t>andreluizgomes5691@gmail.com</t>
  </si>
  <si>
    <t>André Luiz Gomes da Silva</t>
  </si>
  <si>
    <t>038.713.231-79</t>
  </si>
  <si>
    <t>adneia_zdr@hotmail.com</t>
  </si>
  <si>
    <t>Adineia Aparecida Zadroski Duarte</t>
  </si>
  <si>
    <t>506.447.341-91</t>
  </si>
  <si>
    <t>Laguna Carapã</t>
  </si>
  <si>
    <t>dr.diego.ribeiro25@gmail.com</t>
  </si>
  <si>
    <t>Diego Ribeiro</t>
  </si>
  <si>
    <t>355.073.268-60</t>
  </si>
  <si>
    <t>(67) 991391611</t>
  </si>
  <si>
    <t>Presidente Fundeb</t>
  </si>
  <si>
    <t>danimedina826@gmail.com</t>
  </si>
  <si>
    <t>Daniela Medina</t>
  </si>
  <si>
    <t>083.222.581-94</t>
  </si>
  <si>
    <t>(67) 998523934</t>
  </si>
  <si>
    <t>Técnica</t>
  </si>
  <si>
    <t>soniareginameireleslago@gmail.com</t>
  </si>
  <si>
    <t>Sônia Regina Meireles Lago</t>
  </si>
  <si>
    <t>063.006.468-74</t>
  </si>
  <si>
    <t>ricartegv@gmail.com</t>
  </si>
  <si>
    <t>Gabriel Vinicius Ricarte Pedrozo</t>
  </si>
  <si>
    <t>070.184.021-82</t>
  </si>
  <si>
    <t>Maracaju</t>
  </si>
  <si>
    <t>dinamarfreitas@hotmail.com</t>
  </si>
  <si>
    <t>Dinamar de Souza Freitas</t>
  </si>
  <si>
    <t>832.356.201-68</t>
  </si>
  <si>
    <t>augustocesarinformarica@gmail.com</t>
  </si>
  <si>
    <t>Augusto César Henriques</t>
  </si>
  <si>
    <t>080.397.776-07</t>
  </si>
  <si>
    <t>(67) 998271129</t>
  </si>
  <si>
    <t>Técnico de Prestação de contas do transporte escolar</t>
  </si>
  <si>
    <t>gabrielbarbosa_costa@live.com</t>
  </si>
  <si>
    <t>Gabriel Barbosa Costa</t>
  </si>
  <si>
    <t>050.776.421-84</t>
  </si>
  <si>
    <t>frota@mundonovo.ms.gov.br</t>
  </si>
  <si>
    <t>Willian Carlos magi santos</t>
  </si>
  <si>
    <t>732.767.072-68</t>
  </si>
  <si>
    <t>Mundo Novo</t>
  </si>
  <si>
    <t>cami_edu_domingos@hotmail.com</t>
  </si>
  <si>
    <t>Carla Cristiane Silva Rocha Cunha</t>
  </si>
  <si>
    <t>888.127.741-72</t>
  </si>
  <si>
    <t>Naviraí</t>
  </si>
  <si>
    <t>carlosstabenow@hotmail.com</t>
  </si>
  <si>
    <t>Carlos Eduardo Stabenow Minari</t>
  </si>
  <si>
    <t>931.593.741-49</t>
  </si>
  <si>
    <t>osmaraalves1998@gmail.com</t>
  </si>
  <si>
    <t>Osmar Alves de Oliveira Sobrinho</t>
  </si>
  <si>
    <t>637.112.651-20</t>
  </si>
  <si>
    <t>Transporteescolar@novaalvoradadosul.ms.gov.br</t>
  </si>
  <si>
    <t>Ozeias Morais da Silva</t>
  </si>
  <si>
    <t>014.985.871-00</t>
  </si>
  <si>
    <t>Nova Alvorada do Sul</t>
  </si>
  <si>
    <t>adalbertohonorato@hotmail.com</t>
  </si>
  <si>
    <t>Adalberto Honorato</t>
  </si>
  <si>
    <t>015.174.281-22</t>
  </si>
  <si>
    <t>(67)99614-9223</t>
  </si>
  <si>
    <t>Membro Fundeb</t>
  </si>
  <si>
    <t>ejas.emerson@gmail.com</t>
  </si>
  <si>
    <t>Emerson José Alves da Silva</t>
  </si>
  <si>
    <t>847.122.011-34</t>
  </si>
  <si>
    <t>Nova Andradina</t>
  </si>
  <si>
    <t>ricardoappaixao1979@gmail.com</t>
  </si>
  <si>
    <t>Ricardo Aparecido da Paixão</t>
  </si>
  <si>
    <t>891.400.791-04</t>
  </si>
  <si>
    <t>lucimara260379@gmail.com</t>
  </si>
  <si>
    <t>Lucimara Caccia Faverssiani</t>
  </si>
  <si>
    <t>897.614.721-91</t>
  </si>
  <si>
    <t>benilson.or.oliveira@hotmail.com</t>
  </si>
  <si>
    <t>Benilson Ormandes de Oliveira</t>
  </si>
  <si>
    <t>959.818.611-34</t>
  </si>
  <si>
    <t>(67)99883-1574</t>
  </si>
  <si>
    <t>Paraíso das Águas</t>
  </si>
  <si>
    <t>Assessor técnico</t>
  </si>
  <si>
    <t>Iniciei no setor este ano gostaria de participar de mais capacitações</t>
  </si>
  <si>
    <t>clariceeducacaof2@gmail.com</t>
  </si>
  <si>
    <t>Clarice de Almeida Faria</t>
  </si>
  <si>
    <t>018.097.781-40</t>
  </si>
  <si>
    <t>(67)99870-7697</t>
  </si>
  <si>
    <t>Chefe da Divisão do transporte escolar</t>
  </si>
  <si>
    <t>geovaniamachadolemos@gmail.com</t>
  </si>
  <si>
    <t>Geovania Machado Lemos</t>
  </si>
  <si>
    <t>023.432.791-01</t>
  </si>
  <si>
    <t>(67)99914-3233</t>
  </si>
  <si>
    <t>Diretora de apoio administrativo</t>
  </si>
  <si>
    <t>fagnergalina33@gmail.com</t>
  </si>
  <si>
    <t>Fagner Rodrigues Galina</t>
  </si>
  <si>
    <t>046.804.109-57</t>
  </si>
  <si>
    <t>Paranhos</t>
  </si>
  <si>
    <t>jaque_hernacki@hotmail.com</t>
  </si>
  <si>
    <t>Jaqueline Hernacki</t>
  </si>
  <si>
    <t>023.145.741-33</t>
  </si>
  <si>
    <t>guilhermemateus348@gmail.com</t>
  </si>
  <si>
    <t>Guilherme Mateus Silva Cardoso</t>
  </si>
  <si>
    <t>086.228.041-94</t>
  </si>
  <si>
    <t>Ponta Porã</t>
  </si>
  <si>
    <t>maurinha1964@gmail.com</t>
  </si>
  <si>
    <t>Maurici Nascimento Silva</t>
  </si>
  <si>
    <t>913.159.131-00</t>
  </si>
  <si>
    <t>luciana_fmatos@hotmail.com</t>
  </si>
  <si>
    <t>Luciana Ferriol de Matos</t>
  </si>
  <si>
    <t>506.487.641-68</t>
  </si>
  <si>
    <t>uesley.u@gmail.com</t>
  </si>
  <si>
    <t>Uesley Souza Silva</t>
  </si>
  <si>
    <t>041.510.051-88</t>
  </si>
  <si>
    <t>Rio Brilhante</t>
  </si>
  <si>
    <t>analuizavenite@gmail.com</t>
  </si>
  <si>
    <t>Ana Luiza Venite Gama</t>
  </si>
  <si>
    <t>058.764.141-07</t>
  </si>
  <si>
    <t>thaine.stefani@gmail.com</t>
  </si>
  <si>
    <t>Thaine Stefani</t>
  </si>
  <si>
    <t>034.548.621-83</t>
  </si>
  <si>
    <t>marisantin6@gmail.com</t>
  </si>
  <si>
    <t>Marilete Santin</t>
  </si>
  <si>
    <t>009.602.231-00</t>
  </si>
  <si>
    <t>marcio021186@gmail.com</t>
  </si>
  <si>
    <t>Marcio de Souza Santos</t>
  </si>
  <si>
    <t>018.880.441-28</t>
  </si>
  <si>
    <t>Taquarussu</t>
  </si>
  <si>
    <t>roselyandrade08@hotmail.com</t>
  </si>
  <si>
    <t>Maria Rosely Andrade dos Santos</t>
  </si>
  <si>
    <t>511.394.051-87</t>
  </si>
  <si>
    <t>delmaaraujo1973@hotmail.com</t>
  </si>
  <si>
    <t>Delma Eugênia de Araújo</t>
  </si>
  <si>
    <t>562.142.511-15</t>
  </si>
  <si>
    <t>Vicentina</t>
  </si>
  <si>
    <t>murillolima12@gmail.com</t>
  </si>
  <si>
    <t>Amanda Gonsales de lima</t>
  </si>
  <si>
    <t>035.584.901-18</t>
  </si>
  <si>
    <t>simaoschuh1@gmail.com</t>
  </si>
  <si>
    <t>Simão Sirineu Schuh Dias</t>
  </si>
  <si>
    <t>033.593.471-45</t>
  </si>
  <si>
    <t>paulo.cesar.75@hotmail.com</t>
  </si>
  <si>
    <t>Paulo Cesar Mota dos Santos</t>
  </si>
  <si>
    <t>560.189.911-87</t>
  </si>
  <si>
    <t>(67)99624-4128</t>
  </si>
  <si>
    <t>Sete Quedas</t>
  </si>
  <si>
    <t>Secretário da Educação</t>
  </si>
  <si>
    <t>criswentzprestes@outlook.com</t>
  </si>
  <si>
    <t>Crislaine Wentz Ferreira</t>
  </si>
  <si>
    <t>985.453.291-72</t>
  </si>
  <si>
    <t>joelbaferreiragomes@gmail.com</t>
  </si>
  <si>
    <t>Joelba Ferreira Gomes</t>
  </si>
  <si>
    <t>501.461.651-87</t>
  </si>
  <si>
    <t>crissfrangiotti@gmail.com</t>
  </si>
  <si>
    <t>Maria Cristina Frangiotti</t>
  </si>
  <si>
    <t>921.493.321-91</t>
  </si>
  <si>
    <t>Novo Horizonte do Sul</t>
  </si>
  <si>
    <t>anderson-2511@hotmail.com</t>
  </si>
  <si>
    <t>Anderson Oliveria Souza</t>
  </si>
  <si>
    <t>045.727.011-05</t>
  </si>
  <si>
    <t>julianimalu@gmail.com</t>
  </si>
  <si>
    <t>Juliani Cristini Sieve</t>
  </si>
  <si>
    <t>045.073.871-08</t>
  </si>
  <si>
    <t>(67)98119-9686</t>
  </si>
  <si>
    <t>Represetante de Pais</t>
  </si>
  <si>
    <t>Odirlei Ferreira Calixto</t>
  </si>
  <si>
    <t>956.340.371-15</t>
  </si>
  <si>
    <t>(67)98117-7795</t>
  </si>
  <si>
    <t>Motorista</t>
  </si>
  <si>
    <t>XXX</t>
  </si>
  <si>
    <t>Dia</t>
  </si>
  <si>
    <t>carmemkaio@hotmail.com</t>
  </si>
  <si>
    <t>Carmem Lúcia Lopes da Silva</t>
  </si>
  <si>
    <t>929.329.591-15</t>
  </si>
  <si>
    <t>(67)99694-5535</t>
  </si>
  <si>
    <t>Técnica de convênios e prestação de contas/membros do Cacs-Fundeb também</t>
  </si>
  <si>
    <t>Garantia de transporte a todos</t>
  </si>
  <si>
    <t>tania_ruivo@hotmail.com</t>
  </si>
  <si>
    <t>Tania Aparecida Ruivo da Luz</t>
  </si>
  <si>
    <t>017.339.721-29</t>
  </si>
  <si>
    <t>(67)99253-6974</t>
  </si>
  <si>
    <t>Secretária de Educação</t>
  </si>
  <si>
    <t>Não temos ni momento</t>
  </si>
  <si>
    <t>(67)99802-6446</t>
  </si>
  <si>
    <t>Gestor de Transporte Escolar</t>
  </si>
  <si>
    <t>EDSON UMBELINO</t>
  </si>
  <si>
    <t>(67)99835-3076</t>
  </si>
  <si>
    <t>COORDENADOR TRANSPORTE ESCOLAR</t>
  </si>
  <si>
    <t>OSMAIR ALVES GARCIA</t>
  </si>
  <si>
    <t>(67)99888-4290</t>
  </si>
  <si>
    <t>ASSISTENTE ADMINISTRATIVO</t>
  </si>
  <si>
    <t>O MUNIC. CONSEGUIU TERCEIRIZAR BOA PARTE DAS LINHAS COM VEICULOS 2025!</t>
  </si>
  <si>
    <t>(67)99225-2689</t>
  </si>
  <si>
    <t>Chefe de Núcleo de Transporte Escolar</t>
  </si>
  <si>
    <t>RICARDO SOUZA MARCHINI</t>
  </si>
  <si>
    <t>(67)99671-9885</t>
  </si>
  <si>
    <t>CONTADOR</t>
  </si>
  <si>
    <t>(67)99991-3879</t>
  </si>
  <si>
    <t>Assistente Administrativo</t>
  </si>
  <si>
    <t>(67)99976-7300</t>
  </si>
  <si>
    <t>Secretária municipal de educação</t>
  </si>
  <si>
    <t>(67)98192-0562</t>
  </si>
  <si>
    <t>Assessor Técnico e Pedagógico de Projetos e Convênios</t>
  </si>
  <si>
    <t>(67)99626-6555</t>
  </si>
  <si>
    <t>Técnica do Transporte Escolar</t>
  </si>
  <si>
    <t>(67)99912-5189</t>
  </si>
  <si>
    <t>Prestação Contas</t>
  </si>
  <si>
    <t>Isabel Fernandes santos</t>
  </si>
  <si>
    <t>(67)99627-0716</t>
  </si>
  <si>
    <t>JOSILÂINE NEVES DA SILVA</t>
  </si>
  <si>
    <t>(67)99101-5042</t>
  </si>
  <si>
    <t>CHEFE DE DEPARTAMENTO DO TRANSPORTE ESCOLAR</t>
  </si>
  <si>
    <t>(67)99337-0272</t>
  </si>
  <si>
    <t>Gerente de frota</t>
  </si>
  <si>
    <t>Estamos tentando otimizar nosso transporte escolar conforme a legislação. Mas encontramos muita resistência com os pais. dos alunos.</t>
  </si>
  <si>
    <t>(67)98129-2310</t>
  </si>
  <si>
    <t>Escriturário Transporte Escolar Municipal</t>
  </si>
  <si>
    <t>rosenimartins_freitas@hotmail.com</t>
  </si>
  <si>
    <t>Roseni Martins Freitas</t>
  </si>
  <si>
    <t>555.905.001-68</t>
  </si>
  <si>
    <t>(67)99956-2977</t>
  </si>
  <si>
    <t>Secretária de Educação e Cultura</t>
  </si>
  <si>
    <t>(67)99906-3441</t>
  </si>
  <si>
    <t>Recepcionista</t>
  </si>
  <si>
    <t>TÂNIA REGINA DOS SANTOS ALMEIDA</t>
  </si>
  <si>
    <t>(67)99648-1099</t>
  </si>
  <si>
    <t>TÉCNICO DO TRANSPORTE ESCOLAR</t>
  </si>
  <si>
    <t>(67)99691-2218</t>
  </si>
  <si>
    <t>Responsável pelo transporte Escolar da Prefeitura de Dourados</t>
  </si>
  <si>
    <t>(67)99938-1694</t>
  </si>
  <si>
    <t>Assistente administrativo</t>
  </si>
  <si>
    <t>(67)99698-7171</t>
  </si>
  <si>
    <t>Diretor de Transporte</t>
  </si>
  <si>
    <t>(67)99617-5907</t>
  </si>
  <si>
    <t>TÉCNICA</t>
  </si>
  <si>
    <t>Mauro San pereira da Silva</t>
  </si>
  <si>
    <t>(67)99677-7013</t>
  </si>
  <si>
    <t>Gestor transporte</t>
  </si>
  <si>
    <t>joaojoao515@gmail.com</t>
  </si>
  <si>
    <t>João Pereira Alves</t>
  </si>
  <si>
    <t>356.418.431-72</t>
  </si>
  <si>
    <t>(67)99619-8565</t>
  </si>
  <si>
    <t>Diretor de Departamento deTransporte Escolar</t>
  </si>
  <si>
    <t>Jonsongeduita@gmail.com</t>
  </si>
  <si>
    <t>(67)99624-8316</t>
  </si>
  <si>
    <t>Diretor de Departamento de Controle e Prestação de Contas</t>
  </si>
  <si>
    <t>LUZINEL SOCORRO DO NASCIMENTO</t>
  </si>
  <si>
    <t>(67)98209-6325</t>
  </si>
  <si>
    <t>AUXILIAR SERVIÇOS TÉCNICOS</t>
  </si>
  <si>
    <t>montilegal171@hotmail.com</t>
  </si>
  <si>
    <t>(67)99657-9030</t>
  </si>
  <si>
    <t>DIRETOR DE TRANSPORTE ESCOLAR</t>
  </si>
  <si>
    <t>WAGNER PEREIRA FERNANDES</t>
  </si>
  <si>
    <t>lucianomorisco@hotmail.com</t>
  </si>
  <si>
    <t>(67)99648-3181</t>
  </si>
  <si>
    <t>Assistente de Administração</t>
  </si>
  <si>
    <t>(67)99971-3774</t>
  </si>
  <si>
    <t>Coordenadora</t>
  </si>
  <si>
    <t>valdenirmalheiros@hotmail.com</t>
  </si>
  <si>
    <t>Valdenir Malheiros de Castro</t>
  </si>
  <si>
    <t>555.735.331-34</t>
  </si>
  <si>
    <t>(67)99807-9014</t>
  </si>
  <si>
    <t>alimentar o programa sete</t>
  </si>
  <si>
    <t>valdinei da silva pavanelli</t>
  </si>
  <si>
    <t>(67)98140-1864</t>
  </si>
  <si>
    <t>chefe de divisão do transporte escolar</t>
  </si>
  <si>
    <t>semecel@jatei.ms.gov.br</t>
  </si>
  <si>
    <t>RAUL FERNANDO GARCIA</t>
  </si>
  <si>
    <t>(67)99602-6840</t>
  </si>
  <si>
    <t>SECRETÁRIO MUNICIPAL DE EDUCAÇÃO</t>
  </si>
  <si>
    <t>Andre Luiz Gomes da Silva</t>
  </si>
  <si>
    <t>(67)98475-4680</t>
  </si>
  <si>
    <t>Diretor do Departamento do Transporte Escolar</t>
  </si>
  <si>
    <t>carol_juti@hotmail.com</t>
  </si>
  <si>
    <t>(67)98448-6815</t>
  </si>
  <si>
    <t>Agente administrativo</t>
  </si>
  <si>
    <t>daniela medina arguelho</t>
  </si>
  <si>
    <t>(67)99852-3934</t>
  </si>
  <si>
    <t>técnico</t>
  </si>
  <si>
    <t>DIEGO RIBEIRO</t>
  </si>
  <si>
    <t>(67)99139-1611</t>
  </si>
  <si>
    <t>TÉCNICO</t>
  </si>
  <si>
    <t>gabrielbcosta09091994@gmail.com</t>
  </si>
  <si>
    <t>(67)98103-8391</t>
  </si>
  <si>
    <t>Prestação de Contas</t>
  </si>
  <si>
    <t>Houve troca de gestão, mas não teve processo de transição, a antiga gestão não nos apresentou nada</t>
  </si>
  <si>
    <t>ricartegv@outlook.com.br</t>
  </si>
  <si>
    <t>(67)99178-0319</t>
  </si>
  <si>
    <t>Auxiliar de secretaria do transporte</t>
  </si>
  <si>
    <t>Mudança de gestão e ingresso de novos servidores</t>
  </si>
  <si>
    <t>(67)99611-1941</t>
  </si>
  <si>
    <t>Diretor de Transporte e Frota</t>
  </si>
  <si>
    <t>aninhap882@gmail.com</t>
  </si>
  <si>
    <t>Ana da Silva Pinheiro</t>
  </si>
  <si>
    <t>922.710.221-34</t>
  </si>
  <si>
    <t>(67)99977-7990</t>
  </si>
  <si>
    <t>Auxiliar administrativo transporte escolar</t>
  </si>
  <si>
    <t>Ônibus todos rastreados</t>
  </si>
  <si>
    <t>(67)99965-9471</t>
  </si>
  <si>
    <t>Gerente de equipe de unidades escolares</t>
  </si>
  <si>
    <t>claudiopigossobrasil@gmail.com</t>
  </si>
  <si>
    <t>Claudio pigosso</t>
  </si>
  <si>
    <t>500.664.711-68</t>
  </si>
  <si>
    <t>(67)99879-6368</t>
  </si>
  <si>
    <t>Gerente de equipe do transporte escolar</t>
  </si>
  <si>
    <t>(67)99678-2795</t>
  </si>
  <si>
    <t>Coordenador de transporte escolar</t>
  </si>
  <si>
    <t>(67)99808-1320</t>
  </si>
  <si>
    <t>Diretor transporte escolar</t>
  </si>
  <si>
    <t>wagao1450@gmail.com</t>
  </si>
  <si>
    <t>Wagner Carlos Perigo</t>
  </si>
  <si>
    <t>781.910.091-53</t>
  </si>
  <si>
    <t>(67)99994-4791</t>
  </si>
  <si>
    <t>Secretário Municipal de Educação Cultura e Esporte</t>
  </si>
  <si>
    <t>Anderson Oliveira Souza</t>
  </si>
  <si>
    <t>(67)98452-5260</t>
  </si>
  <si>
    <t>Técnico Administrativo</t>
  </si>
  <si>
    <t>(67)99653-5397</t>
  </si>
  <si>
    <t>Diretor de Transporte Escolar</t>
  </si>
  <si>
    <t>(67)99962-9226</t>
  </si>
  <si>
    <t>Tecnica de prestação de contas</t>
  </si>
  <si>
    <t>guilherme mateus silva cardoso</t>
  </si>
  <si>
    <t>(67)99178-8895</t>
  </si>
  <si>
    <t>Assistente no setor de transporte escolar</t>
  </si>
  <si>
    <t>luciano_mcm@hotmail.com</t>
  </si>
  <si>
    <t>Luciano Marques da Costa Martins</t>
  </si>
  <si>
    <t>899.070.941-53</t>
  </si>
  <si>
    <t>(67)98419-2006</t>
  </si>
  <si>
    <t>Gerente do Transporte Escolar</t>
  </si>
  <si>
    <t>(67)99826-1253</t>
  </si>
  <si>
    <t>Gestor de núcleo - Convenios e prestação de contas</t>
  </si>
  <si>
    <t>Thaine Stefani dos Santos</t>
  </si>
  <si>
    <t>(67)99682-0430</t>
  </si>
  <si>
    <t>ass de administração</t>
  </si>
  <si>
    <t>(67)99996-9080</t>
  </si>
  <si>
    <t>Coordenação</t>
  </si>
  <si>
    <t>semec@taquarussu.ms.gov.br</t>
  </si>
  <si>
    <t>Amanda Gonsales de Lima</t>
  </si>
  <si>
    <t>(67)99930-3357</t>
  </si>
  <si>
    <t>Auxiliar administrativo</t>
  </si>
  <si>
    <t>Marcio de souza santos</t>
  </si>
  <si>
    <t>(67)99639-3728</t>
  </si>
  <si>
    <t>Diretor do transporte</t>
  </si>
  <si>
    <t>(67)99663-1093</t>
  </si>
  <si>
    <t>milenezamai@gmail.com</t>
  </si>
  <si>
    <t>Milene Bindilatti Zamai Crivelli</t>
  </si>
  <si>
    <t>899.884.261-00</t>
  </si>
  <si>
    <t>(67)99963-2139</t>
  </si>
  <si>
    <t>Encarrego do setor de prestação de contas</t>
  </si>
  <si>
    <t>Município</t>
  </si>
  <si>
    <t>Data</t>
  </si>
  <si>
    <t>Presentes</t>
  </si>
  <si>
    <t>Fátima do Sul</t>
  </si>
  <si>
    <t>Tacuru</t>
  </si>
  <si>
    <t>Inscritos</t>
  </si>
  <si>
    <t>CACS</t>
  </si>
  <si>
    <t>Pessoas Inscritas</t>
  </si>
  <si>
    <t>Distância (km) </t>
  </si>
  <si>
    <t>5000609 </t>
  </si>
  <si>
    <t>109 </t>
  </si>
  <si>
    <t>5004304 </t>
  </si>
  <si>
    <t>130 </t>
  </si>
  <si>
    <t>5000807 </t>
  </si>
  <si>
    <t>245 </t>
  </si>
  <si>
    <t>5004403 </t>
  </si>
  <si>
    <t>17 </t>
  </si>
  <si>
    <t>5000856 </t>
  </si>
  <si>
    <t>136 </t>
  </si>
  <si>
    <t>5004502 </t>
  </si>
  <si>
    <t>150 </t>
  </si>
  <si>
    <t>5001243 </t>
  </si>
  <si>
    <t>149 </t>
  </si>
  <si>
    <t>5004701 </t>
  </si>
  <si>
    <t>5001904 </t>
  </si>
  <si>
    <t>328 </t>
  </si>
  <si>
    <t>5004809 </t>
  </si>
  <si>
    <t>160 </t>
  </si>
  <si>
    <t>5002001 </t>
  </si>
  <si>
    <t>180 </t>
  </si>
  <si>
    <t>5004908 </t>
  </si>
  <si>
    <t>100 </t>
  </si>
  <si>
    <t>5002407 </t>
  </si>
  <si>
    <t>52 </t>
  </si>
  <si>
    <t>5005152 </t>
  </si>
  <si>
    <t>90 </t>
  </si>
  <si>
    <t>5003157 </t>
  </si>
  <si>
    <t>174 </t>
  </si>
  <si>
    <t>5005251 </t>
  </si>
  <si>
    <t>40 </t>
  </si>
  <si>
    <t>5003454 </t>
  </si>
  <si>
    <t>79 </t>
  </si>
  <si>
    <t>5005400 </t>
  </si>
  <si>
    <t>70 </t>
  </si>
  <si>
    <t>5003504 </t>
  </si>
  <si>
    <t>38 </t>
  </si>
  <si>
    <t>5005681 </t>
  </si>
  <si>
    <t>5003702 </t>
  </si>
  <si>
    <t>0 </t>
  </si>
  <si>
    <t>5005707 </t>
  </si>
  <si>
    <t>120 </t>
  </si>
  <si>
    <t>5003751 </t>
  </si>
  <si>
    <t>115 </t>
  </si>
  <si>
    <t>5006002 </t>
  </si>
  <si>
    <t>5003801 </t>
  </si>
  <si>
    <t>45 </t>
  </si>
  <si>
    <t>5006200 </t>
  </si>
  <si>
    <t>5004007 </t>
  </si>
  <si>
    <t>78 </t>
  </si>
  <si>
    <t>5006275 </t>
  </si>
  <si>
    <t>110 </t>
  </si>
  <si>
    <t>5006309 </t>
  </si>
  <si>
    <t>5007703 </t>
  </si>
  <si>
    <t>5006606 </t>
  </si>
  <si>
    <t>5007950 </t>
  </si>
  <si>
    <t>5007208 </t>
  </si>
  <si>
    <t>5007976 </t>
  </si>
  <si>
    <t>5008404 </t>
  </si>
  <si>
    <t>50 </t>
  </si>
  <si>
    <t>Vagner Pereira Fernandes</t>
  </si>
  <si>
    <t>frota@mundonovo.gov.ms.br</t>
  </si>
  <si>
    <t>Willian Carlos Magi Santos</t>
  </si>
  <si>
    <t>(67)99649-7035</t>
  </si>
  <si>
    <t>presidente</t>
  </si>
  <si>
    <t>(67)99852-3057</t>
  </si>
  <si>
    <t>Conselheiro</t>
  </si>
  <si>
    <t>transporte.escolar.amambai@hotmail.com</t>
  </si>
  <si>
    <t>(67)99108-5287</t>
  </si>
  <si>
    <t>15/01/0069</t>
  </si>
  <si>
    <t>(67)99829-2334</t>
  </si>
  <si>
    <t>(67)99919-6945</t>
  </si>
  <si>
    <t>(67)99925-9086</t>
  </si>
  <si>
    <t>(67)99172-4459</t>
  </si>
  <si>
    <t>Técnico</t>
  </si>
  <si>
    <t>maria_augustha@hotmail.com</t>
  </si>
  <si>
    <t>(67)99971-2118</t>
  </si>
  <si>
    <t>Conselheira representante secretaria municipal de educação de dourados</t>
  </si>
  <si>
    <t>Viviane Mantovani</t>
  </si>
  <si>
    <t>(66)99604-2529</t>
  </si>
  <si>
    <t>nunesclaudinei628@gmail.com</t>
  </si>
  <si>
    <t>Claudinei Nunes</t>
  </si>
  <si>
    <t>(67)99172-2974</t>
  </si>
  <si>
    <t>Vice-presidente</t>
  </si>
  <si>
    <t>(67)99836-4443</t>
  </si>
  <si>
    <t>Conselho</t>
  </si>
  <si>
    <t>milton.micco@itapora.ms.gov.br</t>
  </si>
  <si>
    <t>Milton Cesar de Micco</t>
  </si>
  <si>
    <t>437.570.061-00</t>
  </si>
  <si>
    <t>(67)99643-7631</t>
  </si>
  <si>
    <t>AUTENIR RODRIGUES DE LIMA</t>
  </si>
  <si>
    <t>(67)99911-2198</t>
  </si>
  <si>
    <t>MEMBRO</t>
  </si>
  <si>
    <t>THIAGO RODRIGUES DOS REIS</t>
  </si>
  <si>
    <t>012.494.461-20</t>
  </si>
  <si>
    <t>(67)99848-6764</t>
  </si>
  <si>
    <t>ADINEIA APARECIDA ZADROSKI DUARTE</t>
  </si>
  <si>
    <t>(67)99951-1189</t>
  </si>
  <si>
    <t>técnico administrativo</t>
  </si>
  <si>
    <t>(67)99923-8890</t>
  </si>
  <si>
    <t>(67)99671-6678</t>
  </si>
  <si>
    <t>educacao.matriculadigital@maracaju.ms.gov.br</t>
  </si>
  <si>
    <t>Diretor de Departamento DAS-4</t>
  </si>
  <si>
    <t>Sim, sou da nova gestão desse ano em diante</t>
  </si>
  <si>
    <t>Conselheira</t>
  </si>
  <si>
    <t>patricnascimentodasilva@gmail.com</t>
  </si>
  <si>
    <t>Patric Nascimento da Silva</t>
  </si>
  <si>
    <t>032.323.241-85</t>
  </si>
  <si>
    <t>(67)99935-6261</t>
  </si>
  <si>
    <t>Diretor de transporte</t>
  </si>
  <si>
    <t>(67)99913-8834</t>
  </si>
  <si>
    <t>osmaralves1998@gmail.com</t>
  </si>
  <si>
    <t>(67)99697-8207</t>
  </si>
  <si>
    <t>(67)99644-6575</t>
  </si>
  <si>
    <t>(67)99909-7296</t>
  </si>
  <si>
    <t>silvana.sanches@ifms.edu.br</t>
  </si>
  <si>
    <t>Silvana Colombelli Parra Sanches</t>
  </si>
  <si>
    <t>960.116.021-34</t>
  </si>
  <si>
    <t>(67)99173-0771</t>
  </si>
  <si>
    <t>Conselheira titutal sociedade civil</t>
  </si>
  <si>
    <t>(67)98445-1879</t>
  </si>
  <si>
    <t>Membro</t>
  </si>
  <si>
    <t>eliana.quadra@hotmail.com</t>
  </si>
  <si>
    <t>Eliana lopes Pereira</t>
  </si>
  <si>
    <t>942.327.681-49</t>
  </si>
  <si>
    <t>(67)99913-6007</t>
  </si>
  <si>
    <t>conselheira</t>
  </si>
  <si>
    <t>(67)99983-5384</t>
  </si>
  <si>
    <t>(67)99856-6954</t>
  </si>
  <si>
    <t>Conselheira representante do Ensino público</t>
  </si>
  <si>
    <t>(67)99954-7035</t>
  </si>
  <si>
    <t>Representante Escolas do Campo</t>
  </si>
  <si>
    <t>Uesley Souza</t>
  </si>
  <si>
    <t>(67)99933-1714</t>
  </si>
  <si>
    <t>criswentzprestes@outlook.com.br</t>
  </si>
  <si>
    <t>Crislaine wentz ferreira</t>
  </si>
  <si>
    <t>(67)99166-5353</t>
  </si>
  <si>
    <t>(67)99627-7244</t>
  </si>
  <si>
    <t>Representante de pais e alunos</t>
  </si>
  <si>
    <t>(67)99676-9368</t>
  </si>
  <si>
    <t>(67)99901-8178</t>
  </si>
  <si>
    <t>#N/A</t>
  </si>
  <si>
    <t>montelegal@gmail.com</t>
  </si>
  <si>
    <t>Wagner Pereira Fernandes</t>
  </si>
  <si>
    <t>Antes</t>
  </si>
  <si>
    <t>Evento</t>
  </si>
  <si>
    <t>Municípios com pelo menos um representante inscrito</t>
  </si>
  <si>
    <t>Código IBGE  </t>
  </si>
  <si>
    <t>TOTAL</t>
  </si>
  <si>
    <t>GESTOR</t>
  </si>
  <si>
    <t>Nome</t>
  </si>
  <si>
    <t>E-mail</t>
  </si>
  <si>
    <t>Matheus</t>
  </si>
  <si>
    <t>Lara</t>
  </si>
  <si>
    <t>Robinson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</si>
</sst>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Gill Sans MT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9" tint="-0.499984740745262"/>
      <name val="Arial"/>
      <family val="2"/>
    </font>
    <font>
      <b/>
      <sz val="12"/>
      <color theme="1"/>
      <name val="Arial"/>
      <family val="2"/>
    </font>
    <font>
      <b/>
      <sz val="11"/>
      <color rgb="FF002060"/>
      <name val="Arial"/>
      <family val="2"/>
    </font>
    <font>
      <sz val="5"/>
      <color theme="1" tint="0.499984740745262"/>
      <name val="Arial"/>
      <family val="2"/>
    </font>
    <font>
      <b/>
      <sz val="5"/>
      <color theme="1" tint="0.499984740745262"/>
      <name val="Arial"/>
      <family val="2"/>
    </font>
    <font>
      <sz val="10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14" fontId="0" fillId="0" borderId="0" xfId="0" applyNumberFormat="1"/>
    <xf numFmtId="22" fontId="0" fillId="2" borderId="0" xfId="0" applyNumberFormat="1" applyFill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22" fontId="0" fillId="4" borderId="0" xfId="0" applyNumberFormat="1" applyFill="1"/>
    <xf numFmtId="0" fontId="0" fillId="4" borderId="0" xfId="0" applyFill="1"/>
    <xf numFmtId="14" fontId="0" fillId="4" borderId="0" xfId="0" applyNumberFormat="1" applyFill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indent="1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4" fontId="0" fillId="4" borderId="0" xfId="0" applyNumberFormat="1" applyFill="1" applyAlignment="1">
      <alignment horizontal="center"/>
    </xf>
    <xf numFmtId="0" fontId="0" fillId="13" borderId="0" xfId="0" applyFill="1"/>
    <xf numFmtId="14" fontId="0" fillId="13" borderId="0" xfId="0" applyNumberFormat="1" applyFill="1" applyAlignment="1">
      <alignment horizontal="center"/>
    </xf>
    <xf numFmtId="0" fontId="0" fillId="8" borderId="0" xfId="0" applyFill="1"/>
    <xf numFmtId="14" fontId="0" fillId="8" borderId="0" xfId="0" applyNumberFormat="1" applyFill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0" fontId="3" fillId="5" borderId="0" xfId="0" applyFont="1" applyFill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0FEF-7E37-4ED6-969C-D1AEE395B591}">
  <dimension ref="A1:O108"/>
  <sheetViews>
    <sheetView workbookViewId="0">
      <selection activeCell="A91" sqref="A2:A91"/>
    </sheetView>
  </sheetViews>
  <sheetFormatPr defaultRowHeight="19.5" x14ac:dyDescent="0.4"/>
  <cols>
    <col min="1" max="1" width="19" bestFit="1" customWidth="1"/>
    <col min="2" max="2" width="42.375" bestFit="1" customWidth="1"/>
    <col min="3" max="3" width="32.125" bestFit="1" customWidth="1"/>
    <col min="4" max="4" width="13.625" bestFit="1" customWidth="1"/>
    <col min="13" max="13" width="20.375" bestFit="1" customWidth="1"/>
    <col min="14" max="14" width="15.125" bestFit="1" customWidth="1"/>
  </cols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4">
      <c r="A2" s="8">
        <v>45749.405601851853</v>
      </c>
      <c r="B2" s="9" t="s">
        <v>84</v>
      </c>
      <c r="C2" s="9" t="s">
        <v>85</v>
      </c>
      <c r="D2" s="9" t="s">
        <v>86</v>
      </c>
      <c r="E2" s="9" t="s">
        <v>54</v>
      </c>
      <c r="F2" s="10">
        <v>30697</v>
      </c>
      <c r="G2" s="9" t="s">
        <v>87</v>
      </c>
      <c r="H2" s="9" t="s">
        <v>77</v>
      </c>
      <c r="I2" s="9" t="s">
        <v>26</v>
      </c>
      <c r="J2" s="9" t="s">
        <v>88</v>
      </c>
      <c r="K2" s="9"/>
      <c r="L2" s="9"/>
      <c r="M2" s="9" t="s">
        <v>77</v>
      </c>
      <c r="N2" s="9" t="s">
        <v>26</v>
      </c>
      <c r="O2" s="9">
        <v>0</v>
      </c>
    </row>
    <row r="3" spans="1:15" x14ac:dyDescent="0.4">
      <c r="A3" s="8">
        <v>45750.409826388888</v>
      </c>
      <c r="B3" s="9" t="s">
        <v>263</v>
      </c>
      <c r="C3" s="9" t="s">
        <v>264</v>
      </c>
      <c r="D3" s="9" t="s">
        <v>265</v>
      </c>
      <c r="E3" s="9" t="s">
        <v>54</v>
      </c>
      <c r="F3" s="10">
        <v>31509</v>
      </c>
      <c r="G3" s="9" t="s">
        <v>266</v>
      </c>
      <c r="H3" s="9" t="s">
        <v>262</v>
      </c>
      <c r="I3" s="9" t="s">
        <v>19</v>
      </c>
      <c r="J3" s="9"/>
      <c r="K3" s="9"/>
      <c r="L3" s="9" t="s">
        <v>267</v>
      </c>
      <c r="M3" s="9" t="s">
        <v>262</v>
      </c>
      <c r="N3" s="9" t="s">
        <v>19</v>
      </c>
      <c r="O3" s="9">
        <v>0</v>
      </c>
    </row>
    <row r="4" spans="1:15" x14ac:dyDescent="0.4">
      <c r="A4" s="8">
        <v>45749.422500000001</v>
      </c>
      <c r="B4" s="9" t="s">
        <v>285</v>
      </c>
      <c r="C4" s="9" t="s">
        <v>286</v>
      </c>
      <c r="D4" s="9" t="s">
        <v>287</v>
      </c>
      <c r="E4" s="9" t="s">
        <v>54</v>
      </c>
      <c r="F4" s="10">
        <v>31200</v>
      </c>
      <c r="G4" s="9" t="s">
        <v>288</v>
      </c>
      <c r="H4" s="9" t="s">
        <v>282</v>
      </c>
      <c r="I4" s="9" t="s">
        <v>26</v>
      </c>
      <c r="J4" s="9" t="s">
        <v>289</v>
      </c>
      <c r="K4" s="9"/>
      <c r="L4" s="9"/>
      <c r="M4" s="9" t="s">
        <v>282</v>
      </c>
      <c r="N4" s="9" t="s">
        <v>26</v>
      </c>
      <c r="O4" s="9">
        <v>0</v>
      </c>
    </row>
    <row r="5" spans="1:15" x14ac:dyDescent="0.4">
      <c r="A5" s="8">
        <v>45749.463761574072</v>
      </c>
      <c r="B5" s="9" t="s">
        <v>110</v>
      </c>
      <c r="C5" s="9" t="s">
        <v>111</v>
      </c>
      <c r="D5" s="9" t="s">
        <v>112</v>
      </c>
      <c r="E5" s="9" t="s">
        <v>54</v>
      </c>
      <c r="F5" s="10">
        <v>31610</v>
      </c>
      <c r="G5" s="9" t="s">
        <v>115</v>
      </c>
      <c r="H5" s="9" t="s">
        <v>113</v>
      </c>
      <c r="I5" s="9" t="s">
        <v>26</v>
      </c>
      <c r="J5" s="9" t="s">
        <v>114</v>
      </c>
      <c r="K5" s="9"/>
      <c r="L5" s="9"/>
      <c r="M5" s="9" t="s">
        <v>113</v>
      </c>
      <c r="N5" s="9" t="s">
        <v>26</v>
      </c>
      <c r="O5" s="9">
        <v>0</v>
      </c>
    </row>
    <row r="6" spans="1:15" x14ac:dyDescent="0.4">
      <c r="A6" s="8">
        <v>45749.424421296295</v>
      </c>
      <c r="B6" s="9" t="s">
        <v>290</v>
      </c>
      <c r="C6" s="9" t="s">
        <v>291</v>
      </c>
      <c r="D6" s="9" t="s">
        <v>292</v>
      </c>
      <c r="E6" s="9" t="s">
        <v>54</v>
      </c>
      <c r="F6" s="10">
        <v>31512</v>
      </c>
      <c r="G6" s="9" t="s">
        <v>293</v>
      </c>
      <c r="H6" s="9" t="s">
        <v>282</v>
      </c>
      <c r="I6" s="9" t="s">
        <v>26</v>
      </c>
      <c r="J6" s="9" t="s">
        <v>294</v>
      </c>
      <c r="K6" s="9"/>
      <c r="L6" s="9"/>
      <c r="M6" s="9" t="s">
        <v>282</v>
      </c>
      <c r="N6" s="9" t="s">
        <v>26</v>
      </c>
      <c r="O6" s="9">
        <v>0</v>
      </c>
    </row>
    <row r="7" spans="1:15" x14ac:dyDescent="0.4">
      <c r="A7" s="8">
        <v>45749.498310185183</v>
      </c>
      <c r="B7" s="9" t="s">
        <v>51</v>
      </c>
      <c r="C7" s="9" t="s">
        <v>52</v>
      </c>
      <c r="D7" s="9" t="s">
        <v>53</v>
      </c>
      <c r="E7" s="9" t="s">
        <v>54</v>
      </c>
      <c r="F7" s="10">
        <v>32475</v>
      </c>
      <c r="G7" s="9" t="s">
        <v>55</v>
      </c>
      <c r="H7" s="9" t="s">
        <v>56</v>
      </c>
      <c r="I7" s="9" t="s">
        <v>26</v>
      </c>
      <c r="J7" s="9" t="s">
        <v>57</v>
      </c>
      <c r="K7" s="9"/>
      <c r="L7" s="9"/>
      <c r="M7" s="9" t="s">
        <v>56</v>
      </c>
      <c r="N7" s="9" t="s">
        <v>26</v>
      </c>
      <c r="O7" s="9">
        <v>0</v>
      </c>
    </row>
    <row r="8" spans="1:15" x14ac:dyDescent="0.4">
      <c r="A8" s="8">
        <v>45750.543657407405</v>
      </c>
      <c r="B8" s="9" t="s">
        <v>361</v>
      </c>
      <c r="C8" s="9" t="s">
        <v>362</v>
      </c>
      <c r="D8" s="9" t="s">
        <v>363</v>
      </c>
      <c r="E8" s="9" t="s">
        <v>54</v>
      </c>
      <c r="F8" s="10">
        <v>34332</v>
      </c>
      <c r="G8" s="9" t="s">
        <v>364</v>
      </c>
      <c r="H8" s="9" t="s">
        <v>357</v>
      </c>
      <c r="I8" s="9" t="s">
        <v>19</v>
      </c>
      <c r="J8" s="9"/>
      <c r="K8" s="9"/>
      <c r="L8" s="9" t="s">
        <v>365</v>
      </c>
      <c r="M8" s="9" t="s">
        <v>357</v>
      </c>
      <c r="N8" s="9" t="s">
        <v>19</v>
      </c>
      <c r="O8" s="9">
        <v>0</v>
      </c>
    </row>
    <row r="9" spans="1:15" x14ac:dyDescent="0.4">
      <c r="A9" s="8">
        <v>45749.496342592596</v>
      </c>
      <c r="B9" s="9" t="s">
        <v>119</v>
      </c>
      <c r="C9" s="9" t="s">
        <v>120</v>
      </c>
      <c r="D9" s="9" t="s">
        <v>121</v>
      </c>
      <c r="E9" s="9" t="s">
        <v>54</v>
      </c>
      <c r="F9" s="10">
        <v>34577</v>
      </c>
      <c r="G9" s="9" t="s">
        <v>122</v>
      </c>
      <c r="H9" s="9" t="s">
        <v>113</v>
      </c>
      <c r="I9" s="9" t="s">
        <v>26</v>
      </c>
      <c r="J9" s="9" t="s">
        <v>123</v>
      </c>
      <c r="K9" s="9"/>
      <c r="L9" s="9"/>
      <c r="M9" s="9" t="s">
        <v>113</v>
      </c>
      <c r="N9" s="9" t="s">
        <v>26</v>
      </c>
      <c r="O9" s="9">
        <v>0</v>
      </c>
    </row>
    <row r="10" spans="1:15" x14ac:dyDescent="0.4">
      <c r="A10" s="8">
        <v>45750.397835648146</v>
      </c>
      <c r="B10" s="9" t="s">
        <v>237</v>
      </c>
      <c r="C10" s="9" t="s">
        <v>238</v>
      </c>
      <c r="D10" s="9" t="s">
        <v>239</v>
      </c>
      <c r="E10" s="9" t="s">
        <v>54</v>
      </c>
      <c r="F10" s="10">
        <v>31405</v>
      </c>
      <c r="G10" s="9" t="s">
        <v>240</v>
      </c>
      <c r="H10" s="9" t="s">
        <v>233</v>
      </c>
      <c r="I10" s="9" t="s">
        <v>26</v>
      </c>
      <c r="J10" s="9" t="s">
        <v>241</v>
      </c>
      <c r="K10" s="9"/>
      <c r="L10" s="9"/>
      <c r="M10" s="9" t="s">
        <v>233</v>
      </c>
      <c r="N10" s="9" t="s">
        <v>26</v>
      </c>
      <c r="O10" s="9">
        <v>0</v>
      </c>
    </row>
    <row r="11" spans="1:15" x14ac:dyDescent="0.4">
      <c r="A11" s="8">
        <v>45750.399571759262</v>
      </c>
      <c r="B11" s="9" t="s">
        <v>222</v>
      </c>
      <c r="C11" s="9" t="s">
        <v>223</v>
      </c>
      <c r="D11" s="9" t="s">
        <v>224</v>
      </c>
      <c r="E11" s="9" t="s">
        <v>54</v>
      </c>
      <c r="F11" s="10">
        <v>36569</v>
      </c>
      <c r="G11" s="9" t="s">
        <v>225</v>
      </c>
      <c r="H11" s="9" t="s">
        <v>216</v>
      </c>
      <c r="I11" s="9" t="s">
        <v>26</v>
      </c>
      <c r="J11" s="9" t="s">
        <v>226</v>
      </c>
      <c r="K11" s="9"/>
      <c r="L11" s="9"/>
      <c r="M11" s="9" t="s">
        <v>216</v>
      </c>
      <c r="N11" s="9" t="s">
        <v>26</v>
      </c>
      <c r="O11" s="9">
        <v>0</v>
      </c>
    </row>
    <row r="12" spans="1:15" x14ac:dyDescent="0.4">
      <c r="A12" s="8">
        <v>45750.399560185186</v>
      </c>
      <c r="B12" s="9" t="s">
        <v>217</v>
      </c>
      <c r="C12" s="9" t="s">
        <v>218</v>
      </c>
      <c r="D12" s="9" t="s">
        <v>219</v>
      </c>
      <c r="E12" s="9" t="s">
        <v>54</v>
      </c>
      <c r="F12" s="10">
        <v>31913</v>
      </c>
      <c r="G12" s="9" t="s">
        <v>220</v>
      </c>
      <c r="H12" s="9" t="s">
        <v>216</v>
      </c>
      <c r="I12" s="9" t="s">
        <v>19</v>
      </c>
      <c r="J12" s="9"/>
      <c r="K12" s="9"/>
      <c r="L12" s="9" t="s">
        <v>221</v>
      </c>
      <c r="M12" s="9" t="s">
        <v>216</v>
      </c>
      <c r="N12" s="9" t="s">
        <v>19</v>
      </c>
      <c r="O12" s="9">
        <v>0</v>
      </c>
    </row>
    <row r="13" spans="1:15" x14ac:dyDescent="0.4">
      <c r="A13" s="8">
        <v>45749.416076388887</v>
      </c>
      <c r="B13" s="9" t="s">
        <v>154</v>
      </c>
      <c r="C13" s="9" t="s">
        <v>155</v>
      </c>
      <c r="D13" s="9" t="s">
        <v>156</v>
      </c>
      <c r="E13" s="9" t="s">
        <v>54</v>
      </c>
      <c r="F13" s="10">
        <v>25470</v>
      </c>
      <c r="G13" s="9" t="s">
        <v>157</v>
      </c>
      <c r="H13" s="9" t="s">
        <v>153</v>
      </c>
      <c r="I13" s="9" t="s">
        <v>19</v>
      </c>
      <c r="J13" s="9"/>
      <c r="K13" s="9"/>
      <c r="L13" s="9" t="s">
        <v>158</v>
      </c>
      <c r="M13" s="9" t="s">
        <v>153</v>
      </c>
      <c r="N13" s="9" t="s">
        <v>19</v>
      </c>
      <c r="O13" s="9">
        <v>0</v>
      </c>
    </row>
    <row r="14" spans="1:15" x14ac:dyDescent="0.4">
      <c r="A14" s="8">
        <v>45749.417766203704</v>
      </c>
      <c r="B14" s="9" t="s">
        <v>100</v>
      </c>
      <c r="C14" s="9" t="s">
        <v>101</v>
      </c>
      <c r="D14" s="9" t="s">
        <v>102</v>
      </c>
      <c r="E14" s="9" t="s">
        <v>54</v>
      </c>
      <c r="F14" s="10">
        <v>25676</v>
      </c>
      <c r="G14" s="9" t="s">
        <v>103</v>
      </c>
      <c r="H14" s="9" t="s">
        <v>99</v>
      </c>
      <c r="I14" s="9" t="s">
        <v>26</v>
      </c>
      <c r="J14" s="9" t="s">
        <v>104</v>
      </c>
      <c r="K14" s="9" t="s">
        <v>105</v>
      </c>
      <c r="L14" s="9"/>
      <c r="M14" s="9" t="s">
        <v>99</v>
      </c>
      <c r="N14" s="9" t="s">
        <v>26</v>
      </c>
      <c r="O14" s="9">
        <v>0</v>
      </c>
    </row>
    <row r="15" spans="1:15" x14ac:dyDescent="0.4">
      <c r="A15" s="8">
        <v>45750.539664351854</v>
      </c>
      <c r="B15" s="9" t="s">
        <v>342</v>
      </c>
      <c r="C15" s="9" t="s">
        <v>343</v>
      </c>
      <c r="D15" s="9" t="s">
        <v>344</v>
      </c>
      <c r="E15" s="9" t="s">
        <v>54</v>
      </c>
      <c r="F15" s="10">
        <v>27486</v>
      </c>
      <c r="G15" s="9" t="s">
        <v>345</v>
      </c>
      <c r="H15" s="9" t="s">
        <v>346</v>
      </c>
      <c r="I15" s="9" t="s">
        <v>26</v>
      </c>
      <c r="J15" s="9" t="s">
        <v>347</v>
      </c>
      <c r="K15" s="9"/>
      <c r="L15" s="9"/>
      <c r="M15" s="9" t="s">
        <v>346</v>
      </c>
      <c r="N15" s="9" t="s">
        <v>26</v>
      </c>
      <c r="O15" s="9">
        <v>0</v>
      </c>
    </row>
    <row r="16" spans="1:15" x14ac:dyDescent="0.4">
      <c r="A16" s="8">
        <v>45749.413159722222</v>
      </c>
      <c r="B16" s="9" t="s">
        <v>128</v>
      </c>
      <c r="C16" s="9" t="s">
        <v>129</v>
      </c>
      <c r="D16" s="9" t="s">
        <v>130</v>
      </c>
      <c r="E16" s="9" t="s">
        <v>54</v>
      </c>
      <c r="F16" s="10">
        <v>26355</v>
      </c>
      <c r="G16" s="9" t="s">
        <v>131</v>
      </c>
      <c r="H16" s="9" t="s">
        <v>127</v>
      </c>
      <c r="I16" s="9" t="s">
        <v>26</v>
      </c>
      <c r="J16" s="9" t="s">
        <v>132</v>
      </c>
      <c r="K16" s="9" t="s">
        <v>133</v>
      </c>
      <c r="L16" s="9"/>
      <c r="M16" s="9" t="s">
        <v>127</v>
      </c>
      <c r="N16" s="9" t="s">
        <v>26</v>
      </c>
      <c r="O16" s="9">
        <v>0</v>
      </c>
    </row>
    <row r="17" spans="1:15" x14ac:dyDescent="0.4">
      <c r="A17" s="8">
        <v>45749.40997685185</v>
      </c>
      <c r="B17" s="9" t="s">
        <v>170</v>
      </c>
      <c r="C17" s="9" t="s">
        <v>171</v>
      </c>
      <c r="D17" s="9" t="s">
        <v>172</v>
      </c>
      <c r="E17" s="9" t="s">
        <v>54</v>
      </c>
      <c r="F17" s="10">
        <v>28376</v>
      </c>
      <c r="G17" s="9" t="s">
        <v>173</v>
      </c>
      <c r="H17" s="9" t="s">
        <v>166</v>
      </c>
      <c r="I17" s="9" t="s">
        <v>26</v>
      </c>
      <c r="J17" s="9" t="s">
        <v>174</v>
      </c>
      <c r="K17" s="9" t="s">
        <v>175</v>
      </c>
      <c r="L17" s="9"/>
      <c r="M17" s="9" t="s">
        <v>166</v>
      </c>
      <c r="N17" s="9" t="s">
        <v>26</v>
      </c>
      <c r="O17" s="9">
        <v>0</v>
      </c>
    </row>
    <row r="18" spans="1:15" x14ac:dyDescent="0.4">
      <c r="A18" s="8">
        <v>45750.40247685185</v>
      </c>
      <c r="B18" s="9" t="s">
        <v>194</v>
      </c>
      <c r="C18" s="9" t="s">
        <v>195</v>
      </c>
      <c r="D18" s="9" t="s">
        <v>196</v>
      </c>
      <c r="E18" s="9" t="s">
        <v>54</v>
      </c>
      <c r="F18" s="10">
        <v>28771</v>
      </c>
      <c r="G18" s="9" t="s">
        <v>197</v>
      </c>
      <c r="H18" s="9" t="s">
        <v>193</v>
      </c>
      <c r="I18" s="9" t="s">
        <v>19</v>
      </c>
      <c r="J18" s="9"/>
      <c r="K18" s="9"/>
      <c r="L18" s="9" t="s">
        <v>198</v>
      </c>
      <c r="M18" s="9" t="s">
        <v>193</v>
      </c>
      <c r="N18" s="9" t="s">
        <v>19</v>
      </c>
      <c r="O18" s="9">
        <v>0</v>
      </c>
    </row>
    <row r="19" spans="1:15" x14ac:dyDescent="0.4">
      <c r="A19" s="8">
        <v>45750.545057870368</v>
      </c>
      <c r="B19" s="9" t="s">
        <v>358</v>
      </c>
      <c r="C19" s="9" t="s">
        <v>366</v>
      </c>
      <c r="D19" s="9" t="s">
        <v>367</v>
      </c>
      <c r="E19" s="9" t="s">
        <v>54</v>
      </c>
      <c r="F19" s="10">
        <v>28811</v>
      </c>
      <c r="G19" s="9" t="s">
        <v>368</v>
      </c>
      <c r="H19" s="9" t="s">
        <v>357</v>
      </c>
      <c r="I19" s="9" t="s">
        <v>26</v>
      </c>
      <c r="J19" s="9" t="s">
        <v>369</v>
      </c>
      <c r="K19" s="9"/>
      <c r="L19" s="9"/>
      <c r="M19" s="9" t="s">
        <v>357</v>
      </c>
      <c r="N19" s="9" t="s">
        <v>26</v>
      </c>
      <c r="O19" s="9">
        <v>0</v>
      </c>
    </row>
    <row r="20" spans="1:15" x14ac:dyDescent="0.4">
      <c r="A20" s="8">
        <v>45749.420960648145</v>
      </c>
      <c r="B20" s="9" t="s">
        <v>278</v>
      </c>
      <c r="C20" s="9" t="s">
        <v>279</v>
      </c>
      <c r="D20" s="9" t="s">
        <v>280</v>
      </c>
      <c r="E20" s="9" t="s">
        <v>54</v>
      </c>
      <c r="F20" s="10">
        <v>30211</v>
      </c>
      <c r="G20" s="9" t="s">
        <v>281</v>
      </c>
      <c r="H20" s="9" t="s">
        <v>282</v>
      </c>
      <c r="I20" s="9" t="s">
        <v>26</v>
      </c>
      <c r="J20" s="9" t="s">
        <v>283</v>
      </c>
      <c r="K20" s="9" t="s">
        <v>284</v>
      </c>
      <c r="L20" s="9"/>
      <c r="M20" s="9" t="s">
        <v>282</v>
      </c>
      <c r="N20" s="9" t="s">
        <v>26</v>
      </c>
      <c r="O20" s="9">
        <v>0</v>
      </c>
    </row>
    <row r="21" spans="1:15" x14ac:dyDescent="0.4">
      <c r="A21" s="2">
        <v>45749.59888888889</v>
      </c>
      <c r="B21" t="s">
        <v>140</v>
      </c>
      <c r="C21" t="s">
        <v>141</v>
      </c>
      <c r="D21" t="s">
        <v>142</v>
      </c>
      <c r="E21" t="s">
        <v>17</v>
      </c>
      <c r="M21" t="s">
        <v>127</v>
      </c>
      <c r="N21" t="s">
        <v>19</v>
      </c>
      <c r="O21">
        <v>0</v>
      </c>
    </row>
    <row r="22" spans="1:15" x14ac:dyDescent="0.4">
      <c r="A22" s="2">
        <v>45750.399224537039</v>
      </c>
      <c r="B22" t="s">
        <v>190</v>
      </c>
      <c r="C22" t="s">
        <v>191</v>
      </c>
      <c r="D22" t="s">
        <v>192</v>
      </c>
      <c r="E22" t="s">
        <v>17</v>
      </c>
      <c r="M22" t="s">
        <v>193</v>
      </c>
      <c r="N22" t="s">
        <v>26</v>
      </c>
      <c r="O22">
        <v>0</v>
      </c>
    </row>
    <row r="23" spans="1:15" x14ac:dyDescent="0.4">
      <c r="A23" s="2">
        <v>45749.405775462961</v>
      </c>
      <c r="B23" t="s">
        <v>41</v>
      </c>
      <c r="C23" t="s">
        <v>42</v>
      </c>
      <c r="D23" t="s">
        <v>43</v>
      </c>
      <c r="E23" t="s">
        <v>17</v>
      </c>
      <c r="M23" t="s">
        <v>40</v>
      </c>
      <c r="N23" t="s">
        <v>26</v>
      </c>
      <c r="O23">
        <v>0</v>
      </c>
    </row>
    <row r="24" spans="1:15" x14ac:dyDescent="0.4">
      <c r="A24" s="2">
        <v>45750.405532407407</v>
      </c>
      <c r="B24" t="s">
        <v>322</v>
      </c>
      <c r="C24" t="s">
        <v>323</v>
      </c>
      <c r="D24" t="s">
        <v>324</v>
      </c>
      <c r="E24" t="s">
        <v>17</v>
      </c>
      <c r="M24" t="s">
        <v>315</v>
      </c>
      <c r="N24" t="s">
        <v>19</v>
      </c>
      <c r="O24">
        <v>0</v>
      </c>
    </row>
    <row r="25" spans="1:15" x14ac:dyDescent="0.4">
      <c r="A25" s="2">
        <v>45750.407222222224</v>
      </c>
      <c r="B25" t="s">
        <v>259</v>
      </c>
      <c r="C25" t="s">
        <v>260</v>
      </c>
      <c r="D25" t="s">
        <v>261</v>
      </c>
      <c r="E25" t="s">
        <v>17</v>
      </c>
      <c r="M25" t="s">
        <v>262</v>
      </c>
      <c r="N25" t="s">
        <v>26</v>
      </c>
      <c r="O25">
        <v>0</v>
      </c>
    </row>
    <row r="26" spans="1:15" x14ac:dyDescent="0.4">
      <c r="A26" s="2">
        <v>45749.471296296295</v>
      </c>
      <c r="B26" t="s">
        <v>65</v>
      </c>
      <c r="C26" t="s">
        <v>66</v>
      </c>
      <c r="D26" t="s">
        <v>67</v>
      </c>
      <c r="E26" t="s">
        <v>17</v>
      </c>
      <c r="M26" t="s">
        <v>64</v>
      </c>
      <c r="N26" t="s">
        <v>26</v>
      </c>
      <c r="O26">
        <v>0</v>
      </c>
    </row>
    <row r="27" spans="1:15" x14ac:dyDescent="0.4">
      <c r="A27" s="2">
        <v>45750.401006944441</v>
      </c>
      <c r="B27" t="s">
        <v>325</v>
      </c>
      <c r="C27" t="s">
        <v>326</v>
      </c>
      <c r="D27" t="s">
        <v>327</v>
      </c>
      <c r="E27" t="s">
        <v>17</v>
      </c>
      <c r="M27" t="s">
        <v>328</v>
      </c>
      <c r="N27" t="s">
        <v>26</v>
      </c>
      <c r="O27">
        <v>0</v>
      </c>
    </row>
    <row r="28" spans="1:15" x14ac:dyDescent="0.4">
      <c r="A28" s="2">
        <v>45749.469155092593</v>
      </c>
      <c r="B28" t="s">
        <v>61</v>
      </c>
      <c r="C28" t="s">
        <v>62</v>
      </c>
      <c r="D28" t="s">
        <v>63</v>
      </c>
      <c r="E28" t="s">
        <v>17</v>
      </c>
      <c r="M28" t="s">
        <v>64</v>
      </c>
      <c r="N28" t="s">
        <v>19</v>
      </c>
      <c r="O28">
        <v>0</v>
      </c>
    </row>
    <row r="29" spans="1:15" x14ac:dyDescent="0.4">
      <c r="A29" s="2">
        <v>45749.405648148146</v>
      </c>
      <c r="B29" t="s">
        <v>37</v>
      </c>
      <c r="C29" t="s">
        <v>38</v>
      </c>
      <c r="D29" t="s">
        <v>39</v>
      </c>
      <c r="E29" t="s">
        <v>17</v>
      </c>
      <c r="M29" t="s">
        <v>40</v>
      </c>
      <c r="N29" t="s">
        <v>26</v>
      </c>
      <c r="O29">
        <v>0</v>
      </c>
    </row>
    <row r="30" spans="1:15" x14ac:dyDescent="0.4">
      <c r="A30" s="2">
        <v>45750.395277777781</v>
      </c>
      <c r="B30" t="s">
        <v>299</v>
      </c>
      <c r="C30" t="s">
        <v>300</v>
      </c>
      <c r="D30" t="s">
        <v>301</v>
      </c>
      <c r="E30" t="s">
        <v>17</v>
      </c>
      <c r="M30" t="s">
        <v>298</v>
      </c>
      <c r="N30" t="s">
        <v>26</v>
      </c>
      <c r="O30">
        <v>0</v>
      </c>
    </row>
    <row r="31" spans="1:15" x14ac:dyDescent="0.4">
      <c r="A31" s="2">
        <v>45749.439606481479</v>
      </c>
      <c r="B31" t="s">
        <v>183</v>
      </c>
      <c r="C31" t="s">
        <v>184</v>
      </c>
      <c r="D31" t="s">
        <v>185</v>
      </c>
      <c r="E31" t="s">
        <v>17</v>
      </c>
      <c r="M31" t="s">
        <v>186</v>
      </c>
      <c r="N31" t="s">
        <v>26</v>
      </c>
      <c r="O31">
        <v>0</v>
      </c>
    </row>
    <row r="32" spans="1:15" x14ac:dyDescent="0.4">
      <c r="A32" s="2">
        <v>45749.399097222224</v>
      </c>
      <c r="B32" t="s">
        <v>96</v>
      </c>
      <c r="C32" t="s">
        <v>97</v>
      </c>
      <c r="D32" t="s">
        <v>98</v>
      </c>
      <c r="E32" t="s">
        <v>17</v>
      </c>
      <c r="M32" t="s">
        <v>99</v>
      </c>
      <c r="N32" t="s">
        <v>19</v>
      </c>
      <c r="O32">
        <v>0</v>
      </c>
    </row>
    <row r="33" spans="1:15" x14ac:dyDescent="0.4">
      <c r="A33" s="2">
        <v>45749.404803240737</v>
      </c>
      <c r="B33" t="s">
        <v>81</v>
      </c>
      <c r="C33" t="s">
        <v>82</v>
      </c>
      <c r="D33" t="s">
        <v>83</v>
      </c>
      <c r="E33" t="s">
        <v>17</v>
      </c>
      <c r="M33" t="s">
        <v>77</v>
      </c>
      <c r="N33" t="s">
        <v>26</v>
      </c>
      <c r="O33">
        <v>0</v>
      </c>
    </row>
    <row r="34" spans="1:15" x14ac:dyDescent="0.4">
      <c r="A34" s="2">
        <v>45750.53701388889</v>
      </c>
      <c r="B34" t="s">
        <v>339</v>
      </c>
      <c r="C34" t="s">
        <v>340</v>
      </c>
      <c r="D34" t="s">
        <v>341</v>
      </c>
      <c r="E34" t="s">
        <v>17</v>
      </c>
      <c r="M34" t="s">
        <v>700</v>
      </c>
      <c r="N34" t="s">
        <v>700</v>
      </c>
      <c r="O34">
        <v>0</v>
      </c>
    </row>
    <row r="35" spans="1:15" x14ac:dyDescent="0.4">
      <c r="A35" s="2">
        <v>45750.404942129629</v>
      </c>
      <c r="B35" t="s">
        <v>319</v>
      </c>
      <c r="C35" t="s">
        <v>320</v>
      </c>
      <c r="D35" t="s">
        <v>321</v>
      </c>
      <c r="E35" t="s">
        <v>17</v>
      </c>
      <c r="M35" t="s">
        <v>315</v>
      </c>
      <c r="N35" t="s">
        <v>26</v>
      </c>
      <c r="O35">
        <v>0</v>
      </c>
    </row>
    <row r="36" spans="1:15" x14ac:dyDescent="0.4">
      <c r="A36" s="2">
        <v>45749.861192129632</v>
      </c>
      <c r="B36" t="s">
        <v>147</v>
      </c>
      <c r="C36" t="s">
        <v>148</v>
      </c>
      <c r="D36" t="s">
        <v>149</v>
      </c>
      <c r="E36" t="s">
        <v>17</v>
      </c>
      <c r="M36" t="s">
        <v>146</v>
      </c>
      <c r="N36" t="s">
        <v>19</v>
      </c>
      <c r="O36">
        <v>0</v>
      </c>
    </row>
    <row r="37" spans="1:15" x14ac:dyDescent="0.4">
      <c r="A37" s="2">
        <v>45750.462222222224</v>
      </c>
      <c r="B37" t="s">
        <v>336</v>
      </c>
      <c r="C37" t="s">
        <v>337</v>
      </c>
      <c r="D37" t="s">
        <v>338</v>
      </c>
      <c r="E37" t="s">
        <v>17</v>
      </c>
      <c r="M37" t="s">
        <v>328</v>
      </c>
      <c r="N37" t="s">
        <v>26</v>
      </c>
      <c r="O37">
        <v>0</v>
      </c>
    </row>
    <row r="38" spans="1:15" x14ac:dyDescent="0.4">
      <c r="A38" s="2">
        <v>45749.499131944445</v>
      </c>
      <c r="B38" t="s">
        <v>159</v>
      </c>
      <c r="C38" t="s">
        <v>160</v>
      </c>
      <c r="D38" t="s">
        <v>161</v>
      </c>
      <c r="E38" t="s">
        <v>17</v>
      </c>
      <c r="M38" t="s">
        <v>162</v>
      </c>
      <c r="N38" t="s">
        <v>26</v>
      </c>
      <c r="O38">
        <v>0</v>
      </c>
    </row>
    <row r="39" spans="1:15" x14ac:dyDescent="0.4">
      <c r="A39" s="2">
        <v>45750.413171296299</v>
      </c>
      <c r="B39" t="s">
        <v>210</v>
      </c>
      <c r="C39" t="s">
        <v>211</v>
      </c>
      <c r="D39" t="s">
        <v>212</v>
      </c>
      <c r="E39" t="s">
        <v>17</v>
      </c>
      <c r="M39" t="s">
        <v>209</v>
      </c>
      <c r="N39" t="s">
        <v>26</v>
      </c>
      <c r="O39">
        <v>0</v>
      </c>
    </row>
    <row r="40" spans="1:15" x14ac:dyDescent="0.4">
      <c r="A40" s="2">
        <v>45750.40457175926</v>
      </c>
      <c r="B40" t="s">
        <v>312</v>
      </c>
      <c r="C40" t="s">
        <v>313</v>
      </c>
      <c r="D40" t="s">
        <v>314</v>
      </c>
      <c r="E40" t="s">
        <v>17</v>
      </c>
      <c r="M40" t="s">
        <v>315</v>
      </c>
      <c r="N40" t="s">
        <v>19</v>
      </c>
      <c r="O40">
        <v>0</v>
      </c>
    </row>
    <row r="41" spans="1:15" x14ac:dyDescent="0.4">
      <c r="A41" s="2">
        <v>45750.542569444442</v>
      </c>
      <c r="B41" t="s">
        <v>358</v>
      </c>
      <c r="C41" t="s">
        <v>359</v>
      </c>
      <c r="D41" t="s">
        <v>360</v>
      </c>
      <c r="E41" t="s">
        <v>17</v>
      </c>
      <c r="M41" t="s">
        <v>357</v>
      </c>
      <c r="N41" t="s">
        <v>26</v>
      </c>
      <c r="O41">
        <v>0</v>
      </c>
    </row>
    <row r="42" spans="1:15" x14ac:dyDescent="0.4">
      <c r="A42" s="2">
        <v>45750.395196759258</v>
      </c>
      <c r="B42" t="s">
        <v>295</v>
      </c>
      <c r="C42" t="s">
        <v>296</v>
      </c>
      <c r="D42" t="s">
        <v>297</v>
      </c>
      <c r="E42" t="s">
        <v>17</v>
      </c>
      <c r="M42" t="s">
        <v>298</v>
      </c>
      <c r="N42" t="s">
        <v>26</v>
      </c>
      <c r="O42">
        <v>0</v>
      </c>
    </row>
    <row r="43" spans="1:15" x14ac:dyDescent="0.4">
      <c r="A43" s="2">
        <v>45750.398854166669</v>
      </c>
      <c r="B43" t="s">
        <v>242</v>
      </c>
      <c r="C43" t="s">
        <v>243</v>
      </c>
      <c r="D43" t="s">
        <v>244</v>
      </c>
      <c r="E43" t="s">
        <v>17</v>
      </c>
      <c r="M43" t="s">
        <v>233</v>
      </c>
      <c r="N43" t="s">
        <v>26</v>
      </c>
      <c r="O43">
        <v>0</v>
      </c>
    </row>
    <row r="44" spans="1:15" x14ac:dyDescent="0.4">
      <c r="A44" s="2">
        <v>45750.404756944445</v>
      </c>
      <c r="B44" t="s">
        <v>316</v>
      </c>
      <c r="C44" t="s">
        <v>317</v>
      </c>
      <c r="D44" t="s">
        <v>318</v>
      </c>
      <c r="E44" t="s">
        <v>17</v>
      </c>
      <c r="M44" t="s">
        <v>315</v>
      </c>
      <c r="N44" t="s">
        <v>26</v>
      </c>
      <c r="O44">
        <v>0</v>
      </c>
    </row>
    <row r="45" spans="1:15" x14ac:dyDescent="0.4">
      <c r="A45" s="2">
        <v>45750.407372685186</v>
      </c>
      <c r="B45" t="s">
        <v>227</v>
      </c>
      <c r="C45" t="s">
        <v>228</v>
      </c>
      <c r="D45" t="s">
        <v>229</v>
      </c>
      <c r="E45" t="s">
        <v>17</v>
      </c>
      <c r="M45" t="s">
        <v>216</v>
      </c>
      <c r="N45" t="s">
        <v>19</v>
      </c>
      <c r="O45">
        <v>0</v>
      </c>
    </row>
    <row r="46" spans="1:15" x14ac:dyDescent="0.4">
      <c r="A46" s="2">
        <v>45749.401006944441</v>
      </c>
      <c r="B46" t="s">
        <v>124</v>
      </c>
      <c r="C46" t="s">
        <v>125</v>
      </c>
      <c r="D46" t="s">
        <v>126</v>
      </c>
      <c r="E46" t="s">
        <v>17</v>
      </c>
      <c r="M46" t="s">
        <v>127</v>
      </c>
      <c r="N46" t="s">
        <v>26</v>
      </c>
      <c r="O46">
        <v>0</v>
      </c>
    </row>
    <row r="47" spans="1:15" x14ac:dyDescent="0.4">
      <c r="A47" s="2">
        <v>45750.396608796298</v>
      </c>
      <c r="B47" t="s">
        <v>230</v>
      </c>
      <c r="C47" t="s">
        <v>231</v>
      </c>
      <c r="D47" t="s">
        <v>232</v>
      </c>
      <c r="E47" t="s">
        <v>17</v>
      </c>
      <c r="M47" t="s">
        <v>233</v>
      </c>
      <c r="N47" t="s">
        <v>26</v>
      </c>
      <c r="O47">
        <v>0</v>
      </c>
    </row>
    <row r="48" spans="1:15" x14ac:dyDescent="0.4">
      <c r="A48" s="2">
        <v>45749.502129629633</v>
      </c>
      <c r="B48" t="s">
        <v>134</v>
      </c>
      <c r="C48" t="s">
        <v>135</v>
      </c>
      <c r="D48" t="s">
        <v>136</v>
      </c>
      <c r="E48" t="s">
        <v>17</v>
      </c>
      <c r="M48" t="s">
        <v>127</v>
      </c>
      <c r="N48" t="s">
        <v>26</v>
      </c>
      <c r="O48">
        <v>0</v>
      </c>
    </row>
    <row r="49" spans="1:15" x14ac:dyDescent="0.4">
      <c r="A49" s="2">
        <v>45750.397731481484</v>
      </c>
      <c r="B49" t="s">
        <v>302</v>
      </c>
      <c r="C49" t="s">
        <v>303</v>
      </c>
      <c r="D49" t="s">
        <v>304</v>
      </c>
      <c r="E49" t="s">
        <v>17</v>
      </c>
      <c r="M49" t="s">
        <v>305</v>
      </c>
      <c r="N49" t="s">
        <v>26</v>
      </c>
      <c r="O49">
        <v>0</v>
      </c>
    </row>
    <row r="50" spans="1:15" x14ac:dyDescent="0.4">
      <c r="A50" s="2">
        <v>45749.692326388889</v>
      </c>
      <c r="B50" t="s">
        <v>44</v>
      </c>
      <c r="C50" t="s">
        <v>45</v>
      </c>
      <c r="D50" t="s">
        <v>46</v>
      </c>
      <c r="E50" t="s">
        <v>17</v>
      </c>
      <c r="M50" t="s">
        <v>47</v>
      </c>
      <c r="N50" t="s">
        <v>26</v>
      </c>
      <c r="O50">
        <v>0</v>
      </c>
    </row>
    <row r="51" spans="1:15" x14ac:dyDescent="0.4">
      <c r="A51" s="2">
        <v>45750.398541666669</v>
      </c>
      <c r="B51" t="s">
        <v>93</v>
      </c>
      <c r="C51" t="s">
        <v>94</v>
      </c>
      <c r="D51" t="s">
        <v>95</v>
      </c>
      <c r="E51" t="s">
        <v>17</v>
      </c>
      <c r="M51" t="s">
        <v>92</v>
      </c>
      <c r="N51" t="s">
        <v>26</v>
      </c>
      <c r="O51">
        <v>0</v>
      </c>
    </row>
    <row r="52" spans="1:15" x14ac:dyDescent="0.4">
      <c r="A52" s="2">
        <v>45749.412743055553</v>
      </c>
      <c r="B52" t="s">
        <v>143</v>
      </c>
      <c r="C52" t="s">
        <v>144</v>
      </c>
      <c r="D52" t="s">
        <v>145</v>
      </c>
      <c r="E52" t="s">
        <v>17</v>
      </c>
      <c r="M52" t="s">
        <v>146</v>
      </c>
      <c r="N52" t="s">
        <v>26</v>
      </c>
      <c r="O52">
        <v>0</v>
      </c>
    </row>
    <row r="53" spans="1:15" x14ac:dyDescent="0.4">
      <c r="A53" s="2">
        <v>45749.406655092593</v>
      </c>
      <c r="B53" t="s">
        <v>20</v>
      </c>
      <c r="C53" t="s">
        <v>21</v>
      </c>
      <c r="D53" t="s">
        <v>22</v>
      </c>
      <c r="E53" t="s">
        <v>17</v>
      </c>
      <c r="M53" t="s">
        <v>18</v>
      </c>
      <c r="N53" t="s">
        <v>19</v>
      </c>
      <c r="O53">
        <v>0</v>
      </c>
    </row>
    <row r="54" spans="1:15" x14ac:dyDescent="0.4">
      <c r="A54" s="2">
        <v>45749.498310185183</v>
      </c>
      <c r="B54" t="s">
        <v>58</v>
      </c>
      <c r="C54" t="s">
        <v>59</v>
      </c>
      <c r="D54" t="s">
        <v>60</v>
      </c>
      <c r="E54" t="s">
        <v>17</v>
      </c>
      <c r="M54" t="s">
        <v>56</v>
      </c>
      <c r="N54" t="s">
        <v>26</v>
      </c>
      <c r="O54">
        <v>0</v>
      </c>
    </row>
    <row r="55" spans="1:15" x14ac:dyDescent="0.4">
      <c r="A55" s="2">
        <v>45749.412766203706</v>
      </c>
      <c r="B55" t="s">
        <v>23</v>
      </c>
      <c r="C55" t="s">
        <v>24</v>
      </c>
      <c r="D55" t="s">
        <v>25</v>
      </c>
      <c r="E55" t="s">
        <v>17</v>
      </c>
      <c r="M55" t="s">
        <v>18</v>
      </c>
      <c r="N55" t="s">
        <v>26</v>
      </c>
      <c r="O55">
        <v>0</v>
      </c>
    </row>
    <row r="56" spans="1:15" x14ac:dyDescent="0.4">
      <c r="A56" s="2">
        <v>45749.440775462965</v>
      </c>
      <c r="B56" t="s">
        <v>187</v>
      </c>
      <c r="C56" t="s">
        <v>188</v>
      </c>
      <c r="D56" t="s">
        <v>189</v>
      </c>
      <c r="E56" t="s">
        <v>17</v>
      </c>
      <c r="M56" t="s">
        <v>186</v>
      </c>
      <c r="N56" t="s">
        <v>26</v>
      </c>
      <c r="O56">
        <v>0</v>
      </c>
    </row>
    <row r="57" spans="1:15" x14ac:dyDescent="0.4">
      <c r="A57" s="2">
        <v>45749.502627314818</v>
      </c>
      <c r="B57" t="s">
        <v>150</v>
      </c>
      <c r="C57" t="s">
        <v>151</v>
      </c>
      <c r="D57" t="s">
        <v>152</v>
      </c>
      <c r="E57" t="s">
        <v>17</v>
      </c>
      <c r="M57" t="s">
        <v>153</v>
      </c>
      <c r="N57" t="s">
        <v>26</v>
      </c>
      <c r="O57">
        <v>0</v>
      </c>
    </row>
    <row r="58" spans="1:15" x14ac:dyDescent="0.4">
      <c r="A58" s="2">
        <v>45749.471562500003</v>
      </c>
      <c r="B58" t="s">
        <v>68</v>
      </c>
      <c r="C58" t="s">
        <v>69</v>
      </c>
      <c r="D58" t="s">
        <v>70</v>
      </c>
      <c r="E58" t="s">
        <v>17</v>
      </c>
      <c r="M58" t="s">
        <v>64</v>
      </c>
      <c r="N58" t="s">
        <v>19</v>
      </c>
      <c r="O58">
        <v>0</v>
      </c>
    </row>
    <row r="59" spans="1:15" x14ac:dyDescent="0.4">
      <c r="A59" s="2">
        <v>45749.408171296294</v>
      </c>
      <c r="B59" t="s">
        <v>163</v>
      </c>
      <c r="C59" t="s">
        <v>164</v>
      </c>
      <c r="D59" t="s">
        <v>165</v>
      </c>
      <c r="E59" t="s">
        <v>17</v>
      </c>
      <c r="M59" t="s">
        <v>166</v>
      </c>
      <c r="N59" t="s">
        <v>19</v>
      </c>
      <c r="O59">
        <v>0</v>
      </c>
    </row>
    <row r="60" spans="1:15" x14ac:dyDescent="0.4">
      <c r="A60" s="2">
        <v>45750.54105324074</v>
      </c>
      <c r="B60" t="s">
        <v>351</v>
      </c>
      <c r="C60" t="s">
        <v>352</v>
      </c>
      <c r="D60" t="s">
        <v>353</v>
      </c>
      <c r="E60" t="s">
        <v>17</v>
      </c>
      <c r="M60" t="s">
        <v>700</v>
      </c>
      <c r="N60" t="s">
        <v>700</v>
      </c>
      <c r="O60">
        <v>0</v>
      </c>
    </row>
    <row r="61" spans="1:15" x14ac:dyDescent="0.4">
      <c r="A61" s="2">
        <v>45750.397337962961</v>
      </c>
      <c r="B61" t="s">
        <v>213</v>
      </c>
      <c r="C61" t="s">
        <v>214</v>
      </c>
      <c r="D61" t="s">
        <v>215</v>
      </c>
      <c r="E61" t="s">
        <v>17</v>
      </c>
      <c r="M61" t="s">
        <v>216</v>
      </c>
      <c r="N61" t="s">
        <v>19</v>
      </c>
      <c r="O61">
        <v>0</v>
      </c>
    </row>
    <row r="62" spans="1:15" x14ac:dyDescent="0.4">
      <c r="A62" s="2">
        <v>45750.406701388885</v>
      </c>
      <c r="B62" t="s">
        <v>309</v>
      </c>
      <c r="C62" t="s">
        <v>310</v>
      </c>
      <c r="D62" t="s">
        <v>311</v>
      </c>
      <c r="E62" t="s">
        <v>17</v>
      </c>
      <c r="M62" t="s">
        <v>305</v>
      </c>
      <c r="N62" t="s">
        <v>19</v>
      </c>
      <c r="O62">
        <v>0</v>
      </c>
    </row>
    <row r="63" spans="1:15" x14ac:dyDescent="0.4">
      <c r="A63" s="2">
        <v>45750.401469907411</v>
      </c>
      <c r="B63" t="s">
        <v>329</v>
      </c>
      <c r="C63" t="s">
        <v>330</v>
      </c>
      <c r="D63" t="s">
        <v>331</v>
      </c>
      <c r="E63" t="s">
        <v>17</v>
      </c>
      <c r="M63" t="s">
        <v>328</v>
      </c>
      <c r="N63" t="s">
        <v>26</v>
      </c>
      <c r="O63">
        <v>0</v>
      </c>
    </row>
    <row r="64" spans="1:15" x14ac:dyDescent="0.4">
      <c r="A64" s="2">
        <v>45749.404699074075</v>
      </c>
      <c r="B64" t="s">
        <v>34</v>
      </c>
      <c r="C64" t="s">
        <v>35</v>
      </c>
      <c r="D64" t="s">
        <v>36</v>
      </c>
      <c r="E64" t="s">
        <v>17</v>
      </c>
      <c r="M64" t="s">
        <v>33</v>
      </c>
      <c r="N64" t="s">
        <v>26</v>
      </c>
      <c r="O64">
        <v>0</v>
      </c>
    </row>
    <row r="65" spans="1:15" x14ac:dyDescent="0.4">
      <c r="A65" s="2">
        <v>45749.505590277775</v>
      </c>
      <c r="B65" t="s">
        <v>181</v>
      </c>
      <c r="C65" t="s">
        <v>182</v>
      </c>
      <c r="D65" t="s">
        <v>180</v>
      </c>
      <c r="E65" t="s">
        <v>17</v>
      </c>
      <c r="M65" t="s">
        <v>179</v>
      </c>
      <c r="N65" t="s">
        <v>26</v>
      </c>
      <c r="O65">
        <v>0</v>
      </c>
    </row>
    <row r="66" spans="1:15" x14ac:dyDescent="0.4">
      <c r="A66" s="2">
        <v>45750.400104166663</v>
      </c>
      <c r="B66" t="s">
        <v>332</v>
      </c>
      <c r="C66" t="s">
        <v>333</v>
      </c>
      <c r="D66" t="s">
        <v>334</v>
      </c>
      <c r="E66" t="s">
        <v>17</v>
      </c>
      <c r="M66" t="s">
        <v>335</v>
      </c>
      <c r="N66" t="s">
        <v>19</v>
      </c>
      <c r="O66">
        <v>0</v>
      </c>
    </row>
    <row r="67" spans="1:15" x14ac:dyDescent="0.4">
      <c r="A67" s="2">
        <v>45750.401828703703</v>
      </c>
      <c r="B67" t="s">
        <v>199</v>
      </c>
      <c r="C67" t="s">
        <v>200</v>
      </c>
      <c r="D67" t="s">
        <v>201</v>
      </c>
      <c r="E67" t="s">
        <v>17</v>
      </c>
      <c r="M67" t="s">
        <v>202</v>
      </c>
      <c r="N67" t="s">
        <v>26</v>
      </c>
      <c r="O67">
        <v>0</v>
      </c>
    </row>
    <row r="68" spans="1:15" x14ac:dyDescent="0.4">
      <c r="A68" s="2">
        <v>45749.495798611111</v>
      </c>
      <c r="B68" t="s">
        <v>116</v>
      </c>
      <c r="C68" t="s">
        <v>117</v>
      </c>
      <c r="D68" t="s">
        <v>118</v>
      </c>
      <c r="E68" t="s">
        <v>17</v>
      </c>
      <c r="M68" t="s">
        <v>113</v>
      </c>
      <c r="N68" t="s">
        <v>26</v>
      </c>
      <c r="O68">
        <v>0</v>
      </c>
    </row>
    <row r="69" spans="1:15" x14ac:dyDescent="0.4">
      <c r="A69" s="2">
        <v>45750.400300925925</v>
      </c>
      <c r="B69" t="s">
        <v>256</v>
      </c>
      <c r="C69" t="s">
        <v>257</v>
      </c>
      <c r="D69" t="s">
        <v>258</v>
      </c>
      <c r="E69" t="s">
        <v>17</v>
      </c>
      <c r="M69" t="s">
        <v>252</v>
      </c>
      <c r="N69" t="s">
        <v>19</v>
      </c>
      <c r="O69">
        <v>0</v>
      </c>
    </row>
    <row r="70" spans="1:15" x14ac:dyDescent="0.4">
      <c r="A70" s="2">
        <v>45750.394756944443</v>
      </c>
      <c r="B70" t="s">
        <v>245</v>
      </c>
      <c r="C70" t="s">
        <v>246</v>
      </c>
      <c r="D70" t="s">
        <v>247</v>
      </c>
      <c r="E70" t="s">
        <v>17</v>
      </c>
      <c r="M70" t="s">
        <v>248</v>
      </c>
      <c r="N70" t="s">
        <v>26</v>
      </c>
      <c r="O70">
        <v>0</v>
      </c>
    </row>
    <row r="71" spans="1:15" x14ac:dyDescent="0.4">
      <c r="A71" s="2">
        <v>45749.403020833335</v>
      </c>
      <c r="B71" t="s">
        <v>30</v>
      </c>
      <c r="C71" t="s">
        <v>31</v>
      </c>
      <c r="D71" t="s">
        <v>32</v>
      </c>
      <c r="E71" t="s">
        <v>17</v>
      </c>
      <c r="M71" t="s">
        <v>33</v>
      </c>
      <c r="N71" t="s">
        <v>26</v>
      </c>
      <c r="O71">
        <v>0</v>
      </c>
    </row>
    <row r="72" spans="1:15" x14ac:dyDescent="0.4">
      <c r="A72" s="2">
        <v>45749.69866898148</v>
      </c>
      <c r="B72" t="s">
        <v>71</v>
      </c>
      <c r="C72" t="s">
        <v>72</v>
      </c>
      <c r="D72" t="s">
        <v>73</v>
      </c>
      <c r="E72" t="s">
        <v>17</v>
      </c>
      <c r="M72" t="s">
        <v>64</v>
      </c>
      <c r="N72" t="s">
        <v>26</v>
      </c>
      <c r="O72">
        <v>0</v>
      </c>
    </row>
    <row r="73" spans="1:15" x14ac:dyDescent="0.4">
      <c r="A73" s="2">
        <v>45749.504884259259</v>
      </c>
      <c r="B73" t="s">
        <v>176</v>
      </c>
      <c r="C73" t="s">
        <v>177</v>
      </c>
      <c r="D73" t="s">
        <v>178</v>
      </c>
      <c r="E73" t="s">
        <v>17</v>
      </c>
      <c r="M73" t="s">
        <v>179</v>
      </c>
      <c r="N73" t="s">
        <v>26</v>
      </c>
      <c r="O73">
        <v>0</v>
      </c>
    </row>
    <row r="74" spans="1:15" x14ac:dyDescent="0.4">
      <c r="A74" s="2">
        <v>45749.409953703704</v>
      </c>
      <c r="B74" t="s">
        <v>167</v>
      </c>
      <c r="C74" t="s">
        <v>168</v>
      </c>
      <c r="D74" t="s">
        <v>169</v>
      </c>
      <c r="E74" t="s">
        <v>17</v>
      </c>
      <c r="M74" t="s">
        <v>166</v>
      </c>
      <c r="N74" t="s">
        <v>26</v>
      </c>
      <c r="O74">
        <v>0</v>
      </c>
    </row>
    <row r="75" spans="1:15" x14ac:dyDescent="0.4">
      <c r="A75" s="2">
        <v>45750.414317129631</v>
      </c>
      <c r="B75" t="s">
        <v>203</v>
      </c>
      <c r="C75" t="s">
        <v>204</v>
      </c>
      <c r="D75" t="s">
        <v>205</v>
      </c>
      <c r="E75" t="s">
        <v>17</v>
      </c>
      <c r="M75" t="s">
        <v>202</v>
      </c>
      <c r="N75" t="s">
        <v>19</v>
      </c>
      <c r="O75">
        <v>0</v>
      </c>
    </row>
    <row r="76" spans="1:15" x14ac:dyDescent="0.4">
      <c r="A76" s="2">
        <v>45749.541435185187</v>
      </c>
      <c r="B76" t="s">
        <v>137</v>
      </c>
      <c r="C76" t="s">
        <v>138</v>
      </c>
      <c r="D76" t="s">
        <v>139</v>
      </c>
      <c r="E76" t="s">
        <v>17</v>
      </c>
      <c r="M76" t="s">
        <v>127</v>
      </c>
      <c r="N76" t="s">
        <v>19</v>
      </c>
      <c r="O76">
        <v>0</v>
      </c>
    </row>
    <row r="77" spans="1:15" x14ac:dyDescent="0.4">
      <c r="A77" s="2">
        <v>45749.54446759259</v>
      </c>
      <c r="B77" t="s">
        <v>27</v>
      </c>
      <c r="C77" t="s">
        <v>28</v>
      </c>
      <c r="D77" t="s">
        <v>29</v>
      </c>
      <c r="E77" t="s">
        <v>17</v>
      </c>
      <c r="M77" t="s">
        <v>18</v>
      </c>
      <c r="N77" t="s">
        <v>19</v>
      </c>
      <c r="O77">
        <v>0</v>
      </c>
    </row>
    <row r="78" spans="1:15" x14ac:dyDescent="0.4">
      <c r="A78" s="2">
        <v>45750.396747685183</v>
      </c>
      <c r="B78" t="s">
        <v>234</v>
      </c>
      <c r="C78" t="s">
        <v>235</v>
      </c>
      <c r="D78" t="s">
        <v>236</v>
      </c>
      <c r="E78" t="s">
        <v>17</v>
      </c>
      <c r="M78" t="s">
        <v>233</v>
      </c>
      <c r="N78" t="s">
        <v>19</v>
      </c>
      <c r="O78">
        <v>0</v>
      </c>
    </row>
    <row r="79" spans="1:15" x14ac:dyDescent="0.4">
      <c r="A79" s="2">
        <v>45749.399780092594</v>
      </c>
      <c r="B79" t="s">
        <v>74</v>
      </c>
      <c r="C79" t="s">
        <v>75</v>
      </c>
      <c r="D79" t="s">
        <v>76</v>
      </c>
      <c r="E79" t="s">
        <v>17</v>
      </c>
      <c r="M79" t="s">
        <v>77</v>
      </c>
      <c r="N79" t="s">
        <v>19</v>
      </c>
      <c r="O79">
        <v>0</v>
      </c>
    </row>
    <row r="80" spans="1:15" x14ac:dyDescent="0.4">
      <c r="A80" s="2">
        <v>45750.398831018516</v>
      </c>
      <c r="B80" t="s">
        <v>268</v>
      </c>
      <c r="C80" t="s">
        <v>269</v>
      </c>
      <c r="D80" t="s">
        <v>270</v>
      </c>
      <c r="E80" t="s">
        <v>17</v>
      </c>
      <c r="M80" t="s">
        <v>271</v>
      </c>
      <c r="N80" t="s">
        <v>26</v>
      </c>
      <c r="O80">
        <v>0</v>
      </c>
    </row>
    <row r="81" spans="1:15" x14ac:dyDescent="0.4">
      <c r="A81" s="2">
        <v>45750.393622685187</v>
      </c>
      <c r="B81" t="s">
        <v>89</v>
      </c>
      <c r="C81" t="s">
        <v>90</v>
      </c>
      <c r="D81" t="s">
        <v>91</v>
      </c>
      <c r="E81" t="s">
        <v>17</v>
      </c>
      <c r="M81" t="s">
        <v>92</v>
      </c>
      <c r="N81" t="s">
        <v>26</v>
      </c>
      <c r="O81">
        <v>0</v>
      </c>
    </row>
    <row r="82" spans="1:15" x14ac:dyDescent="0.4">
      <c r="A82" s="2">
        <v>45749.40011574074</v>
      </c>
      <c r="B82" t="s">
        <v>78</v>
      </c>
      <c r="C82" t="s">
        <v>79</v>
      </c>
      <c r="D82" t="s">
        <v>80</v>
      </c>
      <c r="E82" t="s">
        <v>17</v>
      </c>
      <c r="M82" t="s">
        <v>77</v>
      </c>
      <c r="N82" t="s">
        <v>26</v>
      </c>
      <c r="O82">
        <v>0</v>
      </c>
    </row>
    <row r="83" spans="1:15" x14ac:dyDescent="0.4">
      <c r="A83" s="2">
        <v>45750.398101851853</v>
      </c>
      <c r="B83" t="s">
        <v>249</v>
      </c>
      <c r="C83" t="s">
        <v>250</v>
      </c>
      <c r="D83" t="s">
        <v>251</v>
      </c>
      <c r="E83" t="s">
        <v>17</v>
      </c>
      <c r="M83" t="s">
        <v>252</v>
      </c>
      <c r="N83" t="s">
        <v>19</v>
      </c>
      <c r="O83">
        <v>0</v>
      </c>
    </row>
    <row r="84" spans="1:15" x14ac:dyDescent="0.4">
      <c r="A84" s="2">
        <v>45750.401122685187</v>
      </c>
      <c r="B84" t="s">
        <v>272</v>
      </c>
      <c r="C84" t="s">
        <v>273</v>
      </c>
      <c r="D84" t="s">
        <v>274</v>
      </c>
      <c r="E84" t="s">
        <v>17</v>
      </c>
      <c r="M84" t="s">
        <v>271</v>
      </c>
      <c r="N84" t="s">
        <v>19</v>
      </c>
      <c r="O84">
        <v>0</v>
      </c>
    </row>
    <row r="85" spans="1:15" x14ac:dyDescent="0.4">
      <c r="A85" s="2">
        <v>45750.401817129627</v>
      </c>
      <c r="B85" t="s">
        <v>275</v>
      </c>
      <c r="C85" t="s">
        <v>276</v>
      </c>
      <c r="D85" t="s">
        <v>277</v>
      </c>
      <c r="E85" t="s">
        <v>17</v>
      </c>
      <c r="M85" t="s">
        <v>271</v>
      </c>
      <c r="N85" t="s">
        <v>19</v>
      </c>
      <c r="O85">
        <v>0</v>
      </c>
    </row>
    <row r="86" spans="1:15" x14ac:dyDescent="0.4">
      <c r="A86" s="2">
        <v>45750.412662037037</v>
      </c>
      <c r="B86" t="s">
        <v>206</v>
      </c>
      <c r="C86" t="s">
        <v>207</v>
      </c>
      <c r="D86" t="s">
        <v>208</v>
      </c>
      <c r="E86" t="s">
        <v>17</v>
      </c>
      <c r="M86" t="s">
        <v>209</v>
      </c>
      <c r="N86" t="s">
        <v>26</v>
      </c>
      <c r="O86">
        <v>0</v>
      </c>
    </row>
    <row r="87" spans="1:15" x14ac:dyDescent="0.4">
      <c r="A87" s="2">
        <v>45749.69258101852</v>
      </c>
      <c r="B87" t="s">
        <v>48</v>
      </c>
      <c r="C87" t="s">
        <v>49</v>
      </c>
      <c r="D87" t="s">
        <v>50</v>
      </c>
      <c r="E87" t="s">
        <v>17</v>
      </c>
      <c r="M87" t="s">
        <v>47</v>
      </c>
      <c r="N87" t="s">
        <v>26</v>
      </c>
      <c r="O87">
        <v>0</v>
      </c>
    </row>
    <row r="88" spans="1:15" x14ac:dyDescent="0.4">
      <c r="A88" s="2">
        <v>45750.399652777778</v>
      </c>
      <c r="B88" t="s">
        <v>306</v>
      </c>
      <c r="C88" t="s">
        <v>307</v>
      </c>
      <c r="D88" t="s">
        <v>308</v>
      </c>
      <c r="E88" t="s">
        <v>17</v>
      </c>
      <c r="M88" t="s">
        <v>305</v>
      </c>
      <c r="N88" t="s">
        <v>19</v>
      </c>
      <c r="O88">
        <v>0</v>
      </c>
    </row>
    <row r="89" spans="1:15" x14ac:dyDescent="0.4">
      <c r="A89" s="2">
        <v>45750.542060185187</v>
      </c>
      <c r="B89" t="s">
        <v>354</v>
      </c>
      <c r="C89" t="s">
        <v>355</v>
      </c>
      <c r="D89" t="s">
        <v>356</v>
      </c>
      <c r="E89" t="s">
        <v>17</v>
      </c>
      <c r="M89" t="s">
        <v>357</v>
      </c>
      <c r="N89" t="s">
        <v>19</v>
      </c>
      <c r="O89">
        <v>0</v>
      </c>
    </row>
    <row r="90" spans="1:15" x14ac:dyDescent="0.4">
      <c r="A90" s="2">
        <v>45750.398958333331</v>
      </c>
      <c r="B90" t="s">
        <v>253</v>
      </c>
      <c r="C90" t="s">
        <v>254</v>
      </c>
      <c r="D90" t="s">
        <v>255</v>
      </c>
      <c r="E90" t="s">
        <v>17</v>
      </c>
      <c r="M90" t="s">
        <v>252</v>
      </c>
      <c r="N90" t="s">
        <v>26</v>
      </c>
      <c r="O90">
        <v>0</v>
      </c>
    </row>
    <row r="91" spans="1:15" x14ac:dyDescent="0.4">
      <c r="A91" s="2">
        <v>45749.408506944441</v>
      </c>
      <c r="B91" t="s">
        <v>14</v>
      </c>
      <c r="C91" t="s">
        <v>15</v>
      </c>
      <c r="D91" t="s">
        <v>16</v>
      </c>
      <c r="E91" t="s">
        <v>17</v>
      </c>
      <c r="M91" t="s">
        <v>18</v>
      </c>
      <c r="N91" t="s">
        <v>19</v>
      </c>
      <c r="O91">
        <v>0</v>
      </c>
    </row>
    <row r="92" spans="1:15" x14ac:dyDescent="0.4">
      <c r="A92" s="2">
        <v>45749.400011574071</v>
      </c>
      <c r="B92" t="s">
        <v>106</v>
      </c>
      <c r="C92" t="s">
        <v>107</v>
      </c>
      <c r="D92" t="s">
        <v>108</v>
      </c>
      <c r="E92" t="s">
        <v>17</v>
      </c>
      <c r="M92" t="s">
        <v>109</v>
      </c>
      <c r="N92" t="s">
        <v>26</v>
      </c>
      <c r="O92">
        <v>0</v>
      </c>
    </row>
    <row r="93" spans="1:15" x14ac:dyDescent="0.4">
      <c r="A93" s="2">
        <v>45750.540451388886</v>
      </c>
      <c r="B93" t="s">
        <v>348</v>
      </c>
      <c r="C93" t="s">
        <v>349</v>
      </c>
      <c r="D93" t="s">
        <v>350</v>
      </c>
      <c r="E93" t="s">
        <v>17</v>
      </c>
      <c r="O93">
        <v>0</v>
      </c>
    </row>
    <row r="94" spans="1:15" x14ac:dyDescent="0.4">
      <c r="A94" s="2"/>
    </row>
    <row r="95" spans="1:15" x14ac:dyDescent="0.4">
      <c r="A95" s="4">
        <v>45749.409351851849</v>
      </c>
      <c r="B95" s="5" t="s">
        <v>110</v>
      </c>
      <c r="C95" s="5" t="s">
        <v>111</v>
      </c>
      <c r="D95" s="5" t="s">
        <v>112</v>
      </c>
      <c r="E95" s="5" t="s">
        <v>54</v>
      </c>
      <c r="F95" s="6">
        <v>31610</v>
      </c>
      <c r="G95" s="5" t="s">
        <v>699</v>
      </c>
      <c r="H95" s="5" t="s">
        <v>113</v>
      </c>
      <c r="I95" s="5" t="s">
        <v>26</v>
      </c>
      <c r="J95" s="5" t="s">
        <v>114</v>
      </c>
      <c r="K95" s="5"/>
      <c r="L95" s="5"/>
      <c r="M95" s="5" t="s">
        <v>113</v>
      </c>
      <c r="N95" s="5" t="s">
        <v>26</v>
      </c>
      <c r="O95" s="5">
        <v>1</v>
      </c>
    </row>
    <row r="96" spans="1:15" x14ac:dyDescent="0.4">
      <c r="A96" s="4">
        <v>45749.458831018521</v>
      </c>
      <c r="B96" s="5" t="s">
        <v>44</v>
      </c>
      <c r="C96" s="5" t="s">
        <v>45</v>
      </c>
      <c r="D96" s="5" t="s">
        <v>46</v>
      </c>
      <c r="E96" s="5" t="s">
        <v>17</v>
      </c>
      <c r="F96" s="5"/>
      <c r="G96" s="5"/>
      <c r="H96" s="5"/>
      <c r="I96" s="5"/>
      <c r="J96" s="5"/>
      <c r="K96" s="5"/>
      <c r="L96" s="5"/>
      <c r="M96" s="5" t="s">
        <v>47</v>
      </c>
      <c r="N96" s="5" t="s">
        <v>26</v>
      </c>
      <c r="O96" s="5">
        <v>1</v>
      </c>
    </row>
    <row r="97" spans="1:15" x14ac:dyDescent="0.4">
      <c r="A97" s="4">
        <v>45749.397627314815</v>
      </c>
      <c r="B97" s="5" t="s">
        <v>143</v>
      </c>
      <c r="C97" s="5" t="s">
        <v>144</v>
      </c>
      <c r="D97" s="5" t="s">
        <v>145</v>
      </c>
      <c r="E97" s="5" t="s">
        <v>17</v>
      </c>
      <c r="F97" s="5"/>
      <c r="G97" s="5"/>
      <c r="H97" s="5"/>
      <c r="I97" s="5"/>
      <c r="J97" s="5"/>
      <c r="K97" s="5"/>
      <c r="L97" s="5"/>
      <c r="M97" s="5" t="s">
        <v>146</v>
      </c>
      <c r="N97" s="5" t="s">
        <v>26</v>
      </c>
      <c r="O97" s="5">
        <v>1</v>
      </c>
    </row>
    <row r="98" spans="1:15" x14ac:dyDescent="0.4">
      <c r="A98" s="4">
        <v>45749.404780092591</v>
      </c>
      <c r="B98" s="5" t="s">
        <v>143</v>
      </c>
      <c r="C98" s="5" t="s">
        <v>144</v>
      </c>
      <c r="D98" s="5" t="s">
        <v>145</v>
      </c>
      <c r="E98" s="5" t="s">
        <v>17</v>
      </c>
      <c r="F98" s="5"/>
      <c r="G98" s="5"/>
      <c r="H98" s="5"/>
      <c r="I98" s="5"/>
      <c r="J98" s="5"/>
      <c r="K98" s="5"/>
      <c r="L98" s="5"/>
      <c r="M98" s="5" t="s">
        <v>146</v>
      </c>
      <c r="N98" s="5" t="s">
        <v>26</v>
      </c>
      <c r="O98" s="5">
        <v>1</v>
      </c>
    </row>
    <row r="99" spans="1:15" x14ac:dyDescent="0.4">
      <c r="A99" s="4">
        <v>45749.383136574077</v>
      </c>
      <c r="B99" s="5" t="s">
        <v>150</v>
      </c>
      <c r="C99" s="5" t="s">
        <v>151</v>
      </c>
      <c r="D99" s="5" t="s">
        <v>152</v>
      </c>
      <c r="E99" s="5" t="s">
        <v>17</v>
      </c>
      <c r="F99" s="5"/>
      <c r="G99" s="5"/>
      <c r="H99" s="5"/>
      <c r="I99" s="5"/>
      <c r="J99" s="5"/>
      <c r="K99" s="5"/>
      <c r="L99" s="5"/>
      <c r="M99" s="5" t="s">
        <v>153</v>
      </c>
      <c r="N99" s="5" t="s">
        <v>26</v>
      </c>
      <c r="O99" s="5">
        <v>1</v>
      </c>
    </row>
    <row r="100" spans="1:15" x14ac:dyDescent="0.4">
      <c r="A100" s="4">
        <v>45749.404583333337</v>
      </c>
      <c r="B100" s="5" t="s">
        <v>150</v>
      </c>
      <c r="C100" s="5" t="s">
        <v>151</v>
      </c>
      <c r="D100" s="5" t="s">
        <v>152</v>
      </c>
      <c r="E100" s="5" t="s">
        <v>17</v>
      </c>
      <c r="F100" s="5"/>
      <c r="G100" s="5"/>
      <c r="H100" s="5"/>
      <c r="I100" s="5"/>
      <c r="J100" s="5"/>
      <c r="K100" s="5"/>
      <c r="L100" s="5"/>
      <c r="M100" s="5" t="s">
        <v>153</v>
      </c>
      <c r="N100" s="5" t="s">
        <v>26</v>
      </c>
      <c r="O100" s="5">
        <v>1</v>
      </c>
    </row>
    <row r="101" spans="1:15" x14ac:dyDescent="0.4">
      <c r="A101" s="4">
        <v>45749.40730324074</v>
      </c>
      <c r="B101" s="5" t="s">
        <v>150</v>
      </c>
      <c r="C101" s="5" t="s">
        <v>151</v>
      </c>
      <c r="D101" s="5" t="s">
        <v>152</v>
      </c>
      <c r="E101" s="5" t="s">
        <v>17</v>
      </c>
      <c r="F101" s="5"/>
      <c r="G101" s="5"/>
      <c r="H101" s="5"/>
      <c r="I101" s="5"/>
      <c r="J101" s="5"/>
      <c r="K101" s="5"/>
      <c r="L101" s="5"/>
      <c r="M101" s="5" t="s">
        <v>153</v>
      </c>
      <c r="N101" s="5" t="s">
        <v>26</v>
      </c>
      <c r="O101" s="5">
        <v>1</v>
      </c>
    </row>
    <row r="102" spans="1:15" x14ac:dyDescent="0.4">
      <c r="A102" s="4">
        <v>45749.403310185182</v>
      </c>
      <c r="B102" s="5" t="s">
        <v>701</v>
      </c>
      <c r="C102" s="5" t="s">
        <v>702</v>
      </c>
      <c r="D102" s="5" t="s">
        <v>180</v>
      </c>
      <c r="E102" s="5" t="s">
        <v>17</v>
      </c>
      <c r="F102" s="5"/>
      <c r="G102" s="5"/>
      <c r="H102" s="5"/>
      <c r="I102" s="5"/>
      <c r="J102" s="5"/>
      <c r="K102" s="5"/>
      <c r="L102" s="5"/>
      <c r="M102" s="5" t="s">
        <v>179</v>
      </c>
      <c r="N102" s="5" t="s">
        <v>26</v>
      </c>
      <c r="O102" s="5">
        <v>1</v>
      </c>
    </row>
    <row r="103" spans="1:15" x14ac:dyDescent="0.4">
      <c r="A103" s="4">
        <v>45749.400057870371</v>
      </c>
      <c r="B103" s="5" t="s">
        <v>176</v>
      </c>
      <c r="C103" s="5" t="s">
        <v>177</v>
      </c>
      <c r="D103" s="5" t="s">
        <v>178</v>
      </c>
      <c r="E103" s="5" t="s">
        <v>17</v>
      </c>
      <c r="F103" s="5"/>
      <c r="G103" s="5"/>
      <c r="H103" s="5"/>
      <c r="I103" s="5"/>
      <c r="J103" s="5"/>
      <c r="K103" s="5"/>
      <c r="L103" s="5"/>
      <c r="M103" s="5" t="s">
        <v>179</v>
      </c>
      <c r="N103" s="5" t="s">
        <v>26</v>
      </c>
      <c r="O103" s="5">
        <v>1</v>
      </c>
    </row>
    <row r="104" spans="1:15" x14ac:dyDescent="0.4">
      <c r="A104" s="4">
        <v>45749.405324074076</v>
      </c>
      <c r="B104" s="5" t="s">
        <v>176</v>
      </c>
      <c r="C104" s="5" t="s">
        <v>177</v>
      </c>
      <c r="D104" s="5" t="s">
        <v>178</v>
      </c>
      <c r="E104" s="5" t="s">
        <v>17</v>
      </c>
      <c r="F104" s="5"/>
      <c r="G104" s="5"/>
      <c r="H104" s="5"/>
      <c r="I104" s="5"/>
      <c r="J104" s="5"/>
      <c r="K104" s="5"/>
      <c r="L104" s="5"/>
      <c r="M104" s="5" t="s">
        <v>179</v>
      </c>
      <c r="N104" s="5" t="s">
        <v>26</v>
      </c>
      <c r="O104" s="5">
        <v>1</v>
      </c>
    </row>
    <row r="105" spans="1:15" x14ac:dyDescent="0.4">
      <c r="A105" s="4">
        <v>45749.502314814818</v>
      </c>
      <c r="B105" s="5" t="s">
        <v>137</v>
      </c>
      <c r="C105" s="5" t="s">
        <v>138</v>
      </c>
      <c r="D105" s="5" t="s">
        <v>139</v>
      </c>
      <c r="E105" s="5" t="s">
        <v>17</v>
      </c>
      <c r="F105" s="5"/>
      <c r="G105" s="5"/>
      <c r="H105" s="5"/>
      <c r="I105" s="5"/>
      <c r="J105" s="5"/>
      <c r="K105" s="5"/>
      <c r="L105" s="5"/>
      <c r="M105" s="5" t="s">
        <v>127</v>
      </c>
      <c r="N105" s="5" t="s">
        <v>19</v>
      </c>
      <c r="O105" s="5">
        <v>1</v>
      </c>
    </row>
    <row r="106" spans="1:15" x14ac:dyDescent="0.4">
      <c r="A106" s="4">
        <v>45749.43849537037</v>
      </c>
      <c r="B106" s="5" t="s">
        <v>89</v>
      </c>
      <c r="C106" s="5" t="s">
        <v>90</v>
      </c>
      <c r="D106" s="5" t="s">
        <v>91</v>
      </c>
      <c r="E106" s="5" t="s">
        <v>17</v>
      </c>
      <c r="F106" s="5"/>
      <c r="G106" s="5"/>
      <c r="H106" s="5"/>
      <c r="I106" s="5"/>
      <c r="J106" s="5"/>
      <c r="K106" s="5"/>
      <c r="L106" s="5"/>
      <c r="M106" s="5" t="s">
        <v>92</v>
      </c>
      <c r="N106" s="5" t="s">
        <v>26</v>
      </c>
      <c r="O106" s="5">
        <v>1</v>
      </c>
    </row>
    <row r="107" spans="1:15" x14ac:dyDescent="0.4">
      <c r="A107" s="4">
        <v>45749.464131944442</v>
      </c>
      <c r="B107" s="5" t="s">
        <v>48</v>
      </c>
      <c r="C107" s="5" t="s">
        <v>49</v>
      </c>
      <c r="D107" s="5" t="s">
        <v>50</v>
      </c>
      <c r="E107" s="5" t="s">
        <v>17</v>
      </c>
      <c r="F107" s="5"/>
      <c r="G107" s="5"/>
      <c r="H107" s="5"/>
      <c r="I107" s="5"/>
      <c r="J107" s="5"/>
      <c r="K107" s="5"/>
      <c r="L107" s="5"/>
      <c r="M107" s="5" t="s">
        <v>47</v>
      </c>
      <c r="N107" s="5" t="s">
        <v>26</v>
      </c>
      <c r="O107" s="5">
        <v>1</v>
      </c>
    </row>
    <row r="108" spans="1:15" x14ac:dyDescent="0.4">
      <c r="A108" s="4">
        <v>45749.405648148146</v>
      </c>
      <c r="B108" s="5" t="s">
        <v>14</v>
      </c>
      <c r="C108" s="5" t="s">
        <v>15</v>
      </c>
      <c r="D108" s="5" t="s">
        <v>16</v>
      </c>
      <c r="E108" s="5" t="s">
        <v>17</v>
      </c>
      <c r="F108" s="5"/>
      <c r="G108" s="5"/>
      <c r="H108" s="5"/>
      <c r="I108" s="5"/>
      <c r="J108" s="5"/>
      <c r="K108" s="5"/>
      <c r="L108" s="5"/>
      <c r="M108" s="5" t="s">
        <v>18</v>
      </c>
      <c r="N108" s="5" t="s">
        <v>19</v>
      </c>
      <c r="O108" s="5">
        <v>1</v>
      </c>
    </row>
  </sheetData>
  <sortState xmlns:xlrd2="http://schemas.microsoft.com/office/spreadsheetml/2017/richdata2" ref="A2:O93">
    <sortCondition ref="E2:E93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E1B2-5595-4E2D-BC64-CEC70DF2D9DB}">
  <dimension ref="A1:H93"/>
  <sheetViews>
    <sheetView tabSelected="1" topLeftCell="A7" zoomScale="145" zoomScaleNormal="145" workbookViewId="0">
      <selection activeCell="B2" sqref="B2:B24"/>
    </sheetView>
  </sheetViews>
  <sheetFormatPr defaultRowHeight="19.5" x14ac:dyDescent="0.4"/>
  <cols>
    <col min="1" max="1" width="13.625" bestFit="1" customWidth="1"/>
    <col min="2" max="2" width="41" customWidth="1"/>
    <col min="3" max="4" width="26.5" customWidth="1"/>
    <col min="5" max="5" width="20.375" bestFit="1" customWidth="1"/>
    <col min="6" max="6" width="15.125" bestFit="1" customWidth="1"/>
    <col min="7" max="7" width="18.875" customWidth="1"/>
    <col min="8" max="8" width="14.25" bestFit="1" customWidth="1"/>
  </cols>
  <sheetData>
    <row r="1" spans="1:8" x14ac:dyDescent="0.4">
      <c r="A1" t="s">
        <v>3</v>
      </c>
      <c r="B1" t="s">
        <v>709</v>
      </c>
      <c r="C1" t="s">
        <v>710</v>
      </c>
      <c r="D1" t="s">
        <v>551</v>
      </c>
      <c r="E1" t="s">
        <v>12</v>
      </c>
      <c r="F1" t="s">
        <v>13</v>
      </c>
      <c r="H1" t="s">
        <v>551</v>
      </c>
    </row>
    <row r="2" spans="1:8" x14ac:dyDescent="0.4">
      <c r="A2" s="9" t="s">
        <v>22</v>
      </c>
      <c r="B2" s="9" t="str">
        <f>LOOKUP(A2,Inscritos!$E$2:$E$110,Inscritos!$D$2:$D$110)</f>
        <v>Osmar Aparecido Delvecchio</v>
      </c>
      <c r="C2" s="9" t="str">
        <f>LOOKUP(A2,Inscritos!$E$2:$E$110,Inscritos!$C$2:$C$110)</f>
        <v>profosmar@hotmail.com</v>
      </c>
      <c r="D2" s="39">
        <f>LOOKUP(A2,Inscritos!$E$2:$E$110,Inscritos!$F$2:$F$110)</f>
        <v>21421</v>
      </c>
      <c r="E2" s="9" t="str">
        <f>LOOKUP(A2,Inscritos!$E$2:$E$110,Inscritos!$H$2:$H$110)</f>
        <v>Amambai</v>
      </c>
      <c r="F2" s="9" t="str">
        <f>LOOKUP(A2,Inscritos!$E$2:$E$110,Inscritos!$I$2:$I$110)</f>
        <v>CACS-FUNDEB</v>
      </c>
      <c r="G2" s="9" t="s">
        <v>711</v>
      </c>
      <c r="H2" s="3">
        <f>LOOKUP(A2,Inscritos!$E$2:$E$110,Inscritos!$M$2:$M$110)</f>
        <v>45749</v>
      </c>
    </row>
    <row r="3" spans="1:8" x14ac:dyDescent="0.4">
      <c r="A3" s="9" t="s">
        <v>25</v>
      </c>
      <c r="B3" s="9" t="str">
        <f>LOOKUP(A3,Inscritos!$E$2:$E$110,Inscritos!$D$2:$D$110)</f>
        <v>Valdemar Antônio de Oliveira</v>
      </c>
      <c r="C3" s="9" t="str">
        <f>LOOKUP(A3,Inscritos!$E$2:$E$110,Inscritos!$C$2:$C$110)</f>
        <v>valdemarantonio5@hotmail.com</v>
      </c>
      <c r="D3" s="39">
        <f>LOOKUP(A3,Inscritos!$E$2:$E$110,Inscritos!$F$2:$F$110)</f>
        <v>24597</v>
      </c>
      <c r="E3" s="9" t="str">
        <f>LOOKUP(A3,Inscritos!$E$2:$E$110,Inscritos!$H$2:$H$110)</f>
        <v>Amambai</v>
      </c>
      <c r="F3" s="9" t="str">
        <f>LOOKUP(A3,Inscritos!$E$2:$E$110,Inscritos!$I$2:$I$110)</f>
        <v>Gestão municipal</v>
      </c>
      <c r="G3" s="9" t="s">
        <v>711</v>
      </c>
      <c r="H3" s="3">
        <f>LOOKUP(A3,Inscritos!$E$2:$E$110,Inscritos!$M$2:$M$110)</f>
        <v>45749</v>
      </c>
    </row>
    <row r="4" spans="1:8" x14ac:dyDescent="0.4">
      <c r="A4" s="9" t="s">
        <v>29</v>
      </c>
      <c r="B4" s="9" t="str">
        <f>LOOKUP(A4,Inscritos!$E$2:$E$110,Inscritos!$D$2:$D$110)</f>
        <v>Edinaldo Silva</v>
      </c>
      <c r="C4" s="9" t="str">
        <f>LOOKUP(A4,Inscritos!$E$2:$E$110,Inscritos!$C$2:$C$110)</f>
        <v>edinaldo_s_silva@hotmail.com</v>
      </c>
      <c r="D4" s="39">
        <f>LOOKUP(A4,Inscritos!$E$2:$E$110,Inscritos!$F$2:$F$110)</f>
        <v>28265</v>
      </c>
      <c r="E4" s="9" t="str">
        <f>LOOKUP(A4,Inscritos!$E$2:$E$110,Inscritos!$H$2:$H$110)</f>
        <v>Amambai</v>
      </c>
      <c r="F4" s="9" t="str">
        <f>LOOKUP(A4,Inscritos!$E$2:$E$110,Inscritos!$I$2:$I$110)</f>
        <v>CACS-FUNDEB</v>
      </c>
      <c r="G4" s="9" t="s">
        <v>711</v>
      </c>
      <c r="H4" s="3">
        <f>LOOKUP(A4,Inscritos!$E$2:$E$110,Inscritos!$M$2:$M$110)</f>
        <v>45749</v>
      </c>
    </row>
    <row r="5" spans="1:8" x14ac:dyDescent="0.4">
      <c r="A5" s="9" t="s">
        <v>16</v>
      </c>
      <c r="B5" s="9" t="str">
        <f>LOOKUP(A5,Inscritos!$E$2:$E$110,Inscritos!$D$2:$D$110)</f>
        <v>Wender Luiz Farias Garai</v>
      </c>
      <c r="C5" s="9" t="str">
        <f>LOOKUP(A5,Inscritos!$E$2:$E$110,Inscritos!$C$2:$C$110)</f>
        <v>transporte.escolar.amambai@hotmail.com</v>
      </c>
      <c r="D5" s="39">
        <f>LOOKUP(A5,Inscritos!$E$2:$E$110,Inscritos!$F$2:$F$110)</f>
        <v>29614</v>
      </c>
      <c r="E5" s="9" t="str">
        <f>LOOKUP(A5,Inscritos!$E$2:$E$110,Inscritos!$H$2:$H$110)</f>
        <v>Amambai</v>
      </c>
      <c r="F5" s="9" t="str">
        <f>LOOKUP(A5,Inscritos!$E$2:$E$110,Inscritos!$I$2:$I$110)</f>
        <v>CACS-FUNDEB</v>
      </c>
      <c r="G5" s="9" t="s">
        <v>711</v>
      </c>
      <c r="H5" s="3">
        <f>LOOKUP(A5,Inscritos!$E$2:$E$110,Inscritos!$M$2:$M$110)</f>
        <v>45749</v>
      </c>
    </row>
    <row r="6" spans="1:8" x14ac:dyDescent="0.4">
      <c r="A6" s="9" t="s">
        <v>36</v>
      </c>
      <c r="B6" s="9" t="str">
        <f>LOOKUP(A6,Inscritos!$E$2:$E$110,Inscritos!$D$2:$D$110)</f>
        <v>EDSON UMBELINO</v>
      </c>
      <c r="C6" s="9" t="str">
        <f>LOOKUP(A6,Inscritos!$E$2:$E$110,Inscritos!$C$2:$C$110)</f>
        <v>osmair_garcia@hotmail.com</v>
      </c>
      <c r="D6" s="39">
        <f>LOOKUP(A6,Inscritos!$E$2:$E$110,Inscritos!$F$2:$F$110)</f>
        <v>21306</v>
      </c>
      <c r="E6" s="9" t="str">
        <f>LOOKUP(A6,Inscritos!$E$2:$E$110,Inscritos!$H$2:$H$110)</f>
        <v>Anaurilândia</v>
      </c>
      <c r="F6" s="9" t="str">
        <f>LOOKUP(A6,Inscritos!$E$2:$E$110,Inscritos!$I$2:$I$110)</f>
        <v>Gestão municipal</v>
      </c>
      <c r="G6" s="9" t="s">
        <v>711</v>
      </c>
      <c r="H6" s="3">
        <f>LOOKUP(A6,Inscritos!$E$2:$E$110,Inscritos!$M$2:$M$110)</f>
        <v>45749</v>
      </c>
    </row>
    <row r="7" spans="1:8" x14ac:dyDescent="0.4">
      <c r="A7" s="9" t="s">
        <v>32</v>
      </c>
      <c r="B7" s="9" t="str">
        <f>LOOKUP(A7,Inscritos!$E$2:$E$110,Inscritos!$D$2:$D$110)</f>
        <v>OSMAIR ALVES GARCIA</v>
      </c>
      <c r="C7" s="9" t="str">
        <f>LOOKUP(A7,Inscritos!$E$2:$E$110,Inscritos!$C$2:$C$110)</f>
        <v>osmair_garcia@hotmail.com</v>
      </c>
      <c r="D7" s="39">
        <f>LOOKUP(A7,Inscritos!$E$2:$E$110,Inscritos!$F$2:$F$110)</f>
        <v>28554</v>
      </c>
      <c r="E7" s="9" t="str">
        <f>LOOKUP(A7,Inscritos!$E$2:$E$110,Inscritos!$H$2:$H$110)</f>
        <v>Anaurilândia</v>
      </c>
      <c r="F7" s="9" t="str">
        <f>LOOKUP(A7,Inscritos!$E$2:$E$110,Inscritos!$I$2:$I$110)</f>
        <v>Gestão municipal</v>
      </c>
      <c r="G7" s="9" t="s">
        <v>711</v>
      </c>
      <c r="H7" s="3">
        <f>LOOKUP(A7,Inscritos!$E$2:$E$110,Inscritos!$M$2:$M$110)</f>
        <v>45749</v>
      </c>
    </row>
    <row r="8" spans="1:8" x14ac:dyDescent="0.4">
      <c r="A8" s="9" t="s">
        <v>43</v>
      </c>
      <c r="B8" s="9" t="str">
        <f>LOOKUP(A8,Inscritos!$E$2:$E$110,Inscritos!$D$2:$D$110)</f>
        <v>José Fernando Vieira da Silva</v>
      </c>
      <c r="C8" s="9" t="str">
        <f>LOOKUP(A8,Inscritos!$E$2:$E$110,Inscritos!$C$2:$C$110)</f>
        <v>fv747993@gmail.com</v>
      </c>
      <c r="D8" s="39">
        <f>LOOKUP(A8,Inscritos!$E$2:$E$110,Inscritos!$F$2:$F$110)</f>
        <v>30850</v>
      </c>
      <c r="E8" s="9" t="str">
        <f>LOOKUP(A8,Inscritos!$E$2:$E$110,Inscritos!$H$2:$H$110)</f>
        <v>Angélica</v>
      </c>
      <c r="F8" s="9" t="str">
        <f>LOOKUP(A8,Inscritos!$E$2:$E$110,Inscritos!$I$2:$I$110)</f>
        <v>Gestão municipal</v>
      </c>
      <c r="G8" s="9" t="s">
        <v>711</v>
      </c>
      <c r="H8" s="3">
        <f>LOOKUP(A8,Inscritos!$E$2:$E$110,Inscritos!$M$2:$M$110)</f>
        <v>45749</v>
      </c>
    </row>
    <row r="9" spans="1:8" x14ac:dyDescent="0.4">
      <c r="A9" s="9" t="s">
        <v>39</v>
      </c>
      <c r="B9" s="9" t="str">
        <f>LOOKUP(A9,Inscritos!$E$2:$E$110,Inscritos!$D$2:$D$110)</f>
        <v>RICARDO SOUZA MARCHINI</v>
      </c>
      <c r="C9" s="9" t="str">
        <f>LOOKUP(A9,Inscritos!$E$2:$E$110,Inscritos!$C$2:$C$110)</f>
        <v>ricardosm2002@hotmail.com</v>
      </c>
      <c r="D9" s="39">
        <f>LOOKUP(A9,Inscritos!$E$2:$E$110,Inscritos!$F$2:$F$110)</f>
        <v>37344</v>
      </c>
      <c r="E9" s="9" t="str">
        <f>LOOKUP(A9,Inscritos!$E$2:$E$110,Inscritos!$H$2:$H$110)</f>
        <v>Angélica</v>
      </c>
      <c r="F9" s="9" t="str">
        <f>LOOKUP(A9,Inscritos!$E$2:$E$110,Inscritos!$I$2:$I$110)</f>
        <v>Gestão municipal</v>
      </c>
      <c r="G9" s="9" t="s">
        <v>711</v>
      </c>
      <c r="H9" s="3">
        <f>LOOKUP(A9,Inscritos!$E$2:$E$110,Inscritos!$M$2:$M$110)</f>
        <v>45749</v>
      </c>
    </row>
    <row r="10" spans="1:8" x14ac:dyDescent="0.4">
      <c r="A10" s="9" t="s">
        <v>46</v>
      </c>
      <c r="B10" s="9" t="str">
        <f>LOOKUP(A10,Inscritos!$E$2:$E$110,Inscritos!$D$2:$D$110)</f>
        <v>Marcos Antônio Kol Rudes</v>
      </c>
      <c r="C10" s="9" t="str">
        <f>LOOKUP(A10,Inscritos!$E$2:$E$110,Inscritos!$C$2:$C$110)</f>
        <v>marcosantoniokol17@gmail.com</v>
      </c>
      <c r="D10" s="39">
        <f>LOOKUP(A10,Inscritos!$E$2:$E$110,Inscritos!$F$2:$F$110)</f>
        <v>52961</v>
      </c>
      <c r="E10" s="9" t="str">
        <f>LOOKUP(A10,Inscritos!$E$2:$E$110,Inscritos!$H$2:$H$110)</f>
        <v>Aral Moreira</v>
      </c>
      <c r="F10" s="9" t="str">
        <f>LOOKUP(A10,Inscritos!$E$2:$E$110,Inscritos!$I$2:$I$110)</f>
        <v>Gestão municipal</v>
      </c>
      <c r="G10" s="9" t="s">
        <v>711</v>
      </c>
      <c r="H10" s="3">
        <f>LOOKUP(A10,Inscritos!$E$2:$E$110,Inscritos!$M$2:$M$110)</f>
        <v>45749</v>
      </c>
    </row>
    <row r="11" spans="1:8" x14ac:dyDescent="0.4">
      <c r="A11" s="9" t="s">
        <v>50</v>
      </c>
      <c r="B11" s="9" t="str">
        <f>LOOKUP(A11,Inscritos!$E$2:$E$110,Inscritos!$D$2:$D$110)</f>
        <v>Marta Vieira Leite Rigon</v>
      </c>
      <c r="C11" s="9" t="str">
        <f>LOOKUP(A11,Inscritos!$E$2:$E$110,Inscritos!$C$2:$C$110)</f>
        <v>martavlrigon@gmail.com</v>
      </c>
      <c r="D11" s="39">
        <f>LOOKUP(A11,Inscritos!$E$2:$E$110,Inscritos!$F$2:$F$110)</f>
        <v>29554</v>
      </c>
      <c r="E11" s="9" t="str">
        <f>LOOKUP(A11,Inscritos!$E$2:$E$110,Inscritos!$H$2:$H$110)</f>
        <v>Aral Moreira</v>
      </c>
      <c r="F11" s="9" t="str">
        <f>LOOKUP(A11,Inscritos!$E$2:$E$110,Inscritos!$I$2:$I$110)</f>
        <v>Gestão municipal</v>
      </c>
      <c r="G11" s="9" t="s">
        <v>711</v>
      </c>
      <c r="H11" s="3">
        <f>LOOKUP(A11,Inscritos!$E$2:$E$110,Inscritos!$M$2:$M$110)</f>
        <v>45749</v>
      </c>
    </row>
    <row r="12" spans="1:8" x14ac:dyDescent="0.4">
      <c r="A12" s="9" t="s">
        <v>60</v>
      </c>
      <c r="B12" s="9" t="str">
        <f>LOOKUP(A12,Inscritos!$E$2:$E$110,Inscritos!$D$2:$D$110)</f>
        <v>Alcenir Rodrigues de Lima</v>
      </c>
      <c r="C12" s="9" t="str">
        <f>LOOKUP(A12,Inscritos!$E$2:$E$110,Inscritos!$C$2:$C$110)</f>
        <v>alcenirlima2025semec@gmail.com</v>
      </c>
      <c r="D12" s="39">
        <f>LOOKUP(A12,Inscritos!$E$2:$E$110,Inscritos!$F$2:$F$110)</f>
        <v>24785</v>
      </c>
      <c r="E12" s="9" t="str">
        <f>LOOKUP(A12,Inscritos!$E$2:$E$110,Inscritos!$H$2:$H$110)</f>
        <v>Bataguassu</v>
      </c>
      <c r="F12" s="9" t="str">
        <f>LOOKUP(A12,Inscritos!$E$2:$E$110,Inscritos!$I$2:$I$110)</f>
        <v>Gestão municipal</v>
      </c>
      <c r="G12" s="9" t="s">
        <v>711</v>
      </c>
      <c r="H12" s="3">
        <f>LOOKUP(A12,Inscritos!$E$2:$E$110,Inscritos!$M$2:$M$110)</f>
        <v>45749</v>
      </c>
    </row>
    <row r="13" spans="1:8" x14ac:dyDescent="0.4">
      <c r="A13" s="9" t="s">
        <v>67</v>
      </c>
      <c r="B13" s="9" t="str">
        <f>LOOKUP(A13,Inscritos!$E$2:$E$110,Inscritos!$D$2:$D$110)</f>
        <v>Adriana Ramos da Silva</v>
      </c>
      <c r="C13" s="9" t="str">
        <f>LOOKUP(A13,Inscritos!$E$2:$E$110,Inscritos!$C$2:$C$110)</f>
        <v>smec2018@outlook.com</v>
      </c>
      <c r="D13" s="39">
        <f>LOOKUP(A13,Inscritos!$E$2:$E$110,Inscritos!$F$2:$F$110)</f>
        <v>31964</v>
      </c>
      <c r="E13" s="9" t="str">
        <f>LOOKUP(A13,Inscritos!$E$2:$E$110,Inscritos!$H$2:$H$110)</f>
        <v>Batayporã</v>
      </c>
      <c r="F13" s="9" t="str">
        <f>LOOKUP(A13,Inscritos!$E$2:$E$110,Inscritos!$I$2:$I$110)</f>
        <v>Gestão municipal</v>
      </c>
      <c r="G13" s="9" t="s">
        <v>711</v>
      </c>
      <c r="H13" s="3">
        <f>LOOKUP(A13,Inscritos!$E$2:$E$110,Inscritos!$M$2:$M$110)</f>
        <v>45749</v>
      </c>
    </row>
    <row r="14" spans="1:8" x14ac:dyDescent="0.4">
      <c r="A14" s="9" t="s">
        <v>63</v>
      </c>
      <c r="B14" s="9" t="str">
        <f>LOOKUP(A14,Inscritos!$E$2:$E$110,Inscritos!$D$2:$D$110)</f>
        <v>Vanderlei de Freitas Santos</v>
      </c>
      <c r="C14" s="9" t="str">
        <f>LOOKUP(A14,Inscritos!$E$2:$E$110,Inscritos!$C$2:$C$110)</f>
        <v>vanderleifreitas722@gmail.com</v>
      </c>
      <c r="D14" s="39">
        <f>LOOKUP(A14,Inscritos!$E$2:$E$110,Inscritos!$F$2:$F$110)</f>
        <v>32384</v>
      </c>
      <c r="E14" s="9" t="str">
        <f>LOOKUP(A14,Inscritos!$E$2:$E$110,Inscritos!$H$2:$H$110)</f>
        <v>Batayporã</v>
      </c>
      <c r="F14" s="9" t="str">
        <f>LOOKUP(A14,Inscritos!$E$2:$E$110,Inscritos!$I$2:$I$110)</f>
        <v>CACS-FUNDEB</v>
      </c>
      <c r="G14" s="9" t="s">
        <v>711</v>
      </c>
      <c r="H14" s="3">
        <f>LOOKUP(A14,Inscritos!$E$2:$E$110,Inscritos!$M$2:$M$110)</f>
        <v>45749</v>
      </c>
    </row>
    <row r="15" spans="1:8" x14ac:dyDescent="0.4">
      <c r="A15" s="9" t="s">
        <v>70</v>
      </c>
      <c r="B15" s="9" t="str">
        <f>LOOKUP(A15,Inscritos!$E$2:$E$110,Inscritos!$D$2:$D$110)</f>
        <v>Maria Aparecida Miranda da Silva</v>
      </c>
      <c r="C15" s="9" t="str">
        <f>LOOKUP(A15,Inscritos!$E$2:$E$110,Inscritos!$C$2:$C$110)</f>
        <v>cidamirandasilva@gmail.com</v>
      </c>
      <c r="D15" s="39" t="str">
        <f>LOOKUP(A15,Inscritos!$E$2:$E$110,Inscritos!$F$2:$F$110)</f>
        <v>15/01/0069</v>
      </c>
      <c r="E15" s="9" t="str">
        <f>LOOKUP(A15,Inscritos!$E$2:$E$110,Inscritos!$H$2:$H$110)</f>
        <v>Batayporã</v>
      </c>
      <c r="F15" s="9" t="str">
        <f>LOOKUP(A15,Inscritos!$E$2:$E$110,Inscritos!$I$2:$I$110)</f>
        <v>CACS-FUNDEB</v>
      </c>
      <c r="G15" s="9" t="s">
        <v>711</v>
      </c>
      <c r="H15" s="3">
        <f>LOOKUP(A15,Inscritos!$E$2:$E$110,Inscritos!$M$2:$M$110)</f>
        <v>45749</v>
      </c>
    </row>
    <row r="16" spans="1:8" x14ac:dyDescent="0.4">
      <c r="A16" s="9" t="s">
        <v>73</v>
      </c>
      <c r="B16" s="9" t="str">
        <f>LOOKUP(A16,Inscritos!$E$2:$E$110,Inscritos!$D$2:$D$110)</f>
        <v>Leia Maria de Jesus Souza</v>
      </c>
      <c r="C16" s="9" t="str">
        <f>LOOKUP(A16,Inscritos!$E$2:$E$110,Inscritos!$C$2:$C$110)</f>
        <v>leiasouzass@hotmail.com</v>
      </c>
      <c r="D16" s="39">
        <f>LOOKUP(A16,Inscritos!$E$2:$E$110,Inscritos!$F$2:$F$110)</f>
        <v>28159</v>
      </c>
      <c r="E16" s="9" t="str">
        <f>LOOKUP(A16,Inscritos!$E$2:$E$110,Inscritos!$H$2:$H$110)</f>
        <v>Batayporã</v>
      </c>
      <c r="F16" s="9" t="str">
        <f>LOOKUP(A16,Inscritos!$E$2:$E$110,Inscritos!$I$2:$I$110)</f>
        <v>Gestão municipal</v>
      </c>
      <c r="G16" s="9" t="s">
        <v>711</v>
      </c>
      <c r="H16" s="3">
        <f>LOOKUP(A16,Inscritos!$E$2:$E$110,Inscritos!$M$2:$M$110)</f>
        <v>45749</v>
      </c>
    </row>
    <row r="17" spans="1:8" x14ac:dyDescent="0.4">
      <c r="A17" s="9" t="s">
        <v>83</v>
      </c>
      <c r="B17" s="9" t="str">
        <f>LOOKUP(A17,Inscritos!$E$2:$E$110,Inscritos!$D$2:$D$110)</f>
        <v>JOSILÂINE NEVES DA SILVA</v>
      </c>
      <c r="C17" s="9" t="str">
        <f>LOOKUP(A17,Inscritos!$E$2:$E$110,Inscritos!$C$2:$C$110)</f>
        <v>josilaineneves01@gmail.com</v>
      </c>
      <c r="D17" s="39">
        <f>LOOKUP(A17,Inscritos!$E$2:$E$110,Inscritos!$F$2:$F$110)</f>
        <v>32569</v>
      </c>
      <c r="E17" s="9" t="str">
        <f>LOOKUP(A17,Inscritos!$E$2:$E$110,Inscritos!$H$2:$H$110)</f>
        <v>Caarapó</v>
      </c>
      <c r="F17" s="9" t="str">
        <f>LOOKUP(A17,Inscritos!$E$2:$E$110,Inscritos!$I$2:$I$110)</f>
        <v>Gestão municipal</v>
      </c>
      <c r="G17" s="9" t="s">
        <v>711</v>
      </c>
      <c r="H17" s="3">
        <f>LOOKUP(A17,Inscritos!$E$2:$E$110,Inscritos!$M$2:$M$110)</f>
        <v>45749</v>
      </c>
    </row>
    <row r="18" spans="1:8" x14ac:dyDescent="0.4">
      <c r="A18" s="9" t="s">
        <v>76</v>
      </c>
      <c r="B18" s="9" t="str">
        <f>LOOKUP(A18,Inscritos!$E$2:$E$110,Inscritos!$D$2:$D$110)</f>
        <v>Davi Vieira Lopes</v>
      </c>
      <c r="C18" s="9" t="str">
        <f>LOOKUP(A18,Inscritos!$E$2:$E$110,Inscritos!$C$2:$C$110)</f>
        <v>davi.v.lopes@hotmail.com</v>
      </c>
      <c r="D18" s="39">
        <f>LOOKUP(A18,Inscritos!$E$2:$E$110,Inscritos!$F$2:$F$110)</f>
        <v>29349</v>
      </c>
      <c r="E18" s="9" t="str">
        <f>LOOKUP(A18,Inscritos!$E$2:$E$110,Inscritos!$H$2:$H$110)</f>
        <v>Caarapó</v>
      </c>
      <c r="F18" s="9" t="str">
        <f>LOOKUP(A18,Inscritos!$E$2:$E$110,Inscritos!$I$2:$I$110)</f>
        <v>CACS-FUNDEB</v>
      </c>
      <c r="G18" s="9" t="s">
        <v>711</v>
      </c>
      <c r="H18" s="3">
        <f>LOOKUP(A18,Inscritos!$E$2:$E$110,Inscritos!$M$2:$M$110)</f>
        <v>45749</v>
      </c>
    </row>
    <row r="19" spans="1:8" x14ac:dyDescent="0.4">
      <c r="A19" s="9" t="s">
        <v>80</v>
      </c>
      <c r="B19" s="9" t="str">
        <f>LOOKUP(A19,Inscritos!$E$2:$E$110,Inscritos!$D$2:$D$110)</f>
        <v>Isabel Fernandes santos</v>
      </c>
      <c r="C19" s="9" t="str">
        <f>LOOKUP(A19,Inscritos!$E$2:$E$110,Inscritos!$C$2:$C$110)</f>
        <v>bell-ifsm@hotmail.com</v>
      </c>
      <c r="D19" s="39">
        <f>LOOKUP(A19,Inscritos!$E$2:$E$110,Inscritos!$F$2:$F$110)</f>
        <v>29773</v>
      </c>
      <c r="E19" s="9" t="str">
        <f>LOOKUP(A19,Inscritos!$E$2:$E$110,Inscritos!$H$2:$H$110)</f>
        <v>Caarapó</v>
      </c>
      <c r="F19" s="9" t="str">
        <f>LOOKUP(A19,Inscritos!$E$2:$E$110,Inscritos!$I$2:$I$110)</f>
        <v>Gestão municipal</v>
      </c>
      <c r="G19" s="9" t="s">
        <v>711</v>
      </c>
      <c r="H19" s="3">
        <f>LOOKUP(A19,Inscritos!$E$2:$E$110,Inscritos!$M$2:$M$110)</f>
        <v>45749</v>
      </c>
    </row>
    <row r="20" spans="1:8" x14ac:dyDescent="0.4">
      <c r="A20" s="9" t="s">
        <v>98</v>
      </c>
      <c r="B20" s="9" t="str">
        <f>LOOKUP(A20,Inscritos!$E$2:$E$110,Inscritos!$D$2:$D$110)</f>
        <v>Jucimar Carvalho Chaves</v>
      </c>
      <c r="C20" s="9" t="str">
        <f>LOOKUP(A20,Inscritos!$E$2:$E$110,Inscritos!$C$2:$C$110)</f>
        <v>prof_jcarvalho@outlook.com</v>
      </c>
      <c r="D20" s="39">
        <f>LOOKUP(A20,Inscritos!$E$2:$E$110,Inscritos!$F$2:$F$110)</f>
        <v>32514</v>
      </c>
      <c r="E20" s="9" t="str">
        <f>LOOKUP(A20,Inscritos!$E$2:$E$110,Inscritos!$H$2:$H$110)</f>
        <v>Coronel Sapucaia</v>
      </c>
      <c r="F20" s="9" t="str">
        <f>LOOKUP(A20,Inscritos!$E$2:$E$110,Inscritos!$I$2:$I$110)</f>
        <v>CACS-FUNDEB</v>
      </c>
      <c r="G20" s="9" t="s">
        <v>711</v>
      </c>
      <c r="H20" s="3">
        <f>LOOKUP(A20,Inscritos!$E$2:$E$110,Inscritos!$M$2:$M$110)</f>
        <v>45749</v>
      </c>
    </row>
    <row r="21" spans="1:8" x14ac:dyDescent="0.4">
      <c r="A21" s="9" t="s">
        <v>108</v>
      </c>
      <c r="B21" s="9" t="str">
        <f>LOOKUP(A21,Inscritos!$E$2:$E$110,Inscritos!$D$2:$D$110)</f>
        <v>Cleber Roza de Faria</v>
      </c>
      <c r="C21" s="9" t="str">
        <f>LOOKUP(A21,Inscritos!$E$2:$E$110,Inscritos!$C$2:$C$110)</f>
        <v>cleberfaria5552@gmail.com</v>
      </c>
      <c r="D21" s="39">
        <f>LOOKUP(A21,Inscritos!$E$2:$E$110,Inscritos!$F$2:$F$110)</f>
        <v>30821</v>
      </c>
      <c r="E21" s="9" t="str">
        <f>LOOKUP(A21,Inscritos!$E$2:$E$110,Inscritos!$H$2:$H$110)</f>
        <v>Deodápolis</v>
      </c>
      <c r="F21" s="9" t="str">
        <f>LOOKUP(A21,Inscritos!$E$2:$E$110,Inscritos!$I$2:$I$110)</f>
        <v>Gestão municipal</v>
      </c>
      <c r="G21" s="9" t="s">
        <v>711</v>
      </c>
      <c r="H21" s="3">
        <f>LOOKUP(A21,Inscritos!$E$2:$E$110,Inscritos!$M$2:$M$110)</f>
        <v>45749</v>
      </c>
    </row>
    <row r="22" spans="1:8" x14ac:dyDescent="0.4">
      <c r="A22" s="9" t="s">
        <v>118</v>
      </c>
      <c r="B22" s="9" t="str">
        <f>LOOKUP(A22,Inscritos!$E$2:$E$110,Inscritos!$D$2:$D$110)</f>
        <v>TÂNIA REGINA DOS SANTOS ALMEIDA</v>
      </c>
      <c r="C22" s="9" t="str">
        <f>LOOKUP(A22,Inscritos!$E$2:$E$110,Inscritos!$C$2:$C$110)</f>
        <v>tania.salmeida@hotmail.com</v>
      </c>
      <c r="D22" s="39">
        <f>LOOKUP(A22,Inscritos!$E$2:$E$110,Inscritos!$F$2:$F$110)</f>
        <v>27738</v>
      </c>
      <c r="E22" s="9" t="str">
        <f>LOOKUP(A22,Inscritos!$E$2:$E$110,Inscritos!$H$2:$H$110)</f>
        <v>Douradina</v>
      </c>
      <c r="F22" s="9" t="str">
        <f>LOOKUP(A22,Inscritos!$E$2:$E$110,Inscritos!$I$2:$I$110)</f>
        <v>Gestão municipal</v>
      </c>
      <c r="G22" s="9" t="s">
        <v>711</v>
      </c>
      <c r="H22" s="3">
        <f>LOOKUP(A22,Inscritos!$E$2:$E$110,Inscritos!$M$2:$M$110)</f>
        <v>45749</v>
      </c>
    </row>
    <row r="23" spans="1:8" x14ac:dyDescent="0.4">
      <c r="A23" s="9" t="s">
        <v>142</v>
      </c>
      <c r="B23" s="9" t="str">
        <f>LOOKUP(A23,Inscritos!$E$2:$E$110,Inscritos!$D$2:$D$110)</f>
        <v>Maria Augustha Espíndola Domingues</v>
      </c>
      <c r="C23" s="9" t="str">
        <f>LOOKUP(A23,Inscritos!$E$2:$E$110,Inscritos!$C$2:$C$110)</f>
        <v>maria_augustha@hotmail.com</v>
      </c>
      <c r="D23" s="39">
        <f>LOOKUP(A23,Inscritos!$E$2:$E$110,Inscritos!$F$2:$F$110)</f>
        <v>30191</v>
      </c>
      <c r="E23" s="9" t="str">
        <f>LOOKUP(A23,Inscritos!$E$2:$E$110,Inscritos!$H$2:$H$110)</f>
        <v>Dourados</v>
      </c>
      <c r="F23" s="9" t="str">
        <f>LOOKUP(A23,Inscritos!$E$2:$E$110,Inscritos!$I$2:$I$110)</f>
        <v>CACS-FUNDEB</v>
      </c>
      <c r="G23" s="9" t="s">
        <v>711</v>
      </c>
      <c r="H23" s="3">
        <f>LOOKUP(A23,Inscritos!$E$2:$E$110,Inscritos!$M$2:$M$110)</f>
        <v>45749</v>
      </c>
    </row>
    <row r="24" spans="1:8" x14ac:dyDescent="0.4">
      <c r="A24" s="9" t="s">
        <v>126</v>
      </c>
      <c r="B24" s="9" t="str">
        <f>LOOKUP(A24,Inscritos!$E$2:$E$110,Inscritos!$D$2:$D$110)</f>
        <v>Luiza Quevedo Nascimento</v>
      </c>
      <c r="C24" s="9" t="str">
        <f>LOOKUP(A24,Inscritos!$E$2:$E$110,Inscritos!$C$2:$C$110)</f>
        <v>luizaquevedonascimento@gmail.com</v>
      </c>
      <c r="D24" s="39">
        <f>LOOKUP(A24,Inscritos!$E$2:$E$110,Inscritos!$F$2:$F$110)</f>
        <v>36213</v>
      </c>
      <c r="E24" s="9" t="str">
        <f>LOOKUP(A24,Inscritos!$E$2:$E$110,Inscritos!$H$2:$H$110)</f>
        <v>Dourados</v>
      </c>
      <c r="F24" s="9" t="str">
        <f>LOOKUP(A24,Inscritos!$E$2:$E$110,Inscritos!$I$2:$I$110)</f>
        <v>Gestão municipal</v>
      </c>
      <c r="G24" s="9" t="s">
        <v>711</v>
      </c>
      <c r="H24" s="3">
        <f>LOOKUP(A24,Inscritos!$E$2:$E$110,Inscritos!$M$2:$M$110)</f>
        <v>45749</v>
      </c>
    </row>
    <row r="25" spans="1:8" x14ac:dyDescent="0.4">
      <c r="A25" s="9" t="s">
        <v>136</v>
      </c>
      <c r="B25" s="9" t="str">
        <f>LOOKUP(A25,Inscritos!$E$2:$E$110,Inscritos!$D$2:$D$110)</f>
        <v>Gustavo Texeira Silva</v>
      </c>
      <c r="C25" s="9" t="str">
        <f>LOOKUP(A25,Inscritos!$E$2:$E$110,Inscritos!$C$2:$C$110)</f>
        <v>gustavo.texeira33@gmail.com</v>
      </c>
      <c r="D25" s="39">
        <f>LOOKUP(A25,Inscritos!$E$2:$E$110,Inscritos!$F$2:$F$110)</f>
        <v>36763</v>
      </c>
      <c r="E25" s="9" t="str">
        <f>LOOKUP(A25,Inscritos!$E$2:$E$110,Inscritos!$H$2:$H$110)</f>
        <v>Dourados</v>
      </c>
      <c r="F25" s="9" t="str">
        <f>LOOKUP(A25,Inscritos!$E$2:$E$110,Inscritos!$I$2:$I$110)</f>
        <v>Gestão municipal</v>
      </c>
      <c r="G25" s="9" t="s">
        <v>711</v>
      </c>
      <c r="H25" s="3">
        <f>LOOKUP(A25,Inscritos!$E$2:$E$110,Inscritos!$M$2:$M$110)</f>
        <v>45749</v>
      </c>
    </row>
    <row r="26" spans="1:8" x14ac:dyDescent="0.4">
      <c r="A26" s="40" t="s">
        <v>139</v>
      </c>
      <c r="B26" s="40" t="str">
        <f>LOOKUP(A26,Inscritos!$E$2:$E$110,Inscritos!$D$2:$D$110)</f>
        <v>Viviane Mantovani</v>
      </c>
      <c r="C26" s="40" t="str">
        <f>LOOKUP(A26,Inscritos!$E$2:$E$110,Inscritos!$C$2:$C$110)</f>
        <v>vivianne_pf@hotmail.com</v>
      </c>
      <c r="D26" s="41">
        <f>LOOKUP(A26,Inscritos!$E$2:$E$110,Inscritos!$F$2:$F$110)</f>
        <v>27034</v>
      </c>
      <c r="E26" s="40" t="str">
        <f>LOOKUP(A26,Inscritos!$E$2:$E$110,Inscritos!$H$2:$H$110)</f>
        <v>Dourados</v>
      </c>
      <c r="F26" s="40" t="str">
        <f>LOOKUP(A26,Inscritos!$E$2:$E$110,Inscritos!$I$2:$I$110)</f>
        <v>CACS-FUNDEB</v>
      </c>
      <c r="G26" s="40" t="s">
        <v>712</v>
      </c>
      <c r="H26" s="3">
        <f>LOOKUP(A26,Inscritos!$E$2:$E$110,Inscritos!$M$2:$M$110)</f>
        <v>45749</v>
      </c>
    </row>
    <row r="27" spans="1:8" x14ac:dyDescent="0.4">
      <c r="A27" s="40" t="s">
        <v>149</v>
      </c>
      <c r="B27" s="40" t="str">
        <f>LOOKUP(A27,Inscritos!$E$2:$E$110,Inscritos!$D$2:$D$110)</f>
        <v>Claudinei Nunes</v>
      </c>
      <c r="C27" s="40" t="str">
        <f>LOOKUP(A27,Inscritos!$E$2:$E$110,Inscritos!$C$2:$C$110)</f>
        <v>nunesclaudinei628@gmail.com</v>
      </c>
      <c r="D27" s="41">
        <f>LOOKUP(A27,Inscritos!$E$2:$E$110,Inscritos!$F$2:$F$110)</f>
        <v>33116</v>
      </c>
      <c r="E27" s="40" t="str">
        <f>LOOKUP(A27,Inscritos!$E$2:$E$110,Inscritos!$H$2:$H$110)</f>
        <v>Eldorado</v>
      </c>
      <c r="F27" s="40" t="str">
        <f>LOOKUP(A27,Inscritos!$E$2:$E$110,Inscritos!$I$2:$I$110)</f>
        <v>CACS-FUNDEB</v>
      </c>
      <c r="G27" s="40" t="s">
        <v>712</v>
      </c>
      <c r="H27" s="3">
        <f>LOOKUP(A27,Inscritos!$E$2:$E$110,Inscritos!$M$2:$M$110)</f>
        <v>45749</v>
      </c>
    </row>
    <row r="28" spans="1:8" x14ac:dyDescent="0.4">
      <c r="A28" s="40" t="s">
        <v>145</v>
      </c>
      <c r="B28" s="40" t="str">
        <f>LOOKUP(A28,Inscritos!$E$2:$E$110,Inscritos!$D$2:$D$110)</f>
        <v>José Camilo Sanches</v>
      </c>
      <c r="C28" s="40" t="str">
        <f>LOOKUP(A28,Inscritos!$E$2:$E$110,Inscritos!$C$2:$C$110)</f>
        <v>camilosanches2247@hotmail.com</v>
      </c>
      <c r="D28" s="41">
        <f>LOOKUP(A28,Inscritos!$E$2:$E$110,Inscritos!$F$2:$F$110)</f>
        <v>24117</v>
      </c>
      <c r="E28" s="40" t="str">
        <f>LOOKUP(A28,Inscritos!$E$2:$E$110,Inscritos!$H$2:$H$110)</f>
        <v>Eldorado</v>
      </c>
      <c r="F28" s="40" t="str">
        <f>LOOKUP(A28,Inscritos!$E$2:$E$110,Inscritos!$I$2:$I$110)</f>
        <v>Gestão municipal</v>
      </c>
      <c r="G28" s="40" t="s">
        <v>712</v>
      </c>
      <c r="H28" s="3">
        <f>LOOKUP(A28,Inscritos!$E$2:$E$110,Inscritos!$M$2:$M$110)</f>
        <v>45749</v>
      </c>
    </row>
    <row r="29" spans="1:8" x14ac:dyDescent="0.4">
      <c r="A29" s="40" t="s">
        <v>152</v>
      </c>
      <c r="B29" s="40" t="str">
        <f>LOOKUP(A29,Inscritos!$E$2:$E$110,Inscritos!$D$2:$D$110)</f>
        <v>Sueli Menezes da Silva</v>
      </c>
      <c r="C29" s="40" t="str">
        <f>LOOKUP(A29,Inscritos!$E$2:$E$110,Inscritos!$C$2:$C$110)</f>
        <v>professorasuelli@gmail.com</v>
      </c>
      <c r="D29" s="41">
        <f>LOOKUP(A29,Inscritos!$E$2:$E$110,Inscritos!$F$2:$F$110)</f>
        <v>25126</v>
      </c>
      <c r="E29" s="40" t="str">
        <f>LOOKUP(A29,Inscritos!$E$2:$E$110,Inscritos!$H$2:$H$110)</f>
        <v>Glória de Dourados</v>
      </c>
      <c r="F29" s="40" t="str">
        <f>LOOKUP(A29,Inscritos!$E$2:$E$110,Inscritos!$I$2:$I$110)</f>
        <v>Gestão municipal</v>
      </c>
      <c r="G29" s="40" t="s">
        <v>712</v>
      </c>
      <c r="H29" s="3">
        <f>LOOKUP(A29,Inscritos!$E$2:$E$110,Inscritos!$M$2:$M$110)</f>
        <v>45749</v>
      </c>
    </row>
    <row r="30" spans="1:8" x14ac:dyDescent="0.4">
      <c r="A30" s="40" t="s">
        <v>161</v>
      </c>
      <c r="B30" s="40" t="str">
        <f>LOOKUP(A30,Inscritos!$E$2:$E$110,Inscritos!$D$2:$D$110)</f>
        <v>Mauro San pereira da Silva</v>
      </c>
      <c r="C30" s="40" t="str">
        <f>LOOKUP(A30,Inscritos!$E$2:$E$110,Inscritos!$C$2:$C$110)</f>
        <v>maurosanp_@hotmail.com</v>
      </c>
      <c r="D30" s="41">
        <f>LOOKUP(A30,Inscritos!$E$2:$E$110,Inscritos!$F$2:$F$110)</f>
        <v>34377</v>
      </c>
      <c r="E30" s="40" t="str">
        <f>LOOKUP(A30,Inscritos!$E$2:$E$110,Inscritos!$H$2:$H$110)</f>
        <v>Iguatemi</v>
      </c>
      <c r="F30" s="40" t="str">
        <f>LOOKUP(A30,Inscritos!$E$2:$E$110,Inscritos!$I$2:$I$110)</f>
        <v>Gestão municipal</v>
      </c>
      <c r="G30" s="40" t="s">
        <v>712</v>
      </c>
      <c r="H30" s="3">
        <f>LOOKUP(A30,Inscritos!$E$2:$E$110,Inscritos!$M$2:$M$110)</f>
        <v>45749</v>
      </c>
    </row>
    <row r="31" spans="1:8" x14ac:dyDescent="0.4">
      <c r="A31" s="40" t="s">
        <v>165</v>
      </c>
      <c r="B31" s="40" t="str">
        <f>LOOKUP(A31,Inscritos!$E$2:$E$110,Inscritos!$D$2:$D$110)</f>
        <v>Crodoaldo Spessoto Prado</v>
      </c>
      <c r="C31" s="40" t="str">
        <f>LOOKUP(A31,Inscritos!$E$2:$E$110,Inscritos!$C$2:$C$110)</f>
        <v>crodoaldosp@hotmail.com</v>
      </c>
      <c r="D31" s="41">
        <f>LOOKUP(A31,Inscritos!$E$2:$E$110,Inscritos!$F$2:$F$110)</f>
        <v>26345</v>
      </c>
      <c r="E31" s="40" t="str">
        <f>LOOKUP(A31,Inscritos!$E$2:$E$110,Inscritos!$H$2:$H$110)</f>
        <v>Itaporã</v>
      </c>
      <c r="F31" s="40" t="str">
        <f>LOOKUP(A31,Inscritos!$E$2:$E$110,Inscritos!$I$2:$I$110)</f>
        <v>CACS-FUNDEB</v>
      </c>
      <c r="G31" s="40" t="s">
        <v>712</v>
      </c>
      <c r="H31" s="3">
        <f>LOOKUP(A31,Inscritos!$E$2:$E$110,Inscritos!$M$2:$M$110)</f>
        <v>45749</v>
      </c>
    </row>
    <row r="32" spans="1:8" x14ac:dyDescent="0.4">
      <c r="A32" s="40" t="s">
        <v>169</v>
      </c>
      <c r="B32" s="40" t="str">
        <f>LOOKUP(A32,Inscritos!$E$2:$E$110,Inscritos!$D$2:$D$110)</f>
        <v>Jonson Carvalho Miranda</v>
      </c>
      <c r="C32" s="40" t="str">
        <f>LOOKUP(A32,Inscritos!$E$2:$E$110,Inscritos!$C$2:$C$110)</f>
        <v>Jonsongeduita@gmail.com</v>
      </c>
      <c r="D32" s="41">
        <f>LOOKUP(A32,Inscritos!$E$2:$E$110,Inscritos!$F$2:$F$110)</f>
        <v>27677</v>
      </c>
      <c r="E32" s="40" t="str">
        <f>LOOKUP(A32,Inscritos!$E$2:$E$110,Inscritos!$H$2:$H$110)</f>
        <v>Itaporã</v>
      </c>
      <c r="F32" s="40" t="str">
        <f>LOOKUP(A32,Inscritos!$E$2:$E$110,Inscritos!$I$2:$I$110)</f>
        <v>Gestão municipal</v>
      </c>
      <c r="G32" s="40" t="s">
        <v>712</v>
      </c>
      <c r="H32" s="3">
        <f>LOOKUP(A32,Inscritos!$E$2:$E$110,Inscritos!$M$2:$M$110)</f>
        <v>45749</v>
      </c>
    </row>
    <row r="33" spans="1:8" x14ac:dyDescent="0.4">
      <c r="A33" s="40" t="s">
        <v>180</v>
      </c>
      <c r="B33" s="40" t="str">
        <f>LOOKUP(A33,Inscritos!$E$2:$E$110,Inscritos!$D$2:$D$110)</f>
        <v>WAGNER PEREIRA FERNANDES</v>
      </c>
      <c r="C33" s="40" t="str">
        <f>LOOKUP(A33,Inscritos!$E$2:$E$110,Inscritos!$C$2:$C$110)</f>
        <v>montilegal171@hotmail.com</v>
      </c>
      <c r="D33" s="41">
        <f>LOOKUP(A33,Inscritos!$E$2:$E$110,Inscritos!$F$2:$F$110)</f>
        <v>26400</v>
      </c>
      <c r="E33" s="40" t="str">
        <f>LOOKUP(A33,Inscritos!$E$2:$E$110,Inscritos!$H$2:$H$110)</f>
        <v>Itaquiraí</v>
      </c>
      <c r="F33" s="40" t="str">
        <f>LOOKUP(A33,Inscritos!$E$2:$E$110,Inscritos!$I$2:$I$110)</f>
        <v>Gestão municipal</v>
      </c>
      <c r="G33" s="40" t="s">
        <v>712</v>
      </c>
      <c r="H33" s="3">
        <f>LOOKUP(A33,Inscritos!$E$2:$E$110,Inscritos!$M$2:$M$110)</f>
        <v>45749</v>
      </c>
    </row>
    <row r="34" spans="1:8" x14ac:dyDescent="0.4">
      <c r="A34" s="40" t="s">
        <v>178</v>
      </c>
      <c r="B34" s="40" t="str">
        <f>LOOKUP(A34,Inscritos!$E$2:$E$110,Inscritos!$D$2:$D$110)</f>
        <v>LUZINEL SOCORRO DO NASCIMENTO</v>
      </c>
      <c r="C34" s="40" t="str">
        <f>LOOKUP(A34,Inscritos!$E$2:$E$110,Inscritos!$C$2:$C$110)</f>
        <v>luzinel01@gmail.com</v>
      </c>
      <c r="D34" s="41">
        <f>LOOKUP(A34,Inscritos!$E$2:$E$110,Inscritos!$F$2:$F$110)</f>
        <v>28370</v>
      </c>
      <c r="E34" s="40" t="str">
        <f>LOOKUP(A34,Inscritos!$E$2:$E$110,Inscritos!$H$2:$H$110)</f>
        <v>Itaquiraí</v>
      </c>
      <c r="F34" s="40" t="str">
        <f>LOOKUP(A34,Inscritos!$E$2:$E$110,Inscritos!$I$2:$I$110)</f>
        <v>Gestão municipal</v>
      </c>
      <c r="G34" s="40" t="s">
        <v>712</v>
      </c>
      <c r="H34" s="3">
        <f>LOOKUP(A34,Inscritos!$E$2:$E$110,Inscritos!$M$2:$M$110)</f>
        <v>45749</v>
      </c>
    </row>
    <row r="35" spans="1:8" x14ac:dyDescent="0.4">
      <c r="A35" s="40" t="s">
        <v>185</v>
      </c>
      <c r="B35" s="40" t="str">
        <f>LOOKUP(A35,Inscritos!$E$2:$E$110,Inscritos!$D$2:$D$110)</f>
        <v>Nara Henrique Braguini</v>
      </c>
      <c r="C35" s="40" t="str">
        <f>LOOKUP(A35,Inscritos!$E$2:$E$110,Inscritos!$C$2:$C$110)</f>
        <v>narahbraguini@gmail.com</v>
      </c>
      <c r="D35" s="41">
        <f>LOOKUP(A35,Inscritos!$E$2:$E$110,Inscritos!$F$2:$F$110)</f>
        <v>32021</v>
      </c>
      <c r="E35" s="40" t="str">
        <f>LOOKUP(A35,Inscritos!$E$2:$E$110,Inscritos!$H$2:$H$110)</f>
        <v>Ivinhema</v>
      </c>
      <c r="F35" s="40" t="str">
        <f>LOOKUP(A35,Inscritos!$E$2:$E$110,Inscritos!$I$2:$I$110)</f>
        <v>Gestão municipal</v>
      </c>
      <c r="G35" s="40" t="s">
        <v>712</v>
      </c>
      <c r="H35" s="3">
        <f>LOOKUP(A35,Inscritos!$E$2:$E$110,Inscritos!$M$2:$M$110)</f>
        <v>45749</v>
      </c>
    </row>
    <row r="36" spans="1:8" x14ac:dyDescent="0.4">
      <c r="A36" s="40" t="s">
        <v>189</v>
      </c>
      <c r="B36" s="40" t="str">
        <f>LOOKUP(A36,Inscritos!$E$2:$E$110,Inscritos!$D$2:$D$110)</f>
        <v>Luciano Morisco Rapchan</v>
      </c>
      <c r="C36" s="40" t="str">
        <f>LOOKUP(A36,Inscritos!$E$2:$E$110,Inscritos!$C$2:$C$110)</f>
        <v>lucianomorisco@hotmail.com</v>
      </c>
      <c r="D36" s="41">
        <f>LOOKUP(A36,Inscritos!$E$2:$E$110,Inscritos!$F$2:$F$110)</f>
        <v>26088</v>
      </c>
      <c r="E36" s="40" t="str">
        <f>LOOKUP(A36,Inscritos!$E$2:$E$110,Inscritos!$H$2:$H$110)</f>
        <v>Ivinhema</v>
      </c>
      <c r="F36" s="40" t="str">
        <f>LOOKUP(A36,Inscritos!$E$2:$E$110,Inscritos!$I$2:$I$110)</f>
        <v>Gestão municipal</v>
      </c>
      <c r="G36" s="40" t="s">
        <v>712</v>
      </c>
      <c r="H36" s="3">
        <f>LOOKUP(A36,Inscritos!$E$2:$E$110,Inscritos!$M$2:$M$110)</f>
        <v>45749</v>
      </c>
    </row>
    <row r="37" spans="1:8" x14ac:dyDescent="0.4">
      <c r="A37" s="9" t="s">
        <v>86</v>
      </c>
      <c r="B37" s="9" t="str">
        <f>LOOKUP(A37,Inscritos!$E$2:$E$110,Inscritos!$D$2:$D$110)</f>
        <v>Geigyson Mendonça Ribeiro</v>
      </c>
      <c r="C37" s="9" t="str">
        <f>LOOKUP(A37,Inscritos!$E$2:$E$110,Inscritos!$C$2:$C$110)</f>
        <v>geigyson@gmail.com</v>
      </c>
      <c r="D37" s="39">
        <f>LOOKUP(A37,Inscritos!$E$2:$E$110,Inscritos!$F$2:$F$110)</f>
        <v>30697</v>
      </c>
      <c r="E37" s="9" t="str">
        <f>LOOKUP(A37,Inscritos!$E$2:$E$110,Inscritos!$H$2:$H$110)</f>
        <v>Caarapó</v>
      </c>
      <c r="F37" s="9" t="str">
        <f>LOOKUP(A37,Inscritos!$E$2:$E$110,Inscritos!$I$2:$I$110)</f>
        <v>Gestão municipal</v>
      </c>
      <c r="G37" s="9" t="s">
        <v>711</v>
      </c>
      <c r="H37" s="3">
        <f>LOOKUP(A37,Inscritos!$E$2:$E$110,Inscritos!$M$2:$M$110)</f>
        <v>45749.405601851853</v>
      </c>
    </row>
    <row r="38" spans="1:8" x14ac:dyDescent="0.4">
      <c r="A38" s="40" t="s">
        <v>172</v>
      </c>
      <c r="B38" s="40" t="str">
        <f>LOOKUP(A38,Inscritos!$E$2:$E$110,Inscritos!$D$2:$D$110)</f>
        <v>Danillo Petinari Ferratto</v>
      </c>
      <c r="C38" s="40" t="str">
        <f>LOOKUP(A38,Inscritos!$E$2:$E$110,Inscritos!$C$2:$C$110)</f>
        <v>dpfedufisica@hotmail.com</v>
      </c>
      <c r="D38" s="41">
        <f>LOOKUP(A38,Inscritos!$E$2:$E$110,Inscritos!$F$2:$F$110)</f>
        <v>28376</v>
      </c>
      <c r="E38" s="40" t="str">
        <f>LOOKUP(A38,Inscritos!$E$2:$E$110,Inscritos!$H$2:$H$110)</f>
        <v>Itaporã</v>
      </c>
      <c r="F38" s="40" t="str">
        <f>LOOKUP(A38,Inscritos!$E$2:$E$110,Inscritos!$I$2:$I$110)</f>
        <v>Gestão municipal</v>
      </c>
      <c r="G38" s="40" t="s">
        <v>712</v>
      </c>
      <c r="H38" s="3">
        <f>LOOKUP(A38,Inscritos!$E$2:$E$110,Inscritos!$M$2:$M$110)</f>
        <v>45749.40997685185</v>
      </c>
    </row>
    <row r="39" spans="1:8" x14ac:dyDescent="0.4">
      <c r="A39" s="9" t="s">
        <v>130</v>
      </c>
      <c r="B39" s="9" t="str">
        <f>LOOKUP(A39,Inscritos!$E$2:$E$110,Inscritos!$D$2:$D$110)</f>
        <v>Valderene Ferreira de Alencar</v>
      </c>
      <c r="C39" s="9" t="str">
        <f>LOOKUP(A39,Inscritos!$E$2:$E$110,Inscritos!$C$2:$C$110)</f>
        <v>valderene13@gmail.com</v>
      </c>
      <c r="D39" s="39">
        <f>LOOKUP(A39,Inscritos!$E$2:$E$110,Inscritos!$F$2:$F$110)</f>
        <v>26355</v>
      </c>
      <c r="E39" s="9" t="str">
        <f>LOOKUP(A39,Inscritos!$E$2:$E$110,Inscritos!$H$2:$H$110)</f>
        <v>Dourados</v>
      </c>
      <c r="F39" s="9" t="str">
        <f>LOOKUP(A39,Inscritos!$E$2:$E$110,Inscritos!$I$2:$I$110)</f>
        <v>Gestão municipal</v>
      </c>
      <c r="G39" s="9" t="s">
        <v>711</v>
      </c>
      <c r="H39" s="3">
        <f>LOOKUP(A39,Inscritos!$E$2:$E$110,Inscritos!$M$2:$M$110)</f>
        <v>45749.413159722222</v>
      </c>
    </row>
    <row r="40" spans="1:8" x14ac:dyDescent="0.4">
      <c r="A40" s="40" t="s">
        <v>156</v>
      </c>
      <c r="B40" s="40" t="str">
        <f>LOOKUP(A40,Inscritos!$E$2:$E$110,Inscritos!$D$2:$D$110)</f>
        <v>Ademir da Silva Costa</v>
      </c>
      <c r="C40" s="40" t="str">
        <f>LOOKUP(A40,Inscritos!$E$2:$E$110,Inscritos!$C$2:$C$110)</f>
        <v>costa.dema2409@gmail.com</v>
      </c>
      <c r="D40" s="41">
        <f>LOOKUP(A40,Inscritos!$E$2:$E$110,Inscritos!$F$2:$F$110)</f>
        <v>25470</v>
      </c>
      <c r="E40" s="40" t="str">
        <f>LOOKUP(A40,Inscritos!$E$2:$E$110,Inscritos!$H$2:$H$110)</f>
        <v>Glória de Dourados</v>
      </c>
      <c r="F40" s="40" t="str">
        <f>LOOKUP(A40,Inscritos!$E$2:$E$110,Inscritos!$I$2:$I$110)</f>
        <v>CACS-FUNDEB</v>
      </c>
      <c r="G40" s="40" t="s">
        <v>712</v>
      </c>
      <c r="H40" s="3">
        <f>LOOKUP(A40,Inscritos!$E$2:$E$110,Inscritos!$M$2:$M$110)</f>
        <v>45749.416076388887</v>
      </c>
    </row>
    <row r="41" spans="1:8" x14ac:dyDescent="0.4">
      <c r="A41" s="9" t="s">
        <v>102</v>
      </c>
      <c r="B41" s="9" t="str">
        <f>LOOKUP(A41,Inscritos!$E$2:$E$110,Inscritos!$D$2:$D$110)</f>
        <v>Gislene Aparecida Micuinha Farias</v>
      </c>
      <c r="C41" s="9" t="str">
        <f>LOOKUP(A41,Inscritos!$E$2:$E$110,Inscritos!$C$2:$C$110)</f>
        <v>gislenemfarias@hotmail.com</v>
      </c>
      <c r="D41" s="39">
        <f>LOOKUP(A41,Inscritos!$E$2:$E$110,Inscritos!$F$2:$F$110)</f>
        <v>25676</v>
      </c>
      <c r="E41" s="9" t="str">
        <f>LOOKUP(A41,Inscritos!$E$2:$E$110,Inscritos!$H$2:$H$110)</f>
        <v>Coronel Sapucaia</v>
      </c>
      <c r="F41" s="9" t="str">
        <f>LOOKUP(A41,Inscritos!$E$2:$E$110,Inscritos!$I$2:$I$110)</f>
        <v>Gestão municipal</v>
      </c>
      <c r="G41" s="9" t="s">
        <v>711</v>
      </c>
      <c r="H41" s="3">
        <f>LOOKUP(A41,Inscritos!$E$2:$E$110,Inscritos!$M$2:$M$110)</f>
        <v>45749.417766203704</v>
      </c>
    </row>
    <row r="42" spans="1:8" x14ac:dyDescent="0.4">
      <c r="A42" s="42" t="s">
        <v>280</v>
      </c>
      <c r="B42" s="42" t="str">
        <f>LOOKUP(A42,Inscritos!$E$2:$E$110,Inscritos!$D$2:$D$110)</f>
        <v>Benilson Ormandes de Oliveira</v>
      </c>
      <c r="C42" s="42" t="str">
        <f>LOOKUP(A42,Inscritos!$E$2:$E$110,Inscritos!$C$2:$C$110)</f>
        <v>benilson.or.oliveira@hotmail.com</v>
      </c>
      <c r="D42" s="43">
        <f>LOOKUP(A42,Inscritos!$E$2:$E$110,Inscritos!$F$2:$F$110)</f>
        <v>30211</v>
      </c>
      <c r="E42" s="42" t="str">
        <f>LOOKUP(A42,Inscritos!$E$2:$E$110,Inscritos!$H$2:$H$110)</f>
        <v>Paraíso das Águas</v>
      </c>
      <c r="F42" s="42" t="str">
        <f>LOOKUP(A42,Inscritos!$E$2:$E$110,Inscritos!$I$2:$I$110)</f>
        <v>Gestão municipal</v>
      </c>
      <c r="G42" s="42" t="s">
        <v>713</v>
      </c>
      <c r="H42" s="3">
        <f>LOOKUP(A42,Inscritos!$E$2:$E$110,Inscritos!$M$2:$M$110)</f>
        <v>45749.420960648145</v>
      </c>
    </row>
    <row r="43" spans="1:8" x14ac:dyDescent="0.4">
      <c r="A43" s="42" t="s">
        <v>287</v>
      </c>
      <c r="B43" s="42" t="str">
        <f>LOOKUP(A43,Inscritos!$E$2:$E$110,Inscritos!$D$2:$D$110)</f>
        <v>Clarice de Almeida Faria</v>
      </c>
      <c r="C43" s="42" t="str">
        <f>LOOKUP(A43,Inscritos!$E$2:$E$110,Inscritos!$C$2:$C$110)</f>
        <v>clariceeducacaof2@gmail.com</v>
      </c>
      <c r="D43" s="43">
        <f>LOOKUP(A43,Inscritos!$E$2:$E$110,Inscritos!$F$2:$F$110)</f>
        <v>31200</v>
      </c>
      <c r="E43" s="42" t="str">
        <f>LOOKUP(A43,Inscritos!$E$2:$E$110,Inscritos!$H$2:$H$110)</f>
        <v>Paraíso das Águas</v>
      </c>
      <c r="F43" s="42" t="str">
        <f>LOOKUP(A43,Inscritos!$E$2:$E$110,Inscritos!$I$2:$I$110)</f>
        <v>Gestão municipal</v>
      </c>
      <c r="G43" s="42" t="s">
        <v>713</v>
      </c>
      <c r="H43" s="3">
        <f>LOOKUP(A43,Inscritos!$E$2:$E$110,Inscritos!$M$2:$M$110)</f>
        <v>45749.422500000001</v>
      </c>
    </row>
    <row r="44" spans="1:8" x14ac:dyDescent="0.4">
      <c r="A44" s="42" t="s">
        <v>292</v>
      </c>
      <c r="B44" s="42" t="str">
        <f>LOOKUP(A44,Inscritos!$E$2:$E$110,Inscritos!$D$2:$D$110)</f>
        <v>Geovania Machado Lemos</v>
      </c>
      <c r="C44" s="42" t="str">
        <f>LOOKUP(A44,Inscritos!$E$2:$E$110,Inscritos!$C$2:$C$110)</f>
        <v>geovaniamachadolemos@gmail.com</v>
      </c>
      <c r="D44" s="43">
        <f>LOOKUP(A44,Inscritos!$E$2:$E$110,Inscritos!$F$2:$F$110)</f>
        <v>31512</v>
      </c>
      <c r="E44" s="42" t="str">
        <f>LOOKUP(A44,Inscritos!$E$2:$E$110,Inscritos!$H$2:$H$110)</f>
        <v>Paraíso das Águas</v>
      </c>
      <c r="F44" s="42" t="str">
        <f>LOOKUP(A44,Inscritos!$E$2:$E$110,Inscritos!$I$2:$I$110)</f>
        <v>Gestão municipal</v>
      </c>
      <c r="G44" s="42" t="s">
        <v>713</v>
      </c>
      <c r="H44" s="3">
        <f>LOOKUP(A44,Inscritos!$E$2:$E$110,Inscritos!$M$2:$M$110)</f>
        <v>45749.424421296295</v>
      </c>
    </row>
    <row r="45" spans="1:8" x14ac:dyDescent="0.4">
      <c r="A45" s="9" t="s">
        <v>112</v>
      </c>
      <c r="B45" s="9" t="str">
        <f>LOOKUP(A45,Inscritos!$E$2:$E$110,Inscritos!$D$2:$D$110)</f>
        <v>Ana Cecília Santos Oliveira</v>
      </c>
      <c r="C45" s="9" t="str">
        <f>LOOKUP(A45,Inscritos!$E$2:$E$110,Inscritos!$C$2:$C$110)</f>
        <v>anapedrodugordo12@gmail.com</v>
      </c>
      <c r="D45" s="39">
        <f>LOOKUP(A45,Inscritos!$E$2:$E$110,Inscritos!$F$2:$F$110)</f>
        <v>31610</v>
      </c>
      <c r="E45" s="9" t="str">
        <f>LOOKUP(A45,Inscritos!$E$2:$E$110,Inscritos!$H$2:$H$110)</f>
        <v>Douradina</v>
      </c>
      <c r="F45" s="9" t="str">
        <f>LOOKUP(A45,Inscritos!$E$2:$E$110,Inscritos!$I$2:$I$110)</f>
        <v>Gestão municipal</v>
      </c>
      <c r="G45" s="9" t="s">
        <v>711</v>
      </c>
      <c r="H45" s="3">
        <f>LOOKUP(A45,Inscritos!$E$2:$E$110,Inscritos!$M$2:$M$110)</f>
        <v>45749.463761574072</v>
      </c>
    </row>
    <row r="46" spans="1:8" x14ac:dyDescent="0.4">
      <c r="A46" s="9" t="s">
        <v>121</v>
      </c>
      <c r="B46" s="9" t="str">
        <f>LOOKUP(A46,Inscritos!$E$2:$E$110,Inscritos!$D$2:$D$110)</f>
        <v>Fayane Montenegro Gonçalves Paz</v>
      </c>
      <c r="C46" s="9" t="str">
        <f>LOOKUP(A46,Inscritos!$E$2:$E$110,Inscritos!$C$2:$C$110)</f>
        <v>fayane.m@hotmail.com</v>
      </c>
      <c r="D46" s="39">
        <f>LOOKUP(A46,Inscritos!$E$2:$E$110,Inscritos!$F$2:$F$110)</f>
        <v>34577</v>
      </c>
      <c r="E46" s="9" t="str">
        <f>LOOKUP(A46,Inscritos!$E$2:$E$110,Inscritos!$H$2:$H$110)</f>
        <v>Douradina</v>
      </c>
      <c r="F46" s="9" t="str">
        <f>LOOKUP(A46,Inscritos!$E$2:$E$110,Inscritos!$I$2:$I$110)</f>
        <v>Gestão municipal</v>
      </c>
      <c r="G46" s="9" t="s">
        <v>711</v>
      </c>
      <c r="H46" s="3">
        <f>LOOKUP(A46,Inscritos!$E$2:$E$110,Inscritos!$M$2:$M$110)</f>
        <v>45749.496342592596</v>
      </c>
    </row>
    <row r="47" spans="1:8" x14ac:dyDescent="0.4">
      <c r="A47" s="9" t="s">
        <v>53</v>
      </c>
      <c r="B47" s="9" t="str">
        <f>LOOKUP(A47,Inscritos!$E$2:$E$110,Inscritos!$D$2:$D$110)</f>
        <v>Rafael Aparecido da Silva Bezerra</v>
      </c>
      <c r="C47" s="9" t="str">
        <f>LOOKUP(A47,Inscritos!$E$2:$E$110,Inscritos!$C$2:$C$110)</f>
        <v>rafaelfilho.sofia@gmail.com</v>
      </c>
      <c r="D47" s="39">
        <f>LOOKUP(A47,Inscritos!$E$2:$E$110,Inscritos!$F$2:$F$110)</f>
        <v>32475</v>
      </c>
      <c r="E47" s="9" t="str">
        <f>LOOKUP(A47,Inscritos!$E$2:$E$110,Inscritos!$H$2:$H$110)</f>
        <v>Bataguassu</v>
      </c>
      <c r="F47" s="9" t="str">
        <f>LOOKUP(A47,Inscritos!$E$2:$E$110,Inscritos!$I$2:$I$110)</f>
        <v>Gestão municipal</v>
      </c>
      <c r="G47" s="9" t="s">
        <v>711</v>
      </c>
      <c r="H47" s="3">
        <f>LOOKUP(A47,Inscritos!$E$2:$E$110,Inscritos!$M$2:$M$110)</f>
        <v>45749.498310185183</v>
      </c>
    </row>
    <row r="48" spans="1:8" x14ac:dyDescent="0.4">
      <c r="A48" s="9" t="s">
        <v>95</v>
      </c>
      <c r="B48" s="9" t="str">
        <f>LOOKUP(A48,Inscritos!$E$2:$E$110,Inscritos!$D$2:$D$110)</f>
        <v>Romeu Goulart da Silva</v>
      </c>
      <c r="C48" s="9" t="str">
        <f>LOOKUP(A48,Inscritos!$E$2:$E$110,Inscritos!$C$2:$C$110)</f>
        <v>romeugoulart@gmail.com</v>
      </c>
      <c r="D48" s="39">
        <f>LOOKUP(A48,Inscritos!$E$2:$E$110,Inscritos!$F$2:$F$110)</f>
        <v>22943</v>
      </c>
      <c r="E48" s="9" t="str">
        <f>LOOKUP(A48,Inscritos!$E$2:$E$110,Inscritos!$H$2:$H$110)</f>
        <v>Cassilândia</v>
      </c>
      <c r="F48" s="9" t="str">
        <f>LOOKUP(A48,Inscritos!$E$2:$E$110,Inscritos!$I$2:$I$110)</f>
        <v>Gestão municipal</v>
      </c>
      <c r="G48" s="9" t="s">
        <v>711</v>
      </c>
      <c r="H48" s="3">
        <f>LOOKUP(A48,Inscritos!$E$2:$E$110,Inscritos!$M$2:$M$110)</f>
        <v>45750</v>
      </c>
    </row>
    <row r="49" spans="1:8" x14ac:dyDescent="0.4">
      <c r="A49" s="9" t="s">
        <v>91</v>
      </c>
      <c r="B49" s="9" t="str">
        <f>LOOKUP(A49,Inscritos!$E$2:$E$110,Inscritos!$D$2:$D$110)</f>
        <v>Franz Willians Coimbra Martins</v>
      </c>
      <c r="C49" s="9" t="str">
        <f>LOOKUP(A49,Inscritos!$E$2:$E$110,Inscritos!$C$2:$C$110)</f>
        <v>franzwillians@gmail.com</v>
      </c>
      <c r="D49" s="39">
        <f>LOOKUP(A49,Inscritos!$E$2:$E$110,Inscritos!$F$2:$F$110)</f>
        <v>28648</v>
      </c>
      <c r="E49" s="9" t="str">
        <f>LOOKUP(A49,Inscritos!$E$2:$E$110,Inscritos!$H$2:$H$110)</f>
        <v>Cassilândia</v>
      </c>
      <c r="F49" s="9" t="str">
        <f>LOOKUP(A49,Inscritos!$E$2:$E$110,Inscritos!$I$2:$I$110)</f>
        <v>Gestão municipal</v>
      </c>
      <c r="G49" s="9" t="s">
        <v>711</v>
      </c>
      <c r="H49" s="3">
        <f>LOOKUP(A49,Inscritos!$E$2:$E$110,Inscritos!$M$2:$M$110)</f>
        <v>45750</v>
      </c>
    </row>
    <row r="50" spans="1:8" x14ac:dyDescent="0.4">
      <c r="A50" s="40" t="s">
        <v>192</v>
      </c>
      <c r="B50" s="40" t="str">
        <f>LOOKUP(A50,Inscritos!$E$2:$E$110,Inscritos!$D$2:$D$110)</f>
        <v>valdinei da silva pavanelli</v>
      </c>
      <c r="C50" s="40" t="str">
        <f>LOOKUP(A50,Inscritos!$E$2:$E$110,Inscritos!$C$2:$C$110)</f>
        <v>valdineipavanelli@hotmail.com</v>
      </c>
      <c r="D50" s="41">
        <f>LOOKUP(A50,Inscritos!$E$2:$E$110,Inscritos!$F$2:$F$110)</f>
        <v>30671</v>
      </c>
      <c r="E50" s="40" t="str">
        <f>LOOKUP(A50,Inscritos!$E$2:$E$110,Inscritos!$H$2:$H$110)</f>
        <v>Japorã</v>
      </c>
      <c r="F50" s="40" t="str">
        <f>LOOKUP(A50,Inscritos!$E$2:$E$110,Inscritos!$I$2:$I$110)</f>
        <v>Gestão municipal</v>
      </c>
      <c r="G50" s="40" t="s">
        <v>712</v>
      </c>
      <c r="H50" s="3">
        <f>LOOKUP(A50,Inscritos!$E$2:$E$110,Inscritos!$M$2:$M$110)</f>
        <v>45750</v>
      </c>
    </row>
    <row r="51" spans="1:8" x14ac:dyDescent="0.4">
      <c r="A51" s="40" t="s">
        <v>201</v>
      </c>
      <c r="B51" s="40" t="str">
        <f>LOOKUP(A51,Inscritos!$E$2:$E$110,Inscritos!$D$2:$D$110)</f>
        <v>RAUL FERNANDO GARCIA</v>
      </c>
      <c r="C51" s="40" t="str">
        <f>LOOKUP(A51,Inscritos!$E$2:$E$110,Inscritos!$C$2:$C$110)</f>
        <v>semecel@jatei.ms.gov.br</v>
      </c>
      <c r="D51" s="41">
        <f>LOOKUP(A51,Inscritos!$E$2:$E$110,Inscritos!$F$2:$F$110)</f>
        <v>26983</v>
      </c>
      <c r="E51" s="40" t="str">
        <f>LOOKUP(A51,Inscritos!$E$2:$E$110,Inscritos!$H$2:$H$110)</f>
        <v>Jateí</v>
      </c>
      <c r="F51" s="40" t="str">
        <f>LOOKUP(A51,Inscritos!$E$2:$E$110,Inscritos!$I$2:$I$110)</f>
        <v>Gestão municipal</v>
      </c>
      <c r="G51" s="40" t="s">
        <v>712</v>
      </c>
      <c r="H51" s="3">
        <f>LOOKUP(A51,Inscritos!$E$2:$E$110,Inscritos!$M$2:$M$110)</f>
        <v>45750</v>
      </c>
    </row>
    <row r="52" spans="1:8" x14ac:dyDescent="0.4">
      <c r="A52" s="40" t="s">
        <v>205</v>
      </c>
      <c r="B52" s="40" t="str">
        <f>LOOKUP(A52,Inscritos!$E$2:$E$110,Inscritos!$D$2:$D$110)</f>
        <v>AUTENIR RODRIGUES DE LIMA</v>
      </c>
      <c r="C52" s="40" t="str">
        <f>LOOKUP(A52,Inscritos!$E$2:$E$110,Inscritos!$C$2:$C$110)</f>
        <v>semecel@jatei.ms.gov.br</v>
      </c>
      <c r="D52" s="41">
        <f>LOOKUP(A52,Inscritos!$E$2:$E$110,Inscritos!$F$2:$F$110)</f>
        <v>28418</v>
      </c>
      <c r="E52" s="40" t="str">
        <f>LOOKUP(A52,Inscritos!$E$2:$E$110,Inscritos!$H$2:$H$110)</f>
        <v>Jateí</v>
      </c>
      <c r="F52" s="40" t="str">
        <f>LOOKUP(A52,Inscritos!$E$2:$E$110,Inscritos!$I$2:$I$110)</f>
        <v>CACS-FUNDEB</v>
      </c>
      <c r="G52" s="40" t="s">
        <v>712</v>
      </c>
      <c r="H52" s="3">
        <f>LOOKUP(A52,Inscritos!$E$2:$E$110,Inscritos!$M$2:$M$110)</f>
        <v>45750</v>
      </c>
    </row>
    <row r="53" spans="1:8" x14ac:dyDescent="0.4">
      <c r="A53" s="40" t="s">
        <v>212</v>
      </c>
      <c r="B53" s="40" t="str">
        <f>LOOKUP(A53,Inscritos!$E$2:$E$110,Inscritos!$D$2:$D$110)</f>
        <v>Andre Luiz Gomes da Silva</v>
      </c>
      <c r="C53" s="40" t="str">
        <f>LOOKUP(A53,Inscritos!$E$2:$E$110,Inscritos!$C$2:$C$110)</f>
        <v>andreluizgomes5691@gmail.com</v>
      </c>
      <c r="D53" s="41">
        <f>LOOKUP(A53,Inscritos!$E$2:$E$110,Inscritos!$F$2:$F$110)</f>
        <v>33394</v>
      </c>
      <c r="E53" s="40" t="str">
        <f>LOOKUP(A53,Inscritos!$E$2:$E$110,Inscritos!$H$2:$H$110)</f>
        <v>Juti</v>
      </c>
      <c r="F53" s="40" t="str">
        <f>LOOKUP(A53,Inscritos!$E$2:$E$110,Inscritos!$I$2:$I$110)</f>
        <v>Gestão municipal</v>
      </c>
      <c r="G53" s="40" t="s">
        <v>712</v>
      </c>
      <c r="H53" s="3">
        <f>LOOKUP(A53,Inscritos!$E$2:$E$110,Inscritos!$M$2:$M$110)</f>
        <v>45750</v>
      </c>
    </row>
    <row r="54" spans="1:8" x14ac:dyDescent="0.4">
      <c r="A54" s="40" t="s">
        <v>208</v>
      </c>
      <c r="B54" s="40" t="str">
        <f>LOOKUP(A54,Inscritos!$E$2:$E$110,Inscritos!$D$2:$D$110)</f>
        <v>Carolina Fernandes Paes de Almeida</v>
      </c>
      <c r="C54" s="40" t="str">
        <f>LOOKUP(A54,Inscritos!$E$2:$E$110,Inscritos!$C$2:$C$110)</f>
        <v>carol_juti@hotmail.com</v>
      </c>
      <c r="D54" s="41">
        <f>LOOKUP(A54,Inscritos!$E$2:$E$110,Inscritos!$F$2:$F$110)</f>
        <v>29858</v>
      </c>
      <c r="E54" s="40" t="str">
        <f>LOOKUP(A54,Inscritos!$E$2:$E$110,Inscritos!$H$2:$H$110)</f>
        <v>Juti</v>
      </c>
      <c r="F54" s="40" t="str">
        <f>LOOKUP(A54,Inscritos!$E$2:$E$110,Inscritos!$I$2:$I$110)</f>
        <v>Gestão municipal</v>
      </c>
      <c r="G54" s="40" t="s">
        <v>712</v>
      </c>
      <c r="H54" s="3">
        <f>LOOKUP(A54,Inscritos!$E$2:$E$110,Inscritos!$M$2:$M$110)</f>
        <v>45750</v>
      </c>
    </row>
    <row r="55" spans="1:8" x14ac:dyDescent="0.4">
      <c r="A55" s="40" t="s">
        <v>229</v>
      </c>
      <c r="B55" s="40" t="str">
        <f>LOOKUP(A55,Inscritos!$E$2:$E$110,Inscritos!$D$2:$D$110)</f>
        <v>Sônia Regina Meireles Lago</v>
      </c>
      <c r="C55" s="40" t="str">
        <f>LOOKUP(A55,Inscritos!$E$2:$E$110,Inscritos!$C$2:$C$110)</f>
        <v>danimedina826@gmail.com</v>
      </c>
      <c r="D55" s="41">
        <f>LOOKUP(A55,Inscritos!$E$2:$E$110,Inscritos!$F$2:$F$110)</f>
        <v>23435</v>
      </c>
      <c r="E55" s="40" t="str">
        <f>LOOKUP(A55,Inscritos!$E$2:$E$110,Inscritos!$H$2:$H$110)</f>
        <v>Laguna Carapã</v>
      </c>
      <c r="F55" s="40" t="str">
        <f>LOOKUP(A55,Inscritos!$E$2:$E$110,Inscritos!$I$2:$I$110)</f>
        <v>CACS-FUNDEB</v>
      </c>
      <c r="G55" s="40" t="s">
        <v>712</v>
      </c>
      <c r="H55" s="3">
        <f>LOOKUP(A55,Inscritos!$E$2:$E$110,Inscritos!$M$2:$M$110)</f>
        <v>45750</v>
      </c>
    </row>
    <row r="56" spans="1:8" x14ac:dyDescent="0.4">
      <c r="A56" s="40" t="s">
        <v>215</v>
      </c>
      <c r="B56" s="40" t="str">
        <f>LOOKUP(A56,Inscritos!$E$2:$E$110,Inscritos!$D$2:$D$110)</f>
        <v>ADINEIA APARECIDA ZADROSKI DUARTE</v>
      </c>
      <c r="C56" s="40" t="str">
        <f>LOOKUP(A56,Inscritos!$E$2:$E$110,Inscritos!$C$2:$C$110)</f>
        <v>danimedina826@gmail.com</v>
      </c>
      <c r="D56" s="41">
        <f>LOOKUP(A56,Inscritos!$E$2:$E$110,Inscritos!$F$2:$F$110)</f>
        <v>27552</v>
      </c>
      <c r="E56" s="40" t="str">
        <f>LOOKUP(A56,Inscritos!$E$2:$E$110,Inscritos!$H$2:$H$110)</f>
        <v>Laguna Carapã</v>
      </c>
      <c r="F56" s="40" t="str">
        <f>LOOKUP(A56,Inscritos!$E$2:$E$110,Inscritos!$I$2:$I$110)</f>
        <v>CACS-FUNDEB</v>
      </c>
      <c r="G56" s="40" t="s">
        <v>712</v>
      </c>
      <c r="H56" s="3">
        <f>LOOKUP(A56,Inscritos!$E$2:$E$110,Inscritos!$M$2:$M$110)</f>
        <v>45750</v>
      </c>
    </row>
    <row r="57" spans="1:8" x14ac:dyDescent="0.4">
      <c r="A57" s="40" t="s">
        <v>244</v>
      </c>
      <c r="B57" s="40" t="str">
        <f>LOOKUP(A57,Inscritos!$E$2:$E$110,Inscritos!$D$2:$D$110)</f>
        <v>Gabriel Barbosa Costa</v>
      </c>
      <c r="C57" s="40" t="str">
        <f>LOOKUP(A57,Inscritos!$E$2:$E$110,Inscritos!$C$2:$C$110)</f>
        <v>educacao.matriculadigital@maracaju.ms.gov.br</v>
      </c>
      <c r="D57" s="41">
        <f>LOOKUP(A57,Inscritos!$E$2:$E$110,Inscritos!$F$2:$F$110)</f>
        <v>34586</v>
      </c>
      <c r="E57" s="40" t="str">
        <f>LOOKUP(A57,Inscritos!$E$2:$E$110,Inscritos!$H$2:$H$110)</f>
        <v>Maracaju</v>
      </c>
      <c r="F57" s="40" t="str">
        <f>LOOKUP(A57,Inscritos!$E$2:$E$110,Inscritos!$I$2:$I$110)</f>
        <v>Gestão municipal</v>
      </c>
      <c r="G57" s="40" t="s">
        <v>712</v>
      </c>
      <c r="H57" s="3">
        <f>LOOKUP(A57,Inscritos!$E$2:$E$110,Inscritos!$M$2:$M$110)</f>
        <v>45750</v>
      </c>
    </row>
    <row r="58" spans="1:8" x14ac:dyDescent="0.4">
      <c r="A58" s="40" t="s">
        <v>232</v>
      </c>
      <c r="B58" s="40" t="str">
        <f>LOOKUP(A58,Inscritos!$E$2:$E$110,Inscritos!$D$2:$D$110)</f>
        <v>Gabriel Vinicius Ricarte Pedrozo</v>
      </c>
      <c r="C58" s="40" t="str">
        <f>LOOKUP(A58,Inscritos!$E$2:$E$110,Inscritos!$C$2:$C$110)</f>
        <v>ricartegv@outlook.com.br</v>
      </c>
      <c r="D58" s="41">
        <f>LOOKUP(A58,Inscritos!$E$2:$E$110,Inscritos!$F$2:$F$110)</f>
        <v>36339</v>
      </c>
      <c r="E58" s="40" t="str">
        <f>LOOKUP(A58,Inscritos!$E$2:$E$110,Inscritos!$H$2:$H$110)</f>
        <v>Maracaju</v>
      </c>
      <c r="F58" s="40" t="str">
        <f>LOOKUP(A58,Inscritos!$E$2:$E$110,Inscritos!$I$2:$I$110)</f>
        <v>Gestão municipal</v>
      </c>
      <c r="G58" s="40" t="s">
        <v>712</v>
      </c>
      <c r="H58" s="3">
        <f>LOOKUP(A58,Inscritos!$E$2:$E$110,Inscritos!$M$2:$M$110)</f>
        <v>45750</v>
      </c>
    </row>
    <row r="59" spans="1:8" x14ac:dyDescent="0.4">
      <c r="A59" s="40" t="s">
        <v>236</v>
      </c>
      <c r="B59" s="40" t="str">
        <f>LOOKUP(A59,Inscritos!$E$2:$E$110,Inscritos!$D$2:$D$110)</f>
        <v>Dinamar de Souza Freitas</v>
      </c>
      <c r="C59" s="40" t="str">
        <f>LOOKUP(A59,Inscritos!$E$2:$E$110,Inscritos!$C$2:$C$110)</f>
        <v>dinamarfreitas@hotmail.com</v>
      </c>
      <c r="D59" s="41">
        <f>LOOKUP(A59,Inscritos!$E$2:$E$110,Inscritos!$F$2:$F$110)</f>
        <v>24181</v>
      </c>
      <c r="E59" s="40" t="str">
        <f>LOOKUP(A59,Inscritos!$E$2:$E$110,Inscritos!$H$2:$H$110)</f>
        <v>Maracaju</v>
      </c>
      <c r="F59" s="40" t="str">
        <f>LOOKUP(A59,Inscritos!$E$2:$E$110,Inscritos!$I$2:$I$110)</f>
        <v>CACS-FUNDEB</v>
      </c>
      <c r="G59" s="40" t="s">
        <v>712</v>
      </c>
      <c r="H59" s="3">
        <f>LOOKUP(A59,Inscritos!$E$2:$E$110,Inscritos!$M$2:$M$110)</f>
        <v>45750</v>
      </c>
    </row>
    <row r="60" spans="1:8" x14ac:dyDescent="0.4">
      <c r="A60" s="40" t="s">
        <v>247</v>
      </c>
      <c r="B60" s="40" t="str">
        <f>LOOKUP(A60,Inscritos!$E$2:$E$110,Inscritos!$D$2:$D$110)</f>
        <v>Willian Carlos magi santos</v>
      </c>
      <c r="C60" s="40" t="str">
        <f>LOOKUP(A60,Inscritos!$E$2:$E$110,Inscritos!$C$2:$C$110)</f>
        <v>frota@mundonovo.ms.gov.br</v>
      </c>
      <c r="D60" s="41">
        <f>LOOKUP(A60,Inscritos!$E$2:$E$110,Inscritos!$F$2:$F$110)</f>
        <v>30186</v>
      </c>
      <c r="E60" s="40" t="str">
        <f>LOOKUP(A60,Inscritos!$E$2:$E$110,Inscritos!$H$2:$H$110)</f>
        <v>Mundo Novo</v>
      </c>
      <c r="F60" s="40" t="str">
        <f>LOOKUP(A60,Inscritos!$E$2:$E$110,Inscritos!$I$2:$I$110)</f>
        <v>Gestão municipal</v>
      </c>
      <c r="G60" s="40" t="s">
        <v>712</v>
      </c>
      <c r="H60" s="3">
        <f>LOOKUP(A60,Inscritos!$E$2:$E$110,Inscritos!$M$2:$M$110)</f>
        <v>45750</v>
      </c>
    </row>
    <row r="61" spans="1:8" x14ac:dyDescent="0.4">
      <c r="A61" s="40" t="s">
        <v>258</v>
      </c>
      <c r="B61" s="40" t="str">
        <f>LOOKUP(A61,Inscritos!$E$2:$E$110,Inscritos!$D$2:$D$110)</f>
        <v>Osmar Alves de Oliveira Sobrinho</v>
      </c>
      <c r="C61" s="40" t="str">
        <f>LOOKUP(A61,Inscritos!$E$2:$E$110,Inscritos!$C$2:$C$110)</f>
        <v>osmaralves1998@gmail.com</v>
      </c>
      <c r="D61" s="41">
        <f>LOOKUP(A61,Inscritos!$E$2:$E$110,Inscritos!$F$2:$F$110)</f>
        <v>26200</v>
      </c>
      <c r="E61" s="40" t="str">
        <f>LOOKUP(A61,Inscritos!$E$2:$E$110,Inscritos!$H$2:$H$110)</f>
        <v>Naviraí</v>
      </c>
      <c r="F61" s="40" t="str">
        <f>LOOKUP(A61,Inscritos!$E$2:$E$110,Inscritos!$I$2:$I$110)</f>
        <v>CACS-FUNDEB</v>
      </c>
      <c r="G61" s="40" t="s">
        <v>712</v>
      </c>
      <c r="H61" s="3">
        <f>LOOKUP(A61,Inscritos!$E$2:$E$110,Inscritos!$M$2:$M$110)</f>
        <v>45750</v>
      </c>
    </row>
    <row r="62" spans="1:8" x14ac:dyDescent="0.4">
      <c r="A62" s="40" t="s">
        <v>251</v>
      </c>
      <c r="B62" s="40" t="str">
        <f>LOOKUP(A62,Inscritos!$E$2:$E$110,Inscritos!$D$2:$D$110)</f>
        <v>Carla Cristiane Silva Rocha Cunha</v>
      </c>
      <c r="C62" s="40" t="str">
        <f>LOOKUP(A62,Inscritos!$E$2:$E$110,Inscritos!$C$2:$C$110)</f>
        <v>cami_edu_domingos@hotmail.com</v>
      </c>
      <c r="D62" s="41">
        <f>LOOKUP(A62,Inscritos!$E$2:$E$110,Inscritos!$F$2:$F$110)</f>
        <v>28425</v>
      </c>
      <c r="E62" s="40" t="str">
        <f>LOOKUP(A62,Inscritos!$E$2:$E$110,Inscritos!$H$2:$H$110)</f>
        <v>Naviraí</v>
      </c>
      <c r="F62" s="40" t="str">
        <f>LOOKUP(A62,Inscritos!$E$2:$E$110,Inscritos!$I$2:$I$110)</f>
        <v>CACS-FUNDEB</v>
      </c>
      <c r="G62" s="40" t="s">
        <v>712</v>
      </c>
      <c r="H62" s="3">
        <f>LOOKUP(A62,Inscritos!$E$2:$E$110,Inscritos!$M$2:$M$110)</f>
        <v>45750</v>
      </c>
    </row>
    <row r="63" spans="1:8" x14ac:dyDescent="0.4">
      <c r="A63" s="42" t="s">
        <v>255</v>
      </c>
      <c r="B63" s="42" t="str">
        <f>LOOKUP(A63,Inscritos!$E$2:$E$110,Inscritos!$D$2:$D$110)</f>
        <v>Carlos Eduardo Stabenow Minari</v>
      </c>
      <c r="C63" s="42" t="str">
        <f>LOOKUP(A63,Inscritos!$E$2:$E$110,Inscritos!$C$2:$C$110)</f>
        <v>carlosstabenow@hotmail.com</v>
      </c>
      <c r="D63" s="43">
        <f>LOOKUP(A63,Inscritos!$E$2:$E$110,Inscritos!$F$2:$F$110)</f>
        <v>30017</v>
      </c>
      <c r="E63" s="42" t="str">
        <f>LOOKUP(A63,Inscritos!$E$2:$E$110,Inscritos!$H$2:$H$110)</f>
        <v>Naviraí</v>
      </c>
      <c r="F63" s="42" t="str">
        <f>LOOKUP(A63,Inscritos!$E$2:$E$110,Inscritos!$I$2:$I$110)</f>
        <v>Gestão municipal</v>
      </c>
      <c r="G63" s="42" t="s">
        <v>713</v>
      </c>
      <c r="H63" s="3">
        <f>LOOKUP(A63,Inscritos!$E$2:$E$110,Inscritos!$M$2:$M$110)</f>
        <v>45750</v>
      </c>
    </row>
    <row r="64" spans="1:8" x14ac:dyDescent="0.4">
      <c r="A64" s="42" t="s">
        <v>261</v>
      </c>
      <c r="B64" s="42" t="str">
        <f>LOOKUP(A64,Inscritos!$E$2:$E$110,Inscritos!$D$2:$D$110)</f>
        <v>Ozeias Morais da Silva</v>
      </c>
      <c r="C64" s="42" t="str">
        <f>LOOKUP(A64,Inscritos!$E$2:$E$110,Inscritos!$C$2:$C$110)</f>
        <v>Transporteescolar@novaalvoradadosul.ms.gov.br</v>
      </c>
      <c r="D64" s="43">
        <f>LOOKUP(A64,Inscritos!$E$2:$E$110,Inscritos!$F$2:$F$110)</f>
        <v>31161</v>
      </c>
      <c r="E64" s="42" t="str">
        <f>LOOKUP(A64,Inscritos!$E$2:$E$110,Inscritos!$H$2:$H$110)</f>
        <v>Nova Alvorada do Sul</v>
      </c>
      <c r="F64" s="42" t="str">
        <f>LOOKUP(A64,Inscritos!$E$2:$E$110,Inscritos!$I$2:$I$110)</f>
        <v>Gestão municipal</v>
      </c>
      <c r="G64" s="42" t="s">
        <v>713</v>
      </c>
      <c r="H64" s="3">
        <f>LOOKUP(A64,Inscritos!$E$2:$E$110,Inscritos!$M$2:$M$110)</f>
        <v>45750</v>
      </c>
    </row>
    <row r="65" spans="1:8" x14ac:dyDescent="0.4">
      <c r="A65" s="42" t="s">
        <v>270</v>
      </c>
      <c r="B65" s="42" t="str">
        <f>LOOKUP(A65,Inscritos!$E$2:$E$110,Inscritos!$D$2:$D$110)</f>
        <v>Emerson José Alves da Silva</v>
      </c>
      <c r="C65" s="42" t="str">
        <f>LOOKUP(A65,Inscritos!$E$2:$E$110,Inscritos!$C$2:$C$110)</f>
        <v>ejas.emerson@gmail.com</v>
      </c>
      <c r="D65" s="43">
        <f>LOOKUP(A65,Inscritos!$E$2:$E$110,Inscritos!$F$2:$F$110)</f>
        <v>28948</v>
      </c>
      <c r="E65" s="42" t="str">
        <f>LOOKUP(A65,Inscritos!$E$2:$E$110,Inscritos!$H$2:$H$110)</f>
        <v>Nova Andradina</v>
      </c>
      <c r="F65" s="42" t="str">
        <f>LOOKUP(A65,Inscritos!$E$2:$E$110,Inscritos!$I$2:$I$110)</f>
        <v>Gestão municipal</v>
      </c>
      <c r="G65" s="42" t="s">
        <v>713</v>
      </c>
      <c r="H65" s="3">
        <f>LOOKUP(A65,Inscritos!$E$2:$E$110,Inscritos!$M$2:$M$110)</f>
        <v>45750</v>
      </c>
    </row>
    <row r="66" spans="1:8" x14ac:dyDescent="0.4">
      <c r="A66" s="42" t="s">
        <v>274</v>
      </c>
      <c r="B66" s="42" t="str">
        <f>LOOKUP(A66,Inscritos!$E$2:$E$110,Inscritos!$D$2:$D$110)</f>
        <v>Ricardo Aparecido da Paixão</v>
      </c>
      <c r="C66" s="42" t="str">
        <f>LOOKUP(A66,Inscritos!$E$2:$E$110,Inscritos!$C$2:$C$110)</f>
        <v>ricardoappaixao1979@gmail.com</v>
      </c>
      <c r="D66" s="43">
        <f>LOOKUP(A66,Inscritos!$E$2:$E$110,Inscritos!$F$2:$F$110)</f>
        <v>28978</v>
      </c>
      <c r="E66" s="42" t="str">
        <f>LOOKUP(A66,Inscritos!$E$2:$E$110,Inscritos!$H$2:$H$110)</f>
        <v>Nova Andradina</v>
      </c>
      <c r="F66" s="42" t="str">
        <f>LOOKUP(A66,Inscritos!$E$2:$E$110,Inscritos!$I$2:$I$110)</f>
        <v>CACS-FUNDEB</v>
      </c>
      <c r="G66" s="42" t="s">
        <v>713</v>
      </c>
      <c r="H66" s="3">
        <f>LOOKUP(A66,Inscritos!$E$2:$E$110,Inscritos!$M$2:$M$110)</f>
        <v>45750</v>
      </c>
    </row>
    <row r="67" spans="1:8" x14ac:dyDescent="0.4">
      <c r="A67" s="42" t="s">
        <v>277</v>
      </c>
      <c r="B67" s="42" t="str">
        <f>LOOKUP(A67,Inscritos!$E$2:$E$110,Inscritos!$D$2:$D$110)</f>
        <v>Lucimara Caccia Faverssiani</v>
      </c>
      <c r="C67" s="42" t="str">
        <f>LOOKUP(A67,Inscritos!$E$2:$E$110,Inscritos!$C$2:$C$110)</f>
        <v>lucimara260379@gmail.com</v>
      </c>
      <c r="D67" s="43">
        <f>LOOKUP(A67,Inscritos!$E$2:$E$110,Inscritos!$F$2:$F$110)</f>
        <v>28940</v>
      </c>
      <c r="E67" s="42" t="str">
        <f>LOOKUP(A67,Inscritos!$E$2:$E$110,Inscritos!$H$2:$H$110)</f>
        <v>Nova Andradina</v>
      </c>
      <c r="F67" s="42" t="str">
        <f>LOOKUP(A67,Inscritos!$E$2:$E$110,Inscritos!$I$2:$I$110)</f>
        <v>CACS-FUNDEB</v>
      </c>
      <c r="G67" s="42" t="s">
        <v>713</v>
      </c>
      <c r="H67" s="3">
        <f>LOOKUP(A67,Inscritos!$E$2:$E$110,Inscritos!$M$2:$M$110)</f>
        <v>45750</v>
      </c>
    </row>
    <row r="68" spans="1:8" x14ac:dyDescent="0.4">
      <c r="A68" s="42" t="s">
        <v>360</v>
      </c>
      <c r="B68" s="42" t="str">
        <f>LOOKUP(A68,Inscritos!$E$2:$E$110,Inscritos!$D$2:$D$110)</f>
        <v>Anderson Oliveira Souza</v>
      </c>
      <c r="C68" s="42" t="str">
        <f>LOOKUP(A68,Inscritos!$E$2:$E$110,Inscritos!$C$2:$C$110)</f>
        <v>anderson-2511@hotmail.com</v>
      </c>
      <c r="D68" s="43">
        <f>LOOKUP(A68,Inscritos!$E$2:$E$110,Inscritos!$F$2:$F$110)</f>
        <v>34298</v>
      </c>
      <c r="E68" s="42" t="str">
        <f>LOOKUP(A68,Inscritos!$E$2:$E$110,Inscritos!$H$2:$H$110)</f>
        <v>Novo Horizonte do Sul</v>
      </c>
      <c r="F68" s="42" t="str">
        <f>LOOKUP(A68,Inscritos!$E$2:$E$110,Inscritos!$I$2:$I$110)</f>
        <v>Gestão municipal</v>
      </c>
      <c r="G68" s="42" t="s">
        <v>713</v>
      </c>
      <c r="H68" s="3">
        <f>LOOKUP(A68,Inscritos!$E$2:$E$110,Inscritos!$M$2:$M$110)</f>
        <v>45750</v>
      </c>
    </row>
    <row r="69" spans="1:8" x14ac:dyDescent="0.4">
      <c r="A69" s="42" t="s">
        <v>356</v>
      </c>
      <c r="B69" s="42" t="str">
        <f>LOOKUP(A69,Inscritos!$E$2:$E$110,Inscritos!$D$2:$D$110)</f>
        <v>Maria Cristina Frangiotti</v>
      </c>
      <c r="C69" s="42" t="str">
        <f>LOOKUP(A69,Inscritos!$E$2:$E$110,Inscritos!$C$2:$C$110)</f>
        <v>crissfrangiotti@gmail.com</v>
      </c>
      <c r="D69" s="43">
        <f>LOOKUP(A69,Inscritos!$E$2:$E$110,Inscritos!$F$2:$F$110)</f>
        <v>29058</v>
      </c>
      <c r="E69" s="42" t="str">
        <f>LOOKUP(A69,Inscritos!$E$2:$E$110,Inscritos!$H$2:$H$110)</f>
        <v>Novo Horizonte do Sul</v>
      </c>
      <c r="F69" s="42" t="str">
        <f>LOOKUP(A69,Inscritos!$E$2:$E$110,Inscritos!$I$2:$I$110)</f>
        <v>CACS-FUNDEB</v>
      </c>
      <c r="G69" s="42" t="s">
        <v>713</v>
      </c>
      <c r="H69" s="3">
        <f>LOOKUP(A69,Inscritos!$E$2:$E$110,Inscritos!$M$2:$M$110)</f>
        <v>45750</v>
      </c>
    </row>
    <row r="70" spans="1:8" x14ac:dyDescent="0.4">
      <c r="A70" s="42" t="s">
        <v>301</v>
      </c>
      <c r="B70" s="42" t="str">
        <f>LOOKUP(A70,Inscritos!$E$2:$E$110,Inscritos!$D$2:$D$110)</f>
        <v>Jaqueline Hernacki</v>
      </c>
      <c r="C70" s="42" t="str">
        <f>LOOKUP(A70,Inscritos!$E$2:$E$110,Inscritos!$C$2:$C$110)</f>
        <v>jaque_hernacki@hotmail.com</v>
      </c>
      <c r="D70" s="43">
        <f>LOOKUP(A70,Inscritos!$E$2:$E$110,Inscritos!$F$2:$F$110)</f>
        <v>32243</v>
      </c>
      <c r="E70" s="42" t="str">
        <f>LOOKUP(A70,Inscritos!$E$2:$E$110,Inscritos!$H$2:$H$110)</f>
        <v>Paranhos</v>
      </c>
      <c r="F70" s="42" t="str">
        <f>LOOKUP(A70,Inscritos!$E$2:$E$110,Inscritos!$I$2:$I$110)</f>
        <v>Gestão municipal</v>
      </c>
      <c r="G70" s="42" t="s">
        <v>713</v>
      </c>
      <c r="H70" s="3">
        <f>LOOKUP(A70,Inscritos!$E$2:$E$110,Inscritos!$M$2:$M$110)</f>
        <v>45750</v>
      </c>
    </row>
    <row r="71" spans="1:8" x14ac:dyDescent="0.4">
      <c r="A71" s="42" t="s">
        <v>297</v>
      </c>
      <c r="B71" s="42" t="str">
        <f>LOOKUP(A71,Inscritos!$E$2:$E$110,Inscritos!$D$2:$D$110)</f>
        <v>Fagner Rodrigues Galina</v>
      </c>
      <c r="C71" s="42" t="str">
        <f>LOOKUP(A71,Inscritos!$E$2:$E$110,Inscritos!$C$2:$C$110)</f>
        <v>fagnergalina33@gmail.com</v>
      </c>
      <c r="D71" s="43">
        <f>LOOKUP(A71,Inscritos!$E$2:$E$110,Inscritos!$F$2:$F$110)</f>
        <v>31113</v>
      </c>
      <c r="E71" s="42" t="str">
        <f>LOOKUP(A71,Inscritos!$E$2:$E$110,Inscritos!$H$2:$H$110)</f>
        <v>Paranhos</v>
      </c>
      <c r="F71" s="42" t="str">
        <f>LOOKUP(A71,Inscritos!$E$2:$E$110,Inscritos!$I$2:$I$110)</f>
        <v>Gestão municipal</v>
      </c>
      <c r="G71" s="42" t="s">
        <v>713</v>
      </c>
      <c r="H71" s="3">
        <f>LOOKUP(A71,Inscritos!$E$2:$E$110,Inscritos!$M$2:$M$110)</f>
        <v>45750</v>
      </c>
    </row>
    <row r="72" spans="1:8" x14ac:dyDescent="0.4">
      <c r="A72" s="42" t="s">
        <v>304</v>
      </c>
      <c r="B72" s="42" t="str">
        <f>LOOKUP(A72,Inscritos!$E$2:$E$110,Inscritos!$D$2:$D$110)</f>
        <v>guilherme mateus silva cardoso</v>
      </c>
      <c r="C72" s="42" t="str">
        <f>LOOKUP(A72,Inscritos!$E$2:$E$110,Inscritos!$C$2:$C$110)</f>
        <v>guilhermemateus348@gmail.com</v>
      </c>
      <c r="D72" s="43">
        <f>LOOKUP(A72,Inscritos!$E$2:$E$110,Inscritos!$F$2:$F$110)</f>
        <v>37837</v>
      </c>
      <c r="E72" s="42" t="str">
        <f>LOOKUP(A72,Inscritos!$E$2:$E$110,Inscritos!$H$2:$H$110)</f>
        <v>Ponta Porã</v>
      </c>
      <c r="F72" s="42" t="str">
        <f>LOOKUP(A72,Inscritos!$E$2:$E$110,Inscritos!$I$2:$I$110)</f>
        <v>Gestão municipal</v>
      </c>
      <c r="G72" s="42" t="s">
        <v>713</v>
      </c>
      <c r="H72" s="3">
        <f>LOOKUP(A72,Inscritos!$E$2:$E$110,Inscritos!$M$2:$M$110)</f>
        <v>45750</v>
      </c>
    </row>
    <row r="73" spans="1:8" x14ac:dyDescent="0.4">
      <c r="A73" s="42" t="s">
        <v>311</v>
      </c>
      <c r="B73" s="42" t="str">
        <f>LOOKUP(A73,Inscritos!$E$2:$E$110,Inscritos!$D$2:$D$110)</f>
        <v>Luciana Ferriol de Matos</v>
      </c>
      <c r="C73" s="42" t="str">
        <f>LOOKUP(A73,Inscritos!$E$2:$E$110,Inscritos!$C$2:$C$110)</f>
        <v>luciana_fmatos@hotmail.com</v>
      </c>
      <c r="D73" s="43">
        <f>LOOKUP(A73,Inscritos!$E$2:$E$110,Inscritos!$F$2:$F$110)</f>
        <v>26889</v>
      </c>
      <c r="E73" s="42" t="str">
        <f>LOOKUP(A73,Inscritos!$E$2:$E$110,Inscritos!$H$2:$H$110)</f>
        <v>Ponta Porã</v>
      </c>
      <c r="F73" s="42" t="str">
        <f>LOOKUP(A73,Inscritos!$E$2:$E$110,Inscritos!$I$2:$I$110)</f>
        <v>CACS-FUNDEB</v>
      </c>
      <c r="G73" s="42" t="s">
        <v>713</v>
      </c>
      <c r="H73" s="3">
        <f>LOOKUP(A73,Inscritos!$E$2:$E$110,Inscritos!$M$2:$M$110)</f>
        <v>45750</v>
      </c>
    </row>
    <row r="74" spans="1:8" x14ac:dyDescent="0.4">
      <c r="A74" s="42" t="s">
        <v>308</v>
      </c>
      <c r="B74" s="42" t="str">
        <f>LOOKUP(A74,Inscritos!$E$2:$E$110,Inscritos!$D$2:$D$110)</f>
        <v>Maurici Nascimento Silva</v>
      </c>
      <c r="C74" s="42" t="str">
        <f>LOOKUP(A74,Inscritos!$E$2:$E$110,Inscritos!$C$2:$C$110)</f>
        <v>maurinha1964@gmail.com</v>
      </c>
      <c r="D74" s="43">
        <f>LOOKUP(A74,Inscritos!$E$2:$E$110,Inscritos!$F$2:$F$110)</f>
        <v>23638</v>
      </c>
      <c r="E74" s="42" t="str">
        <f>LOOKUP(A74,Inscritos!$E$2:$E$110,Inscritos!$H$2:$H$110)</f>
        <v>Ponta Porã</v>
      </c>
      <c r="F74" s="42" t="str">
        <f>LOOKUP(A74,Inscritos!$E$2:$E$110,Inscritos!$I$2:$I$110)</f>
        <v>CACS-FUNDEB</v>
      </c>
      <c r="G74" s="42" t="s">
        <v>713</v>
      </c>
      <c r="H74" s="3">
        <f>LOOKUP(A74,Inscritos!$E$2:$E$110,Inscritos!$M$2:$M$110)</f>
        <v>45750</v>
      </c>
    </row>
    <row r="75" spans="1:8" x14ac:dyDescent="0.4">
      <c r="A75" s="42" t="s">
        <v>324</v>
      </c>
      <c r="B75" s="42" t="str">
        <f>LOOKUP(A75,Inscritos!$E$2:$E$110,Inscritos!$D$2:$D$110)</f>
        <v>Marilete Santin</v>
      </c>
      <c r="C75" s="42" t="str">
        <f>LOOKUP(A75,Inscritos!$E$2:$E$110,Inscritos!$C$2:$C$110)</f>
        <v>marisantin6@gmail.com</v>
      </c>
      <c r="D75" s="43">
        <f>LOOKUP(A75,Inscritos!$E$2:$E$110,Inscritos!$F$2:$F$110)</f>
        <v>31173</v>
      </c>
      <c r="E75" s="42" t="str">
        <f>LOOKUP(A75,Inscritos!$E$2:$E$110,Inscritos!$H$2:$H$110)</f>
        <v>Rio Brilhante</v>
      </c>
      <c r="F75" s="42" t="str">
        <f>LOOKUP(A75,Inscritos!$E$2:$E$110,Inscritos!$I$2:$I$110)</f>
        <v>CACS-FUNDEB</v>
      </c>
      <c r="G75" s="42" t="s">
        <v>713</v>
      </c>
      <c r="H75" s="3">
        <f>LOOKUP(A75,Inscritos!$E$2:$E$110,Inscritos!$M$2:$M$110)</f>
        <v>45750</v>
      </c>
    </row>
    <row r="76" spans="1:8" x14ac:dyDescent="0.4">
      <c r="A76" s="42" t="s">
        <v>321</v>
      </c>
      <c r="B76" s="42" t="str">
        <f>LOOKUP(A76,Inscritos!$E$2:$E$110,Inscritos!$D$2:$D$110)</f>
        <v>Thaine Stefani dos Santos</v>
      </c>
      <c r="C76" s="42" t="str">
        <f>LOOKUP(A76,Inscritos!$E$2:$E$110,Inscritos!$C$2:$C$110)</f>
        <v>thaine.stefani@gmail.com</v>
      </c>
      <c r="D76" s="43">
        <f>LOOKUP(A76,Inscritos!$E$2:$E$110,Inscritos!$F$2:$F$110)</f>
        <v>32278</v>
      </c>
      <c r="E76" s="42" t="str">
        <f>LOOKUP(A76,Inscritos!$E$2:$E$110,Inscritos!$H$2:$H$110)</f>
        <v>Rio Brilhante</v>
      </c>
      <c r="F76" s="42" t="str">
        <f>LOOKUP(A76,Inscritos!$E$2:$E$110,Inscritos!$I$2:$I$110)</f>
        <v>Gestão municipal</v>
      </c>
      <c r="G76" s="42" t="s">
        <v>713</v>
      </c>
      <c r="H76" s="3">
        <f>LOOKUP(A76,Inscritos!$E$2:$E$110,Inscritos!$M$2:$M$110)</f>
        <v>45750</v>
      </c>
    </row>
    <row r="77" spans="1:8" x14ac:dyDescent="0.4">
      <c r="A77" s="42" t="s">
        <v>314</v>
      </c>
      <c r="B77" s="42" t="str">
        <f>LOOKUP(A77,Inscritos!$E$2:$E$110,Inscritos!$D$2:$D$110)</f>
        <v>Uesley Souza</v>
      </c>
      <c r="C77" s="42" t="str">
        <f>LOOKUP(A77,Inscritos!$E$2:$E$110,Inscritos!$C$2:$C$110)</f>
        <v>uesley.u@gmail.com</v>
      </c>
      <c r="D77" s="43">
        <f>LOOKUP(A77,Inscritos!$E$2:$E$110,Inscritos!$F$2:$F$110)</f>
        <v>33417</v>
      </c>
      <c r="E77" s="42" t="str">
        <f>LOOKUP(A77,Inscritos!$E$2:$E$110,Inscritos!$H$2:$H$110)</f>
        <v>Rio Brilhante</v>
      </c>
      <c r="F77" s="42" t="str">
        <f>LOOKUP(A77,Inscritos!$E$2:$E$110,Inscritos!$I$2:$I$110)</f>
        <v>CACS-FUNDEB</v>
      </c>
      <c r="G77" s="42" t="s">
        <v>713</v>
      </c>
      <c r="H77" s="3">
        <f>LOOKUP(A77,Inscritos!$E$2:$E$110,Inscritos!$M$2:$M$110)</f>
        <v>45750</v>
      </c>
    </row>
    <row r="78" spans="1:8" x14ac:dyDescent="0.4">
      <c r="A78" s="42" t="s">
        <v>318</v>
      </c>
      <c r="B78" s="42" t="str">
        <f>LOOKUP(A78,Inscritos!$E$2:$E$110,Inscritos!$D$2:$D$110)</f>
        <v>Ana Luiza Venite Gama</v>
      </c>
      <c r="C78" s="42" t="str">
        <f>LOOKUP(A78,Inscritos!$E$2:$E$110,Inscritos!$C$2:$C$110)</f>
        <v>analuizavenite@gmail.com</v>
      </c>
      <c r="D78" s="43">
        <f>LOOKUP(A78,Inscritos!$E$2:$E$110,Inscritos!$F$2:$F$110)</f>
        <v>36520</v>
      </c>
      <c r="E78" s="42" t="str">
        <f>LOOKUP(A78,Inscritos!$E$2:$E$110,Inscritos!$H$2:$H$110)</f>
        <v>Rio Brilhante</v>
      </c>
      <c r="F78" s="42" t="str">
        <f>LOOKUP(A78,Inscritos!$E$2:$E$110,Inscritos!$I$2:$I$110)</f>
        <v>Gestão municipal</v>
      </c>
      <c r="G78" s="42" t="s">
        <v>713</v>
      </c>
      <c r="H78" s="3">
        <f>LOOKUP(A78,Inscritos!$E$2:$E$110,Inscritos!$M$2:$M$110)</f>
        <v>45750</v>
      </c>
    </row>
    <row r="79" spans="1:8" x14ac:dyDescent="0.4">
      <c r="A79" s="42" t="s">
        <v>327</v>
      </c>
      <c r="B79" s="42" t="str">
        <f>LOOKUP(A79,Inscritos!$E$2:$E$110,Inscritos!$D$2:$D$110)</f>
        <v>Marcio de souza santos</v>
      </c>
      <c r="C79" s="42" t="str">
        <f>LOOKUP(A79,Inscritos!$E$2:$E$110,Inscritos!$C$2:$C$110)</f>
        <v>semec@taquarussu.ms.gov.br</v>
      </c>
      <c r="D79" s="43">
        <f>LOOKUP(A79,Inscritos!$E$2:$E$110,Inscritos!$F$2:$F$110)</f>
        <v>31718</v>
      </c>
      <c r="E79" s="42" t="str">
        <f>LOOKUP(A79,Inscritos!$E$2:$E$110,Inscritos!$H$2:$H$110)</f>
        <v>Taquarussu</v>
      </c>
      <c r="F79" s="42" t="str">
        <f>LOOKUP(A79,Inscritos!$E$2:$E$110,Inscritos!$I$2:$I$110)</f>
        <v>Gestão municipal</v>
      </c>
      <c r="G79" s="42" t="s">
        <v>713</v>
      </c>
      <c r="H79" s="3">
        <f>LOOKUP(A79,Inscritos!$E$2:$E$110,Inscritos!$M$2:$M$110)</f>
        <v>45750</v>
      </c>
    </row>
    <row r="80" spans="1:8" x14ac:dyDescent="0.4">
      <c r="A80" s="42" t="s">
        <v>338</v>
      </c>
      <c r="B80" s="42" t="str">
        <f>LOOKUP(A80,Inscritos!$E$2:$E$110,Inscritos!$D$2:$D$110)</f>
        <v>Amanda Gonsales de Lima</v>
      </c>
      <c r="C80" s="42" t="str">
        <f>LOOKUP(A80,Inscritos!$E$2:$E$110,Inscritos!$C$2:$C$110)</f>
        <v>semec@taquarussu.ms.gov.br</v>
      </c>
      <c r="D80" s="43">
        <f>LOOKUP(A80,Inscritos!$E$2:$E$110,Inscritos!$F$2:$F$110)</f>
        <v>34041</v>
      </c>
      <c r="E80" s="42" t="str">
        <f>LOOKUP(A80,Inscritos!$E$2:$E$110,Inscritos!$H$2:$H$110)</f>
        <v>Taquarussu</v>
      </c>
      <c r="F80" s="42" t="str">
        <f>LOOKUP(A80,Inscritos!$E$2:$E$110,Inscritos!$I$2:$I$110)</f>
        <v>Gestão municipal</v>
      </c>
      <c r="G80" s="42" t="s">
        <v>713</v>
      </c>
      <c r="H80" s="3">
        <f>LOOKUP(A80,Inscritos!$E$2:$E$110,Inscritos!$M$2:$M$110)</f>
        <v>45750</v>
      </c>
    </row>
    <row r="81" spans="1:8" x14ac:dyDescent="0.4">
      <c r="A81" s="42" t="s">
        <v>331</v>
      </c>
      <c r="B81" s="42" t="str">
        <f>LOOKUP(A81,Inscritos!$E$2:$E$110,Inscritos!$D$2:$D$110)</f>
        <v>Maria Rosely Andrade dos Santos</v>
      </c>
      <c r="C81" s="42" t="str">
        <f>LOOKUP(A81,Inscritos!$E$2:$E$110,Inscritos!$C$2:$C$110)</f>
        <v>semec@taquarussu.ms.gov.br</v>
      </c>
      <c r="D81" s="43">
        <f>LOOKUP(A81,Inscritos!$E$2:$E$110,Inscritos!$F$2:$F$110)</f>
        <v>29106</v>
      </c>
      <c r="E81" s="42" t="str">
        <f>LOOKUP(A81,Inscritos!$E$2:$E$110,Inscritos!$H$2:$H$110)</f>
        <v>Taquarussu</v>
      </c>
      <c r="F81" s="42" t="str">
        <f>LOOKUP(A81,Inscritos!$E$2:$E$110,Inscritos!$I$2:$I$110)</f>
        <v>Gestão municipal</v>
      </c>
      <c r="G81" s="42" t="s">
        <v>713</v>
      </c>
      <c r="H81" s="3">
        <f>LOOKUP(A81,Inscritos!$E$2:$E$110,Inscritos!$M$2:$M$110)</f>
        <v>45750</v>
      </c>
    </row>
    <row r="82" spans="1:8" x14ac:dyDescent="0.4">
      <c r="A82" s="42" t="s">
        <v>334</v>
      </c>
      <c r="B82" s="42" t="str">
        <f>LOOKUP(A82,Inscritos!$E$2:$E$110,Inscritos!$D$2:$D$110)</f>
        <v>Delma Eugênia de Araújo</v>
      </c>
      <c r="C82" s="42" t="str">
        <f>LOOKUP(A82,Inscritos!$E$2:$E$110,Inscritos!$C$2:$C$110)</f>
        <v>delmaaraujo1973@hotmail.com</v>
      </c>
      <c r="D82" s="43">
        <f>LOOKUP(A82,Inscritos!$E$2:$E$110,Inscritos!$F$2:$F$110)</f>
        <v>26778</v>
      </c>
      <c r="E82" s="42" t="str">
        <f>LOOKUP(A82,Inscritos!$E$2:$E$110,Inscritos!$H$2:$H$110)</f>
        <v>Vicentina</v>
      </c>
      <c r="F82" s="42" t="str">
        <f>LOOKUP(A82,Inscritos!$E$2:$E$110,Inscritos!$I$2:$I$110)</f>
        <v>CACS-FUNDEB</v>
      </c>
      <c r="G82" s="42" t="s">
        <v>713</v>
      </c>
      <c r="H82" s="3">
        <f>LOOKUP(A82,Inscritos!$E$2:$E$110,Inscritos!$M$2:$M$110)</f>
        <v>45750</v>
      </c>
    </row>
    <row r="83" spans="1:8" x14ac:dyDescent="0.4">
      <c r="A83" s="42" t="s">
        <v>341</v>
      </c>
      <c r="B83" s="42" t="str">
        <f>LOOKUP(A83,Inscritos!$E$2:$E$110,Inscritos!$D$2:$D$110)</f>
        <v>Simão Sirineu Schuh Dias</v>
      </c>
      <c r="C83" s="42" t="str">
        <f>LOOKUP(A83,Inscritos!$E$2:$E$110,Inscritos!$C$2:$C$110)</f>
        <v>simaoschuh1@gmail.com</v>
      </c>
      <c r="D83" s="43">
        <f>LOOKUP(A83,Inscritos!$E$2:$E$110,Inscritos!$F$2:$F$110)</f>
        <v>33019</v>
      </c>
      <c r="E83" s="42" t="str">
        <f>LOOKUP(A83,Inscritos!$E$2:$E$110,Inscritos!$H$2:$H$110)</f>
        <v>Sete Quedas</v>
      </c>
      <c r="F83" s="42" t="str">
        <f>LOOKUP(A83,Inscritos!$E$2:$E$110,Inscritos!$I$2:$I$110)</f>
        <v>CACS-FUNDEB</v>
      </c>
      <c r="G83" s="42" t="s">
        <v>713</v>
      </c>
      <c r="H83" s="3">
        <f>LOOKUP(A83,Inscritos!$E$2:$E$110,Inscritos!$M$2:$M$110)</f>
        <v>45750</v>
      </c>
    </row>
    <row r="84" spans="1:8" x14ac:dyDescent="0.4">
      <c r="A84" s="42" t="s">
        <v>353</v>
      </c>
      <c r="B84" s="42" t="str">
        <f>LOOKUP(A84,Inscritos!$E$2:$E$110,Inscritos!$D$2:$D$110)</f>
        <v>Joelba Ferreira Gomes</v>
      </c>
      <c r="C84" s="42" t="str">
        <f>LOOKUP(A84,Inscritos!$E$2:$E$110,Inscritos!$C$2:$C$110)</f>
        <v>joelbaferreiragomes@gmail.com</v>
      </c>
      <c r="D84" s="43">
        <f>LOOKUP(A84,Inscritos!$E$2:$E$110,Inscritos!$F$2:$F$110)</f>
        <v>25413</v>
      </c>
      <c r="E84" s="42" t="str">
        <f>LOOKUP(A84,Inscritos!$E$2:$E$110,Inscritos!$H$2:$H$110)</f>
        <v>Sete Quedas</v>
      </c>
      <c r="F84" s="42" t="str">
        <f>LOOKUP(A84,Inscritos!$E$2:$E$110,Inscritos!$I$2:$I$110)</f>
        <v>Gestão municipal</v>
      </c>
      <c r="G84" s="42" t="s">
        <v>713</v>
      </c>
      <c r="H84" s="3">
        <f>LOOKUP(A84,Inscritos!$E$2:$E$110,Inscritos!$M$2:$M$110)</f>
        <v>45750</v>
      </c>
    </row>
    <row r="85" spans="1:8" x14ac:dyDescent="0.4">
      <c r="A85" s="42" t="s">
        <v>350</v>
      </c>
      <c r="B85" s="42" t="str">
        <f>LOOKUP(A85,Inscritos!$E$2:$E$110,Inscritos!$D$2:$D$110)</f>
        <v>Crislaine wentz ferreira</v>
      </c>
      <c r="C85" s="42" t="str">
        <f>LOOKUP(A85,Inscritos!$E$2:$E$110,Inscritos!$C$2:$C$110)</f>
        <v>criswentzprestes@outlook.com.br</v>
      </c>
      <c r="D85" s="43">
        <f>LOOKUP(A85,Inscritos!$E$2:$E$110,Inscritos!$F$2:$F$110)</f>
        <v>30330</v>
      </c>
      <c r="E85" s="42" t="str">
        <f>LOOKUP(A85,Inscritos!$E$2:$E$110,Inscritos!$H$2:$H$110)</f>
        <v>Sete Quedas</v>
      </c>
      <c r="F85" s="42" t="str">
        <f>LOOKUP(A85,Inscritos!$E$2:$E$110,Inscritos!$I$2:$I$110)</f>
        <v>CACS-FUNDEB</v>
      </c>
      <c r="G85" s="42" t="s">
        <v>713</v>
      </c>
      <c r="H85" s="3">
        <f>LOOKUP(A85,Inscritos!$E$2:$E$110,Inscritos!$M$2:$M$110)</f>
        <v>45750</v>
      </c>
    </row>
    <row r="86" spans="1:8" x14ac:dyDescent="0.4">
      <c r="A86" s="40" t="s">
        <v>239</v>
      </c>
      <c r="B86" s="40" t="str">
        <f>LOOKUP(A86,Inscritos!$E$2:$E$110,Inscritos!$D$2:$D$110)</f>
        <v>Augusto César Henriques</v>
      </c>
      <c r="C86" s="40" t="str">
        <f>LOOKUP(A86,Inscritos!$E$2:$E$110,Inscritos!$C$2:$C$110)</f>
        <v>augustocesarinformarica@gmail.com</v>
      </c>
      <c r="D86" s="41">
        <f>LOOKUP(A86,Inscritos!$E$2:$E$110,Inscritos!$F$2:$F$110)</f>
        <v>31405</v>
      </c>
      <c r="E86" s="40" t="str">
        <f>LOOKUP(A86,Inscritos!$E$2:$E$110,Inscritos!$H$2:$H$110)</f>
        <v>Maracaju</v>
      </c>
      <c r="F86" s="40" t="str">
        <f>LOOKUP(A86,Inscritos!$E$2:$E$110,Inscritos!$I$2:$I$110)</f>
        <v>Gestão municipal</v>
      </c>
      <c r="G86" s="40" t="s">
        <v>712</v>
      </c>
      <c r="H86" s="3">
        <f>LOOKUP(A86,Inscritos!$E$2:$E$110,Inscritos!$M$2:$M$110)</f>
        <v>45750.397835648146</v>
      </c>
    </row>
    <row r="87" spans="1:8" x14ac:dyDescent="0.4">
      <c r="A87" s="40" t="s">
        <v>219</v>
      </c>
      <c r="B87" s="40" t="str">
        <f>LOOKUP(A87,Inscritos!$E$2:$E$110,Inscritos!$D$2:$D$110)</f>
        <v>Diego Ribeiro</v>
      </c>
      <c r="C87" s="40" t="str">
        <f>LOOKUP(A87,Inscritos!$E$2:$E$110,Inscritos!$C$2:$C$110)</f>
        <v>dr.diego.ribeiro25@gmail.com</v>
      </c>
      <c r="D87" s="41">
        <f>LOOKUP(A87,Inscritos!$E$2:$E$110,Inscritos!$F$2:$F$110)</f>
        <v>31913</v>
      </c>
      <c r="E87" s="40" t="str">
        <f>LOOKUP(A87,Inscritos!$E$2:$E$110,Inscritos!$H$2:$H$110)</f>
        <v>Laguna Carapã</v>
      </c>
      <c r="F87" s="40" t="str">
        <f>LOOKUP(A87,Inscritos!$E$2:$E$110,Inscritos!$I$2:$I$110)</f>
        <v>CACS-FUNDEB</v>
      </c>
      <c r="G87" s="40" t="s">
        <v>712</v>
      </c>
      <c r="H87" s="3">
        <f>LOOKUP(A87,Inscritos!$E$2:$E$110,Inscritos!$M$2:$M$110)</f>
        <v>45750.399560185186</v>
      </c>
    </row>
    <row r="88" spans="1:8" x14ac:dyDescent="0.4">
      <c r="A88" s="40" t="s">
        <v>224</v>
      </c>
      <c r="B88" s="40" t="str">
        <f>LOOKUP(A88,Inscritos!$E$2:$E$110,Inscritos!$D$2:$D$110)</f>
        <v>Daniela Medina</v>
      </c>
      <c r="C88" s="40" t="str">
        <f>LOOKUP(A88,Inscritos!$E$2:$E$110,Inscritos!$C$2:$C$110)</f>
        <v>danimedina826@gmail.com</v>
      </c>
      <c r="D88" s="41">
        <f>LOOKUP(A88,Inscritos!$E$2:$E$110,Inscritos!$F$2:$F$110)</f>
        <v>36569</v>
      </c>
      <c r="E88" s="40" t="str">
        <f>LOOKUP(A88,Inscritos!$E$2:$E$110,Inscritos!$H$2:$H$110)</f>
        <v>Laguna Carapã</v>
      </c>
      <c r="F88" s="40" t="str">
        <f>LOOKUP(A88,Inscritos!$E$2:$E$110,Inscritos!$I$2:$I$110)</f>
        <v>Gestão municipal</v>
      </c>
      <c r="G88" s="40" t="s">
        <v>712</v>
      </c>
      <c r="H88" s="3">
        <f>LOOKUP(A88,Inscritos!$E$2:$E$110,Inscritos!$M$2:$M$110)</f>
        <v>45750.399571759262</v>
      </c>
    </row>
    <row r="89" spans="1:8" x14ac:dyDescent="0.4">
      <c r="A89" s="40" t="s">
        <v>196</v>
      </c>
      <c r="B89" s="40" t="str">
        <f>LOOKUP(A89,Inscritos!$E$2:$E$110,Inscritos!$D$2:$D$110)</f>
        <v>André de Souza Mattos</v>
      </c>
      <c r="C89" s="40" t="str">
        <f>LOOKUP(A89,Inscritos!$E$2:$E$110,Inscritos!$C$2:$C$110)</f>
        <v>andresenize@hotmail.com</v>
      </c>
      <c r="D89" s="41">
        <f>LOOKUP(A89,Inscritos!$E$2:$E$110,Inscritos!$F$2:$F$110)</f>
        <v>28771</v>
      </c>
      <c r="E89" s="40" t="str">
        <f>LOOKUP(A89,Inscritos!$E$2:$E$110,Inscritos!$H$2:$H$110)</f>
        <v>Japorã</v>
      </c>
      <c r="F89" s="40" t="str">
        <f>LOOKUP(A89,Inscritos!$E$2:$E$110,Inscritos!$I$2:$I$110)</f>
        <v>CACS-FUNDEB</v>
      </c>
      <c r="G89" s="40" t="s">
        <v>712</v>
      </c>
      <c r="H89" s="3">
        <f>LOOKUP(A89,Inscritos!$E$2:$E$110,Inscritos!$M$2:$M$110)</f>
        <v>45750.40247685185</v>
      </c>
    </row>
    <row r="90" spans="1:8" x14ac:dyDescent="0.4">
      <c r="A90" s="42" t="s">
        <v>265</v>
      </c>
      <c r="B90" s="42" t="str">
        <f>LOOKUP(A90,Inscritos!$E$2:$E$110,Inscritos!$D$2:$D$110)</f>
        <v>Adalberto Honorato</v>
      </c>
      <c r="C90" s="42" t="str">
        <f>LOOKUP(A90,Inscritos!$E$2:$E$110,Inscritos!$C$2:$C$110)</f>
        <v>adalbertohonorato@hotmail.com</v>
      </c>
      <c r="D90" s="43">
        <f>LOOKUP(A90,Inscritos!$E$2:$E$110,Inscritos!$F$2:$F$110)</f>
        <v>31509</v>
      </c>
      <c r="E90" s="42" t="str">
        <f>LOOKUP(A90,Inscritos!$E$2:$E$110,Inscritos!$H$2:$H$110)</f>
        <v>Nova Alvorada do Sul</v>
      </c>
      <c r="F90" s="42" t="str">
        <f>LOOKUP(A90,Inscritos!$E$2:$E$110,Inscritos!$I$2:$I$110)</f>
        <v>CACS-FUNDEB</v>
      </c>
      <c r="G90" s="42" t="s">
        <v>713</v>
      </c>
      <c r="H90" s="3">
        <f>LOOKUP(A90,Inscritos!$E$2:$E$110,Inscritos!$M$2:$M$110)</f>
        <v>45750.409826388888</v>
      </c>
    </row>
    <row r="91" spans="1:8" x14ac:dyDescent="0.4">
      <c r="A91" s="42" t="s">
        <v>344</v>
      </c>
      <c r="B91" s="42" t="str">
        <f>LOOKUP(A91,Inscritos!$E$2:$E$110,Inscritos!$D$2:$D$110)</f>
        <v>Paulo Cesar Mota dos Santos</v>
      </c>
      <c r="C91" s="42" t="str">
        <f>LOOKUP(A91,Inscritos!$E$2:$E$110,Inscritos!$C$2:$C$110)</f>
        <v>paulo.cesar.75@hotmail.com</v>
      </c>
      <c r="D91" s="43">
        <f>LOOKUP(A91,Inscritos!$E$2:$E$110,Inscritos!$F$2:$F$110)</f>
        <v>27486</v>
      </c>
      <c r="E91" s="42" t="str">
        <f>LOOKUP(A91,Inscritos!$E$2:$E$110,Inscritos!$H$2:$H$110)</f>
        <v>Sete Quedas</v>
      </c>
      <c r="F91" s="42" t="str">
        <f>LOOKUP(A91,Inscritos!$E$2:$E$110,Inscritos!$I$2:$I$110)</f>
        <v>Gestão municipal</v>
      </c>
      <c r="G91" s="42" t="s">
        <v>713</v>
      </c>
      <c r="H91" s="3">
        <f>LOOKUP(A91,Inscritos!$E$2:$E$110,Inscritos!$M$2:$M$110)</f>
        <v>45750.539664351854</v>
      </c>
    </row>
    <row r="92" spans="1:8" x14ac:dyDescent="0.4">
      <c r="A92" s="42" t="s">
        <v>363</v>
      </c>
      <c r="B92" s="42" t="str">
        <f>LOOKUP(A92,Inscritos!$E$2:$E$110,Inscritos!$D$2:$D$110)</f>
        <v>Juliani Cristini Sieve</v>
      </c>
      <c r="C92" s="42" t="str">
        <f>LOOKUP(A92,Inscritos!$E$2:$E$110,Inscritos!$C$2:$C$110)</f>
        <v>julianimalu@gmail.com</v>
      </c>
      <c r="D92" s="43">
        <f>LOOKUP(A92,Inscritos!$E$2:$E$110,Inscritos!$F$2:$F$110)</f>
        <v>34332</v>
      </c>
      <c r="E92" s="42" t="str">
        <f>LOOKUP(A92,Inscritos!$E$2:$E$110,Inscritos!$H$2:$H$110)</f>
        <v>Novo Horizonte do Sul</v>
      </c>
      <c r="F92" s="42" t="str">
        <f>LOOKUP(A92,Inscritos!$E$2:$E$110,Inscritos!$I$2:$I$110)</f>
        <v>CACS-FUNDEB</v>
      </c>
      <c r="G92" s="42" t="s">
        <v>713</v>
      </c>
      <c r="H92" s="3">
        <f>LOOKUP(A92,Inscritos!$E$2:$E$110,Inscritos!$M$2:$M$110)</f>
        <v>45750.543657407405</v>
      </c>
    </row>
    <row r="93" spans="1:8" x14ac:dyDescent="0.4">
      <c r="A93" s="42" t="s">
        <v>367</v>
      </c>
      <c r="B93" s="42" t="str">
        <f>LOOKUP(A93,Inscritos!$E$2:$E$110,Inscritos!$D$2:$D$110)</f>
        <v>Odirlei Ferreira Calixto</v>
      </c>
      <c r="C93" s="42" t="str">
        <f>LOOKUP(A93,Inscritos!$E$2:$E$110,Inscritos!$C$2:$C$110)</f>
        <v>anderson-2511@hotmail.com</v>
      </c>
      <c r="D93" s="43">
        <f>LOOKUP(A93,Inscritos!$E$2:$E$110,Inscritos!$F$2:$F$110)</f>
        <v>28811</v>
      </c>
      <c r="E93" s="42" t="str">
        <f>LOOKUP(A93,Inscritos!$E$2:$E$110,Inscritos!$H$2:$H$110)</f>
        <v>Novo Horizonte do Sul</v>
      </c>
      <c r="F93" s="42" t="str">
        <f>LOOKUP(A93,Inscritos!$E$2:$E$110,Inscritos!$I$2:$I$110)</f>
        <v>Gestão municipal</v>
      </c>
      <c r="G93" s="42" t="s">
        <v>713</v>
      </c>
      <c r="H93" s="3">
        <f>LOOKUP(A93,Inscritos!$E$2:$E$110,Inscritos!$M$2:$M$110)</f>
        <v>45750.545057870368</v>
      </c>
    </row>
  </sheetData>
  <sortState xmlns:xlrd2="http://schemas.microsoft.com/office/spreadsheetml/2017/richdata2" ref="A2:H93">
    <sortCondition ref="H2:H93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F756-DB8C-485A-BCE2-3F521445DE8B}">
  <dimension ref="A1:I93"/>
  <sheetViews>
    <sheetView workbookViewId="0">
      <selection activeCell="K12" sqref="K12"/>
    </sheetView>
  </sheetViews>
  <sheetFormatPr defaultRowHeight="19.5" x14ac:dyDescent="0.4"/>
  <cols>
    <col min="2" max="2" width="19" bestFit="1" customWidth="1"/>
    <col min="3" max="3" width="42.375" bestFit="1" customWidth="1"/>
    <col min="4" max="4" width="32.125" bestFit="1" customWidth="1"/>
    <col min="5" max="5" width="13.625" bestFit="1" customWidth="1"/>
    <col min="6" max="6" width="7" customWidth="1"/>
    <col min="7" max="7" width="20.375" bestFit="1" customWidth="1"/>
    <col min="8" max="8" width="15.125" bestFit="1" customWidth="1"/>
    <col min="9" max="9" width="18.875" customWidth="1"/>
    <col min="10" max="10" width="14.25" bestFit="1" customWidth="1"/>
  </cols>
  <sheetData>
    <row r="1" spans="1:9" x14ac:dyDescent="0.4">
      <c r="A1" t="s">
        <v>370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12</v>
      </c>
      <c r="H1" t="s">
        <v>13</v>
      </c>
    </row>
    <row r="2" spans="1:9" x14ac:dyDescent="0.4">
      <c r="B2" s="2">
        <v>45749.406655092593</v>
      </c>
      <c r="C2" t="s">
        <v>20</v>
      </c>
      <c r="D2" t="s">
        <v>21</v>
      </c>
      <c r="E2" t="s">
        <v>22</v>
      </c>
      <c r="G2" t="str">
        <f>LOOKUP(E2,Inscritos!$E$2:$E$110,Inscritos!$H$2:$H$110)</f>
        <v>Amambai</v>
      </c>
      <c r="H2" t="str">
        <f>LOOKUP(E2,Inscritos!$E$2:$E$110,Inscritos!$I$2:$I$110)</f>
        <v>CACS-FUNDEB</v>
      </c>
      <c r="I2" t="str">
        <f>LOOKUP(E2,Inscritos!$E$2:$E$110,Inscritos!$E$2:$E$110)</f>
        <v>319.591.219-87</v>
      </c>
    </row>
    <row r="3" spans="1:9" x14ac:dyDescent="0.4">
      <c r="B3" s="2">
        <v>45749.412766203706</v>
      </c>
      <c r="C3" t="s">
        <v>23</v>
      </c>
      <c r="D3" t="s">
        <v>24</v>
      </c>
      <c r="E3" t="s">
        <v>25</v>
      </c>
      <c r="G3" t="str">
        <f>LOOKUP(E3,Inscritos!$E$2:$E$110,Inscritos!$H$2:$H$110)</f>
        <v>Amambai</v>
      </c>
      <c r="H3" t="str">
        <f>LOOKUP(E3,Inscritos!$E$2:$E$110,Inscritos!$I$2:$I$110)</f>
        <v>Gestão municipal</v>
      </c>
      <c r="I3" t="str">
        <f>LOOKUP(E3,Inscritos!$E$2:$E$110,Inscritos!$E$2:$E$110)</f>
        <v>372.774.131-72</v>
      </c>
    </row>
    <row r="4" spans="1:9" x14ac:dyDescent="0.4">
      <c r="B4" s="2">
        <v>45749.54446759259</v>
      </c>
      <c r="C4" t="s">
        <v>27</v>
      </c>
      <c r="D4" t="s">
        <v>28</v>
      </c>
      <c r="E4" t="s">
        <v>29</v>
      </c>
      <c r="G4" t="str">
        <f>LOOKUP(E4,Inscritos!$E$2:$E$110,Inscritos!$H$2:$H$110)</f>
        <v>Amambai</v>
      </c>
      <c r="H4" t="str">
        <f>LOOKUP(E4,Inscritos!$E$2:$E$110,Inscritos!$I$2:$I$110)</f>
        <v>CACS-FUNDEB</v>
      </c>
      <c r="I4" t="str">
        <f>LOOKUP(E4,Inscritos!$E$2:$E$110,Inscritos!$E$2:$E$110)</f>
        <v>830.554.871-68</v>
      </c>
    </row>
    <row r="5" spans="1:9" x14ac:dyDescent="0.4">
      <c r="B5" s="2">
        <v>45749.408506944441</v>
      </c>
      <c r="C5" t="s">
        <v>14</v>
      </c>
      <c r="D5" t="s">
        <v>15</v>
      </c>
      <c r="E5" t="s">
        <v>16</v>
      </c>
      <c r="G5" t="str">
        <f>LOOKUP(E5,Inscritos!$E$2:$E$110,Inscritos!$H$2:$H$110)</f>
        <v>Amambai</v>
      </c>
      <c r="H5" t="str">
        <f>LOOKUP(E5,Inscritos!$E$2:$E$110,Inscritos!$I$2:$I$110)</f>
        <v>CACS-FUNDEB</v>
      </c>
      <c r="I5" t="str">
        <f>LOOKUP(E5,Inscritos!$E$2:$E$110,Inscritos!$E$2:$E$110)</f>
        <v>971.277.281-00</v>
      </c>
    </row>
    <row r="6" spans="1:9" x14ac:dyDescent="0.4">
      <c r="B6" s="2">
        <v>45749.404699074075</v>
      </c>
      <c r="C6" t="s">
        <v>34</v>
      </c>
      <c r="D6" t="s">
        <v>35</v>
      </c>
      <c r="E6" t="s">
        <v>36</v>
      </c>
      <c r="G6" t="str">
        <f>LOOKUP(E6,Inscritos!$E$2:$E$110,Inscritos!$H$2:$H$110)</f>
        <v>Anaurilândia</v>
      </c>
      <c r="H6" t="str">
        <f>LOOKUP(E6,Inscritos!$E$2:$E$110,Inscritos!$I$2:$I$110)</f>
        <v>Gestão municipal</v>
      </c>
      <c r="I6" t="str">
        <f>LOOKUP(E6,Inscritos!$E$2:$E$110,Inscritos!$E$2:$E$110)</f>
        <v>554.765.201-63</v>
      </c>
    </row>
    <row r="7" spans="1:9" x14ac:dyDescent="0.4">
      <c r="B7" s="2">
        <v>45749.403020833335</v>
      </c>
      <c r="C7" t="s">
        <v>30</v>
      </c>
      <c r="D7" t="s">
        <v>31</v>
      </c>
      <c r="E7" t="s">
        <v>32</v>
      </c>
      <c r="G7" t="str">
        <f>LOOKUP(E7,Inscritos!$E$2:$E$110,Inscritos!$H$2:$H$110)</f>
        <v>Anaurilândia</v>
      </c>
      <c r="H7" t="str">
        <f>LOOKUP(E7,Inscritos!$E$2:$E$110,Inscritos!$I$2:$I$110)</f>
        <v>Gestão municipal</v>
      </c>
      <c r="I7" t="str">
        <f>LOOKUP(E7,Inscritos!$E$2:$E$110,Inscritos!$E$2:$E$110)</f>
        <v>796.398.951-72</v>
      </c>
    </row>
    <row r="8" spans="1:9" x14ac:dyDescent="0.4">
      <c r="B8" s="2">
        <v>45749.405775462961</v>
      </c>
      <c r="C8" t="s">
        <v>41</v>
      </c>
      <c r="D8" t="s">
        <v>42</v>
      </c>
      <c r="E8" t="s">
        <v>43</v>
      </c>
      <c r="G8" t="str">
        <f>LOOKUP(E8,Inscritos!$E$2:$E$110,Inscritos!$H$2:$H$110)</f>
        <v>Angélica</v>
      </c>
      <c r="H8" t="str">
        <f>LOOKUP(E8,Inscritos!$E$2:$E$110,Inscritos!$I$2:$I$110)</f>
        <v>Gestão municipal</v>
      </c>
      <c r="I8" t="str">
        <f>LOOKUP(E8,Inscritos!$E$2:$E$110,Inscritos!$E$2:$E$110)</f>
        <v>005.338.441-50</v>
      </c>
    </row>
    <row r="9" spans="1:9" x14ac:dyDescent="0.4">
      <c r="B9" s="2">
        <v>45749.405648148146</v>
      </c>
      <c r="C9" t="s">
        <v>37</v>
      </c>
      <c r="D9" t="s">
        <v>38</v>
      </c>
      <c r="E9" t="s">
        <v>39</v>
      </c>
      <c r="G9" t="str">
        <f>LOOKUP(E9,Inscritos!$E$2:$E$110,Inscritos!$H$2:$H$110)</f>
        <v>Angélica</v>
      </c>
      <c r="H9" t="str">
        <f>LOOKUP(E9,Inscritos!$E$2:$E$110,Inscritos!$I$2:$I$110)</f>
        <v>Gestão municipal</v>
      </c>
      <c r="I9" t="str">
        <f>LOOKUP(E9,Inscritos!$E$2:$E$110,Inscritos!$E$2:$E$110)</f>
        <v>022.616.841-77</v>
      </c>
    </row>
    <row r="10" spans="1:9" x14ac:dyDescent="0.4">
      <c r="B10" s="2">
        <v>45749.692326388889</v>
      </c>
      <c r="C10" t="s">
        <v>44</v>
      </c>
      <c r="D10" t="s">
        <v>45</v>
      </c>
      <c r="E10" t="s">
        <v>46</v>
      </c>
      <c r="G10" t="str">
        <f>LOOKUP(E10,Inscritos!$E$2:$E$110,Inscritos!$H$2:$H$110)</f>
        <v>Aral Moreira</v>
      </c>
      <c r="H10" t="str">
        <f>LOOKUP(E10,Inscritos!$E$2:$E$110,Inscritos!$I$2:$I$110)</f>
        <v>Gestão municipal</v>
      </c>
      <c r="I10" t="str">
        <f>LOOKUP(E10,Inscritos!$E$2:$E$110,Inscritos!$E$2:$E$110)</f>
        <v>088.101.191-69</v>
      </c>
    </row>
    <row r="11" spans="1:9" x14ac:dyDescent="0.4">
      <c r="B11" s="2">
        <v>45749.69258101852</v>
      </c>
      <c r="C11" t="s">
        <v>48</v>
      </c>
      <c r="D11" t="s">
        <v>49</v>
      </c>
      <c r="E11" t="s">
        <v>50</v>
      </c>
      <c r="G11" t="str">
        <f>LOOKUP(E11,Inscritos!$E$2:$E$110,Inscritos!$H$2:$H$110)</f>
        <v>Aral Moreira</v>
      </c>
      <c r="H11" t="str">
        <f>LOOKUP(E11,Inscritos!$E$2:$E$110,Inscritos!$I$2:$I$110)</f>
        <v>Gestão municipal</v>
      </c>
      <c r="I11" t="str">
        <f>LOOKUP(E11,Inscritos!$E$2:$E$110,Inscritos!$E$2:$E$110)</f>
        <v>906.974.991-20</v>
      </c>
    </row>
    <row r="12" spans="1:9" x14ac:dyDescent="0.4">
      <c r="B12" s="2">
        <v>45749.498310185183</v>
      </c>
      <c r="C12" t="s">
        <v>51</v>
      </c>
      <c r="D12" t="s">
        <v>52</v>
      </c>
      <c r="E12" t="s">
        <v>53</v>
      </c>
      <c r="G12" t="str">
        <f>LOOKUP(E12,Inscritos!$E$2:$E$110,Inscritos!$H$2:$H$110)</f>
        <v>Bataguassu</v>
      </c>
      <c r="H12" t="str">
        <f>LOOKUP(E12,Inscritos!$E$2:$E$110,Inscritos!$I$2:$I$110)</f>
        <v>Gestão municipal</v>
      </c>
      <c r="I12" t="str">
        <f>LOOKUP(E12,Inscritos!$E$2:$E$110,Inscritos!$E$2:$E$110)</f>
        <v>028.916.671-31</v>
      </c>
    </row>
    <row r="13" spans="1:9" x14ac:dyDescent="0.4">
      <c r="B13" s="2">
        <v>45749.498310185183</v>
      </c>
      <c r="C13" t="s">
        <v>58</v>
      </c>
      <c r="D13" t="s">
        <v>59</v>
      </c>
      <c r="E13" t="s">
        <v>60</v>
      </c>
      <c r="G13" t="str">
        <f>LOOKUP(E13,Inscritos!$E$2:$E$110,Inscritos!$H$2:$H$110)</f>
        <v>Bataguassu</v>
      </c>
      <c r="H13" t="str">
        <f>LOOKUP(E13,Inscritos!$E$2:$E$110,Inscritos!$I$2:$I$110)</f>
        <v>Gestão municipal</v>
      </c>
      <c r="I13" t="str">
        <f>LOOKUP(E13,Inscritos!$E$2:$E$110,Inscritos!$E$2:$E$110)</f>
        <v>365.252.431-49</v>
      </c>
    </row>
    <row r="14" spans="1:9" x14ac:dyDescent="0.4">
      <c r="B14" s="2">
        <v>45749.471296296295</v>
      </c>
      <c r="C14" t="s">
        <v>65</v>
      </c>
      <c r="D14" t="s">
        <v>66</v>
      </c>
      <c r="E14" t="s">
        <v>67</v>
      </c>
      <c r="G14" t="str">
        <f>LOOKUP(E14,Inscritos!$E$2:$E$110,Inscritos!$H$2:$H$110)</f>
        <v>Batayporã</v>
      </c>
      <c r="H14" t="str">
        <f>LOOKUP(E14,Inscritos!$E$2:$E$110,Inscritos!$I$2:$I$110)</f>
        <v>Gestão municipal</v>
      </c>
      <c r="I14" t="str">
        <f>LOOKUP(E14,Inscritos!$E$2:$E$110,Inscritos!$E$2:$E$110)</f>
        <v>015.884.291-05</v>
      </c>
    </row>
    <row r="15" spans="1:9" x14ac:dyDescent="0.4">
      <c r="B15" s="2">
        <v>45749.469155092593</v>
      </c>
      <c r="C15" t="s">
        <v>61</v>
      </c>
      <c r="D15" t="s">
        <v>62</v>
      </c>
      <c r="E15" t="s">
        <v>63</v>
      </c>
      <c r="G15" t="str">
        <f>LOOKUP(E15,Inscritos!$E$2:$E$110,Inscritos!$H$2:$H$110)</f>
        <v>Batayporã</v>
      </c>
      <c r="H15" t="str">
        <f>LOOKUP(E15,Inscritos!$E$2:$E$110,Inscritos!$I$2:$I$110)</f>
        <v>CACS-FUNDEB</v>
      </c>
      <c r="I15" t="str">
        <f>LOOKUP(E15,Inscritos!$E$2:$E$110,Inscritos!$E$2:$E$110)</f>
        <v>019.226.361-77</v>
      </c>
    </row>
    <row r="16" spans="1:9" x14ac:dyDescent="0.4">
      <c r="B16" s="2">
        <v>45749.471562500003</v>
      </c>
      <c r="C16" t="s">
        <v>68</v>
      </c>
      <c r="D16" t="s">
        <v>69</v>
      </c>
      <c r="E16" t="s">
        <v>70</v>
      </c>
      <c r="G16" t="str">
        <f>LOOKUP(E16,Inscritos!$E$2:$E$110,Inscritos!$H$2:$H$110)</f>
        <v>Batayporã</v>
      </c>
      <c r="H16" t="str">
        <f>LOOKUP(E16,Inscritos!$E$2:$E$110,Inscritos!$I$2:$I$110)</f>
        <v>CACS-FUNDEB</v>
      </c>
      <c r="I16" t="str">
        <f>LOOKUP(E16,Inscritos!$E$2:$E$110,Inscritos!$E$2:$E$110)</f>
        <v>481.570.661-15</v>
      </c>
    </row>
    <row r="17" spans="2:9" x14ac:dyDescent="0.4">
      <c r="B17" s="2">
        <v>45749.69866898148</v>
      </c>
      <c r="C17" t="s">
        <v>71</v>
      </c>
      <c r="D17" t="s">
        <v>72</v>
      </c>
      <c r="E17" t="s">
        <v>73</v>
      </c>
      <c r="G17" t="str">
        <f>LOOKUP(E17,Inscritos!$E$2:$E$110,Inscritos!$H$2:$H$110)</f>
        <v>Batayporã</v>
      </c>
      <c r="H17" t="str">
        <f>LOOKUP(E17,Inscritos!$E$2:$E$110,Inscritos!$I$2:$I$110)</f>
        <v>Gestão municipal</v>
      </c>
      <c r="I17" t="str">
        <f>LOOKUP(E17,Inscritos!$E$2:$E$110,Inscritos!$E$2:$E$110)</f>
        <v>797.993.701-59</v>
      </c>
    </row>
    <row r="18" spans="2:9" x14ac:dyDescent="0.4">
      <c r="B18" s="2">
        <v>45749.405601851853</v>
      </c>
      <c r="C18" t="s">
        <v>84</v>
      </c>
      <c r="D18" t="s">
        <v>85</v>
      </c>
      <c r="E18" t="s">
        <v>86</v>
      </c>
      <c r="G18" t="str">
        <f>LOOKUP(E18,Inscritos!$E$2:$E$110,Inscritos!$H$2:$H$110)</f>
        <v>Caarapó</v>
      </c>
      <c r="H18" t="str">
        <f>LOOKUP(E18,Inscritos!$E$2:$E$110,Inscritos!$I$2:$I$110)</f>
        <v>Gestão municipal</v>
      </c>
      <c r="I18" t="str">
        <f>LOOKUP(E18,Inscritos!$E$2:$E$110,Inscritos!$E$2:$E$110)</f>
        <v>003.625.511-46</v>
      </c>
    </row>
    <row r="19" spans="2:9" x14ac:dyDescent="0.4">
      <c r="B19" s="2">
        <v>45749.404803240737</v>
      </c>
      <c r="C19" t="s">
        <v>81</v>
      </c>
      <c r="D19" t="s">
        <v>82</v>
      </c>
      <c r="E19" t="s">
        <v>83</v>
      </c>
      <c r="G19" t="str">
        <f>LOOKUP(E19,Inscritos!$E$2:$E$110,Inscritos!$H$2:$H$110)</f>
        <v>Caarapó</v>
      </c>
      <c r="H19" t="str">
        <f>LOOKUP(E19,Inscritos!$E$2:$E$110,Inscritos!$I$2:$I$110)</f>
        <v>Gestão municipal</v>
      </c>
      <c r="I19" t="str">
        <f>LOOKUP(E19,Inscritos!$E$2:$E$110,Inscritos!$E$2:$E$110)</f>
        <v>032.679.841-22</v>
      </c>
    </row>
    <row r="20" spans="2:9" x14ac:dyDescent="0.4">
      <c r="B20" s="2">
        <v>45749.399780092594</v>
      </c>
      <c r="C20" t="s">
        <v>74</v>
      </c>
      <c r="D20" t="s">
        <v>75</v>
      </c>
      <c r="E20" t="s">
        <v>76</v>
      </c>
      <c r="G20" t="str">
        <f>LOOKUP(E20,Inscritos!$E$2:$E$110,Inscritos!$H$2:$H$110)</f>
        <v>Caarapó</v>
      </c>
      <c r="H20" t="str">
        <f>LOOKUP(E20,Inscritos!$E$2:$E$110,Inscritos!$I$2:$I$110)</f>
        <v>CACS-FUNDEB</v>
      </c>
      <c r="I20" t="str">
        <f>LOOKUP(E20,Inscritos!$E$2:$E$110,Inscritos!$E$2:$E$110)</f>
        <v>840.823.481-15</v>
      </c>
    </row>
    <row r="21" spans="2:9" x14ac:dyDescent="0.4">
      <c r="B21" s="2">
        <v>45749.40011574074</v>
      </c>
      <c r="C21" t="s">
        <v>78</v>
      </c>
      <c r="D21" t="s">
        <v>79</v>
      </c>
      <c r="E21" t="s">
        <v>80</v>
      </c>
      <c r="G21" t="str">
        <f>LOOKUP(E21,Inscritos!$E$2:$E$110,Inscritos!$H$2:$H$110)</f>
        <v>Caarapó</v>
      </c>
      <c r="H21" t="str">
        <f>LOOKUP(E21,Inscritos!$E$2:$E$110,Inscritos!$I$2:$I$110)</f>
        <v>Gestão municipal</v>
      </c>
      <c r="I21" t="str">
        <f>LOOKUP(E21,Inscritos!$E$2:$E$110,Inscritos!$E$2:$E$110)</f>
        <v>876.656.541-34</v>
      </c>
    </row>
    <row r="22" spans="2:9" x14ac:dyDescent="0.4">
      <c r="B22" s="2">
        <v>45750.398541666669</v>
      </c>
      <c r="C22" t="s">
        <v>93</v>
      </c>
      <c r="D22" t="s">
        <v>94</v>
      </c>
      <c r="E22" t="s">
        <v>95</v>
      </c>
      <c r="G22" t="str">
        <f>LOOKUP(E22,Inscritos!$E$2:$E$110,Inscritos!$H$2:$H$110)</f>
        <v>Cassilândia</v>
      </c>
      <c r="H22" t="str">
        <f>LOOKUP(E22,Inscritos!$E$2:$E$110,Inscritos!$I$2:$I$110)</f>
        <v>Gestão municipal</v>
      </c>
      <c r="I22" t="str">
        <f>LOOKUP(E22,Inscritos!$E$2:$E$110,Inscritos!$E$2:$E$110)</f>
        <v>312.097.501-04</v>
      </c>
    </row>
    <row r="23" spans="2:9" x14ac:dyDescent="0.4">
      <c r="B23" s="2">
        <v>45750.393622685187</v>
      </c>
      <c r="C23" t="s">
        <v>89</v>
      </c>
      <c r="D23" t="s">
        <v>90</v>
      </c>
      <c r="E23" t="s">
        <v>91</v>
      </c>
      <c r="G23" t="str">
        <f>LOOKUP(E23,Inscritos!$E$2:$E$110,Inscritos!$H$2:$H$110)</f>
        <v>Cassilândia</v>
      </c>
      <c r="H23" t="str">
        <f>LOOKUP(E23,Inscritos!$E$2:$E$110,Inscritos!$I$2:$I$110)</f>
        <v>Gestão municipal</v>
      </c>
      <c r="I23" t="str">
        <f>LOOKUP(E23,Inscritos!$E$2:$E$110,Inscritos!$E$2:$E$110)</f>
        <v>851.073.361-91</v>
      </c>
    </row>
    <row r="24" spans="2:9" x14ac:dyDescent="0.4">
      <c r="B24" s="2">
        <v>45749.417766203704</v>
      </c>
      <c r="C24" t="s">
        <v>100</v>
      </c>
      <c r="D24" t="s">
        <v>101</v>
      </c>
      <c r="E24" t="s">
        <v>102</v>
      </c>
      <c r="G24" t="str">
        <f>LOOKUP(E24,Inscritos!$E$2:$E$110,Inscritos!$H$2:$H$110)</f>
        <v>Coronel Sapucaia</v>
      </c>
      <c r="H24" t="str">
        <f>LOOKUP(E24,Inscritos!$E$2:$E$110,Inscritos!$I$2:$I$110)</f>
        <v>Gestão municipal</v>
      </c>
      <c r="I24" t="str">
        <f>LOOKUP(E24,Inscritos!$E$2:$E$110,Inscritos!$E$2:$E$110)</f>
        <v>519.164.361-53</v>
      </c>
    </row>
    <row r="25" spans="2:9" x14ac:dyDescent="0.4">
      <c r="B25" s="2">
        <v>45749.399097222224</v>
      </c>
      <c r="C25" t="s">
        <v>96</v>
      </c>
      <c r="D25" t="s">
        <v>97</v>
      </c>
      <c r="E25" t="s">
        <v>98</v>
      </c>
      <c r="G25" t="str">
        <f>LOOKUP(E25,Inscritos!$E$2:$E$110,Inscritos!$H$2:$H$110)</f>
        <v>Coronel Sapucaia</v>
      </c>
      <c r="H25" t="str">
        <f>LOOKUP(E25,Inscritos!$E$2:$E$110,Inscritos!$I$2:$I$110)</f>
        <v>CACS-FUNDEB</v>
      </c>
      <c r="I25" t="str">
        <f>LOOKUP(E25,Inscritos!$E$2:$E$110,Inscritos!$E$2:$E$110)</f>
        <v>031.051.231-05</v>
      </c>
    </row>
    <row r="26" spans="2:9" x14ac:dyDescent="0.4">
      <c r="B26" s="2">
        <v>45749.400011574071</v>
      </c>
      <c r="C26" t="s">
        <v>106</v>
      </c>
      <c r="D26" t="s">
        <v>107</v>
      </c>
      <c r="E26" t="s">
        <v>108</v>
      </c>
      <c r="G26" t="str">
        <f>LOOKUP(E26,Inscritos!$E$2:$E$110,Inscritos!$H$2:$H$110)</f>
        <v>Deodápolis</v>
      </c>
      <c r="H26" t="str">
        <f>LOOKUP(E26,Inscritos!$E$2:$E$110,Inscritos!$I$2:$I$110)</f>
        <v>Gestão municipal</v>
      </c>
      <c r="I26" t="str">
        <f>LOOKUP(E26,Inscritos!$E$2:$E$110,Inscritos!$E$2:$E$110)</f>
        <v>982.073.261-15</v>
      </c>
    </row>
    <row r="27" spans="2:9" x14ac:dyDescent="0.4">
      <c r="B27" s="2">
        <v>45749.463761574072</v>
      </c>
      <c r="C27" t="s">
        <v>110</v>
      </c>
      <c r="D27" t="s">
        <v>111</v>
      </c>
      <c r="E27" t="s">
        <v>112</v>
      </c>
      <c r="G27" t="str">
        <f>LOOKUP(E27,Inscritos!$E$2:$E$110,Inscritos!$H$2:$H$110)</f>
        <v>Douradina</v>
      </c>
      <c r="H27" t="str">
        <f>LOOKUP(E27,Inscritos!$E$2:$E$110,Inscritos!$I$2:$I$110)</f>
        <v>Gestão municipal</v>
      </c>
      <c r="I27" t="str">
        <f>LOOKUP(E27,Inscritos!$E$2:$E$110,Inscritos!$E$2:$E$110)</f>
        <v>022.800.451-92</v>
      </c>
    </row>
    <row r="28" spans="2:9" x14ac:dyDescent="0.4">
      <c r="B28" s="2">
        <v>45749.496342592596</v>
      </c>
      <c r="C28" t="s">
        <v>119</v>
      </c>
      <c r="D28" t="s">
        <v>120</v>
      </c>
      <c r="E28" t="s">
        <v>121</v>
      </c>
      <c r="G28" t="str">
        <f>LOOKUP(E28,Inscritos!$E$2:$E$110,Inscritos!$H$2:$H$110)</f>
        <v>Douradina</v>
      </c>
      <c r="H28" t="str">
        <f>LOOKUP(E28,Inscritos!$E$2:$E$110,Inscritos!$I$2:$I$110)</f>
        <v>Gestão municipal</v>
      </c>
      <c r="I28" t="str">
        <f>LOOKUP(E28,Inscritos!$E$2:$E$110,Inscritos!$E$2:$E$110)</f>
        <v>048.862.981-09</v>
      </c>
    </row>
    <row r="29" spans="2:9" x14ac:dyDescent="0.4">
      <c r="B29" s="2">
        <v>45749.495798611111</v>
      </c>
      <c r="C29" t="s">
        <v>116</v>
      </c>
      <c r="D29" t="s">
        <v>117</v>
      </c>
      <c r="E29" t="s">
        <v>118</v>
      </c>
      <c r="G29" t="str">
        <f>LOOKUP(E29,Inscritos!$E$2:$E$110,Inscritos!$H$2:$H$110)</f>
        <v>Douradina</v>
      </c>
      <c r="H29" t="str">
        <f>LOOKUP(E29,Inscritos!$E$2:$E$110,Inscritos!$I$2:$I$110)</f>
        <v>Gestão municipal</v>
      </c>
      <c r="I29" t="str">
        <f>LOOKUP(E29,Inscritos!$E$2:$E$110,Inscritos!$E$2:$E$110)</f>
        <v>637.035.051-68</v>
      </c>
    </row>
    <row r="30" spans="2:9" x14ac:dyDescent="0.4">
      <c r="B30" s="2">
        <v>45749.413159722222</v>
      </c>
      <c r="C30" t="s">
        <v>128</v>
      </c>
      <c r="D30" t="s">
        <v>129</v>
      </c>
      <c r="E30" t="s">
        <v>130</v>
      </c>
      <c r="G30" t="str">
        <f>LOOKUP(E30,Inscritos!$E$2:$E$110,Inscritos!$H$2:$H$110)</f>
        <v>Dourados</v>
      </c>
      <c r="H30" t="str">
        <f>LOOKUP(E30,Inscritos!$E$2:$E$110,Inscritos!$I$2:$I$110)</f>
        <v>Gestão municipal</v>
      </c>
      <c r="I30" t="str">
        <f>LOOKUP(E30,Inscritos!$E$2:$E$110,Inscritos!$E$2:$E$110)</f>
        <v>582.163.831-34</v>
      </c>
    </row>
    <row r="31" spans="2:9" x14ac:dyDescent="0.4">
      <c r="B31" s="2">
        <v>45749.59888888889</v>
      </c>
      <c r="C31" t="s">
        <v>140</v>
      </c>
      <c r="D31" t="s">
        <v>141</v>
      </c>
      <c r="E31" t="s">
        <v>142</v>
      </c>
      <c r="G31" t="str">
        <f>LOOKUP(E31,Inscritos!$E$2:$E$110,Inscritos!$H$2:$H$110)</f>
        <v>Dourados</v>
      </c>
      <c r="H31" t="str">
        <f>LOOKUP(E31,Inscritos!$E$2:$E$110,Inscritos!$I$2:$I$110)</f>
        <v>CACS-FUNDEB</v>
      </c>
      <c r="I31" t="str">
        <f>LOOKUP(E31,Inscritos!$E$2:$E$110,Inscritos!$E$2:$E$110)</f>
        <v>000.249.231-84</v>
      </c>
    </row>
    <row r="32" spans="2:9" x14ac:dyDescent="0.4">
      <c r="B32" s="2">
        <v>45749.401006944441</v>
      </c>
      <c r="C32" t="s">
        <v>124</v>
      </c>
      <c r="D32" t="s">
        <v>125</v>
      </c>
      <c r="E32" t="s">
        <v>126</v>
      </c>
      <c r="G32" t="str">
        <f>LOOKUP(E32,Inscritos!$E$2:$E$110,Inscritos!$H$2:$H$110)</f>
        <v>Dourados</v>
      </c>
      <c r="H32" t="str">
        <f>LOOKUP(E32,Inscritos!$E$2:$E$110,Inscritos!$I$2:$I$110)</f>
        <v>Gestão municipal</v>
      </c>
      <c r="I32" t="str">
        <f>LOOKUP(E32,Inscritos!$E$2:$E$110,Inscritos!$E$2:$E$110)</f>
        <v>065.889.541-90</v>
      </c>
    </row>
    <row r="33" spans="2:9" x14ac:dyDescent="0.4">
      <c r="B33" s="2">
        <v>45749.502129629633</v>
      </c>
      <c r="C33" t="s">
        <v>134</v>
      </c>
      <c r="D33" t="s">
        <v>135</v>
      </c>
      <c r="E33" t="s">
        <v>136</v>
      </c>
      <c r="G33" t="str">
        <f>LOOKUP(E33,Inscritos!$E$2:$E$110,Inscritos!$H$2:$H$110)</f>
        <v>Dourados</v>
      </c>
      <c r="H33" t="str">
        <f>LOOKUP(E33,Inscritos!$E$2:$E$110,Inscritos!$I$2:$I$110)</f>
        <v>Gestão municipal</v>
      </c>
      <c r="I33" t="str">
        <f>LOOKUP(E33,Inscritos!$E$2:$E$110,Inscritos!$E$2:$E$110)</f>
        <v>070.308.241-80</v>
      </c>
    </row>
    <row r="34" spans="2:9" x14ac:dyDescent="0.4">
      <c r="B34" s="2">
        <v>45749.541435185187</v>
      </c>
      <c r="C34" t="s">
        <v>137</v>
      </c>
      <c r="D34" t="s">
        <v>138</v>
      </c>
      <c r="E34" t="s">
        <v>139</v>
      </c>
      <c r="G34" t="str">
        <f>LOOKUP(E34,Inscritos!$E$2:$E$110,Inscritos!$H$2:$H$110)</f>
        <v>Dourados</v>
      </c>
      <c r="H34" t="str">
        <f>LOOKUP(E34,Inscritos!$E$2:$E$110,Inscritos!$I$2:$I$110)</f>
        <v>CACS-FUNDEB</v>
      </c>
      <c r="I34" t="str">
        <f>LOOKUP(E34,Inscritos!$E$2:$E$110,Inscritos!$E$2:$E$110)</f>
        <v>829.613.871-91</v>
      </c>
    </row>
    <row r="35" spans="2:9" x14ac:dyDescent="0.4">
      <c r="B35" s="2">
        <v>45749.861192129632</v>
      </c>
      <c r="C35" t="s">
        <v>147</v>
      </c>
      <c r="D35" t="s">
        <v>148</v>
      </c>
      <c r="E35" t="s">
        <v>149</v>
      </c>
      <c r="G35" t="str">
        <f>LOOKUP(E35,Inscritos!$E$2:$E$110,Inscritos!$H$2:$H$110)</f>
        <v>Eldorado</v>
      </c>
      <c r="H35" t="str">
        <f>LOOKUP(E35,Inscritos!$E$2:$E$110,Inscritos!$I$2:$I$110)</f>
        <v>CACS-FUNDEB</v>
      </c>
      <c r="I35" t="str">
        <f>LOOKUP(E35,Inscritos!$E$2:$E$110,Inscritos!$E$2:$E$110)</f>
        <v>035.212.591-88</v>
      </c>
    </row>
    <row r="36" spans="2:9" x14ac:dyDescent="0.4">
      <c r="B36" s="2">
        <v>45749.412743055553</v>
      </c>
      <c r="C36" t="s">
        <v>143</v>
      </c>
      <c r="D36" t="s">
        <v>144</v>
      </c>
      <c r="E36" t="s">
        <v>145</v>
      </c>
      <c r="G36" t="str">
        <f>LOOKUP(E36,Inscritos!$E$2:$E$110,Inscritos!$H$2:$H$110)</f>
        <v>Eldorado</v>
      </c>
      <c r="H36" t="str">
        <f>LOOKUP(E36,Inscritos!$E$2:$E$110,Inscritos!$I$2:$I$110)</f>
        <v>Gestão municipal</v>
      </c>
      <c r="I36" t="str">
        <f>LOOKUP(E36,Inscritos!$E$2:$E$110,Inscritos!$E$2:$E$110)</f>
        <v>312.780.271-49</v>
      </c>
    </row>
    <row r="37" spans="2:9" x14ac:dyDescent="0.4">
      <c r="B37" s="2">
        <v>45749.416076388887</v>
      </c>
      <c r="C37" t="s">
        <v>154</v>
      </c>
      <c r="D37" t="s">
        <v>155</v>
      </c>
      <c r="E37" t="s">
        <v>156</v>
      </c>
      <c r="G37" t="str">
        <f>LOOKUP(E37,Inscritos!$E$2:$E$110,Inscritos!$H$2:$H$110)</f>
        <v>Glória de Dourados</v>
      </c>
      <c r="H37" t="str">
        <f>LOOKUP(E37,Inscritos!$E$2:$E$110,Inscritos!$I$2:$I$110)</f>
        <v>CACS-FUNDEB</v>
      </c>
      <c r="I37" t="str">
        <f>LOOKUP(E37,Inscritos!$E$2:$E$110,Inscritos!$E$2:$E$110)</f>
        <v>500.851.311-72</v>
      </c>
    </row>
    <row r="38" spans="2:9" x14ac:dyDescent="0.4">
      <c r="B38" s="2">
        <v>45749.502627314818</v>
      </c>
      <c r="C38" t="s">
        <v>150</v>
      </c>
      <c r="D38" t="s">
        <v>151</v>
      </c>
      <c r="E38" t="s">
        <v>152</v>
      </c>
      <c r="G38" t="str">
        <f>LOOKUP(E38,Inscritos!$E$2:$E$110,Inscritos!$H$2:$H$110)</f>
        <v>Glória de Dourados</v>
      </c>
      <c r="H38" t="str">
        <f>LOOKUP(E38,Inscritos!$E$2:$E$110,Inscritos!$I$2:$I$110)</f>
        <v>Gestão municipal</v>
      </c>
      <c r="I38" t="str">
        <f>LOOKUP(E38,Inscritos!$E$2:$E$110,Inscritos!$E$2:$E$110)</f>
        <v>480.712.501-04</v>
      </c>
    </row>
    <row r="39" spans="2:9" x14ac:dyDescent="0.4">
      <c r="B39" s="2">
        <v>45749.499131944445</v>
      </c>
      <c r="C39" t="s">
        <v>159</v>
      </c>
      <c r="D39" t="s">
        <v>160</v>
      </c>
      <c r="E39" t="s">
        <v>161</v>
      </c>
      <c r="G39" t="str">
        <f>LOOKUP(E39,Inscritos!$E$2:$E$110,Inscritos!$H$2:$H$110)</f>
        <v>Iguatemi</v>
      </c>
      <c r="H39" t="str">
        <f>LOOKUP(E39,Inscritos!$E$2:$E$110,Inscritos!$I$2:$I$110)</f>
        <v>Gestão municipal</v>
      </c>
      <c r="I39" t="str">
        <f>LOOKUP(E39,Inscritos!$E$2:$E$110,Inscritos!$E$2:$E$110)</f>
        <v>038.697.801-85</v>
      </c>
    </row>
    <row r="40" spans="2:9" x14ac:dyDescent="0.4">
      <c r="B40" s="2">
        <v>45749.40997685185</v>
      </c>
      <c r="C40" t="s">
        <v>170</v>
      </c>
      <c r="D40" t="s">
        <v>171</v>
      </c>
      <c r="E40" t="s">
        <v>172</v>
      </c>
      <c r="G40" t="str">
        <f>LOOKUP(E40,Inscritos!$E$2:$E$110,Inscritos!$H$2:$H$110)</f>
        <v>Itaporã</v>
      </c>
      <c r="H40" t="str">
        <f>LOOKUP(E40,Inscritos!$E$2:$E$110,Inscritos!$I$2:$I$110)</f>
        <v>Gestão municipal</v>
      </c>
      <c r="I40" t="str">
        <f>LOOKUP(E40,Inscritos!$E$2:$E$110,Inscritos!$E$2:$E$110)</f>
        <v>654.708.931-20</v>
      </c>
    </row>
    <row r="41" spans="2:9" x14ac:dyDescent="0.4">
      <c r="B41" s="2">
        <v>45749.408171296294</v>
      </c>
      <c r="C41" t="s">
        <v>163</v>
      </c>
      <c r="D41" t="s">
        <v>164</v>
      </c>
      <c r="E41" t="s">
        <v>165</v>
      </c>
      <c r="G41" t="str">
        <f>LOOKUP(E41,Inscritos!$E$2:$E$110,Inscritos!$H$2:$H$110)</f>
        <v>Itaporã</v>
      </c>
      <c r="H41" t="str">
        <f>LOOKUP(E41,Inscritos!$E$2:$E$110,Inscritos!$I$2:$I$110)</f>
        <v>CACS-FUNDEB</v>
      </c>
      <c r="I41" t="str">
        <f>LOOKUP(E41,Inscritos!$E$2:$E$110,Inscritos!$E$2:$E$110)</f>
        <v>489.415.901-59</v>
      </c>
    </row>
    <row r="42" spans="2:9" x14ac:dyDescent="0.4">
      <c r="B42" s="2">
        <v>45749.409953703704</v>
      </c>
      <c r="C42" t="s">
        <v>167</v>
      </c>
      <c r="D42" t="s">
        <v>168</v>
      </c>
      <c r="E42" t="s">
        <v>169</v>
      </c>
      <c r="G42" t="str">
        <f>LOOKUP(E42,Inscritos!$E$2:$E$110,Inscritos!$H$2:$H$110)</f>
        <v>Itaporã</v>
      </c>
      <c r="H42" t="str">
        <f>LOOKUP(E42,Inscritos!$E$2:$E$110,Inscritos!$I$2:$I$110)</f>
        <v>Gestão municipal</v>
      </c>
      <c r="I42" t="str">
        <f>LOOKUP(E42,Inscritos!$E$2:$E$110,Inscritos!$E$2:$E$110)</f>
        <v>814.407.581-15</v>
      </c>
    </row>
    <row r="43" spans="2:9" x14ac:dyDescent="0.4">
      <c r="B43" s="2">
        <v>45749.505590277775</v>
      </c>
      <c r="C43" t="s">
        <v>181</v>
      </c>
      <c r="D43" t="s">
        <v>182</v>
      </c>
      <c r="E43" t="s">
        <v>180</v>
      </c>
      <c r="G43" t="str">
        <f>LOOKUP(E43,Inscritos!$E$2:$E$110,Inscritos!$H$2:$H$110)</f>
        <v>Itaquiraí</v>
      </c>
      <c r="H43" t="str">
        <f>LOOKUP(E43,Inscritos!$E$2:$E$110,Inscritos!$I$2:$I$110)</f>
        <v>Gestão municipal</v>
      </c>
      <c r="I43" t="str">
        <f>LOOKUP(E43,Inscritos!$E$2:$E$110,Inscritos!$E$2:$E$110)</f>
        <v>555.696.501-30</v>
      </c>
    </row>
    <row r="44" spans="2:9" x14ac:dyDescent="0.4">
      <c r="B44" s="2">
        <v>45749.504884259259</v>
      </c>
      <c r="C44" t="s">
        <v>176</v>
      </c>
      <c r="D44" t="s">
        <v>177</v>
      </c>
      <c r="E44" t="s">
        <v>178</v>
      </c>
      <c r="G44" t="str">
        <f>LOOKUP(E44,Inscritos!$E$2:$E$110,Inscritos!$H$2:$H$110)</f>
        <v>Itaquiraí</v>
      </c>
      <c r="H44" t="str">
        <f>LOOKUP(E44,Inscritos!$E$2:$E$110,Inscritos!$I$2:$I$110)</f>
        <v>Gestão municipal</v>
      </c>
      <c r="I44" t="str">
        <f>LOOKUP(E44,Inscritos!$E$2:$E$110,Inscritos!$E$2:$E$110)</f>
        <v>802.739.041-91</v>
      </c>
    </row>
    <row r="45" spans="2:9" x14ac:dyDescent="0.4">
      <c r="B45" s="2">
        <v>45749.439606481479</v>
      </c>
      <c r="C45" t="s">
        <v>183</v>
      </c>
      <c r="D45" t="s">
        <v>184</v>
      </c>
      <c r="E45" t="s">
        <v>185</v>
      </c>
      <c r="G45" t="str">
        <f>LOOKUP(E45,Inscritos!$E$2:$E$110,Inscritos!$H$2:$H$110)</f>
        <v>Ivinhema</v>
      </c>
      <c r="H45" t="str">
        <f>LOOKUP(E45,Inscritos!$E$2:$E$110,Inscritos!$I$2:$I$110)</f>
        <v>Gestão municipal</v>
      </c>
      <c r="I45" t="str">
        <f>LOOKUP(E45,Inscritos!$E$2:$E$110,Inscritos!$E$2:$E$110)</f>
        <v>023.395.351-58</v>
      </c>
    </row>
    <row r="46" spans="2:9" x14ac:dyDescent="0.4">
      <c r="B46" s="2">
        <v>45749.440775462965</v>
      </c>
      <c r="C46" t="s">
        <v>187</v>
      </c>
      <c r="D46" t="s">
        <v>188</v>
      </c>
      <c r="E46" t="s">
        <v>189</v>
      </c>
      <c r="G46" t="str">
        <f>LOOKUP(E46,Inscritos!$E$2:$E$110,Inscritos!$H$2:$H$110)</f>
        <v>Ivinhema</v>
      </c>
      <c r="H46" t="str">
        <f>LOOKUP(E46,Inscritos!$E$2:$E$110,Inscritos!$I$2:$I$110)</f>
        <v>Gestão municipal</v>
      </c>
      <c r="I46" t="str">
        <f>LOOKUP(E46,Inscritos!$E$2:$E$110,Inscritos!$E$2:$E$110)</f>
        <v>447.812.531-72</v>
      </c>
    </row>
    <row r="47" spans="2:9" x14ac:dyDescent="0.4">
      <c r="B47" s="2">
        <v>45750.40247685185</v>
      </c>
      <c r="C47" t="s">
        <v>194</v>
      </c>
      <c r="D47" t="s">
        <v>195</v>
      </c>
      <c r="E47" t="s">
        <v>196</v>
      </c>
      <c r="G47" t="str">
        <f>LOOKUP(E47,Inscritos!$E$2:$E$110,Inscritos!$H$2:$H$110)</f>
        <v>Japorã</v>
      </c>
      <c r="H47" t="str">
        <f>LOOKUP(E47,Inscritos!$E$2:$E$110,Inscritos!$I$2:$I$110)</f>
        <v>CACS-FUNDEB</v>
      </c>
      <c r="I47" t="str">
        <f>LOOKUP(E47,Inscritos!$E$2:$E$110,Inscritos!$E$2:$E$110)</f>
        <v>813.198.431-15</v>
      </c>
    </row>
    <row r="48" spans="2:9" x14ac:dyDescent="0.4">
      <c r="B48" s="2">
        <v>45750.399224537039</v>
      </c>
      <c r="C48" t="s">
        <v>190</v>
      </c>
      <c r="D48" t="s">
        <v>191</v>
      </c>
      <c r="E48" t="s">
        <v>192</v>
      </c>
      <c r="G48" t="str">
        <f>LOOKUP(E48,Inscritos!$E$2:$E$110,Inscritos!$H$2:$H$110)</f>
        <v>Japorã</v>
      </c>
      <c r="H48" t="str">
        <f>LOOKUP(E48,Inscritos!$E$2:$E$110,Inscritos!$I$2:$I$110)</f>
        <v>Gestão municipal</v>
      </c>
      <c r="I48" t="str">
        <f>LOOKUP(E48,Inscritos!$E$2:$E$110,Inscritos!$E$2:$E$110)</f>
        <v>000.371.471-37</v>
      </c>
    </row>
    <row r="49" spans="2:9" x14ac:dyDescent="0.4">
      <c r="B49" s="2">
        <v>45750.401828703703</v>
      </c>
      <c r="C49" t="s">
        <v>199</v>
      </c>
      <c r="D49" t="s">
        <v>200</v>
      </c>
      <c r="E49" t="s">
        <v>201</v>
      </c>
      <c r="G49" t="str">
        <f>LOOKUP(E49,Inscritos!$E$2:$E$110,Inscritos!$H$2:$H$110)</f>
        <v>Jateí</v>
      </c>
      <c r="H49" t="str">
        <f>LOOKUP(E49,Inscritos!$E$2:$E$110,Inscritos!$I$2:$I$110)</f>
        <v>Gestão municipal</v>
      </c>
      <c r="I49" t="str">
        <f>LOOKUP(E49,Inscritos!$E$2:$E$110,Inscritos!$E$2:$E$110)</f>
        <v>592.634.901-04</v>
      </c>
    </row>
    <row r="50" spans="2:9" x14ac:dyDescent="0.4">
      <c r="B50" s="2">
        <v>45750.414317129631</v>
      </c>
      <c r="C50" t="s">
        <v>203</v>
      </c>
      <c r="D50" t="s">
        <v>204</v>
      </c>
      <c r="E50" t="s">
        <v>205</v>
      </c>
      <c r="G50" t="str">
        <f>LOOKUP(E50,Inscritos!$E$2:$E$110,Inscritos!$H$2:$H$110)</f>
        <v>Jateí</v>
      </c>
      <c r="H50" t="str">
        <f>LOOKUP(E50,Inscritos!$E$2:$E$110,Inscritos!$I$2:$I$110)</f>
        <v>CACS-FUNDEB</v>
      </c>
      <c r="I50" t="str">
        <f>LOOKUP(E50,Inscritos!$E$2:$E$110,Inscritos!$E$2:$E$110)</f>
        <v>825.762.621-04</v>
      </c>
    </row>
    <row r="51" spans="2:9" x14ac:dyDescent="0.4">
      <c r="B51" s="2">
        <v>45750.413171296299</v>
      </c>
      <c r="C51" t="s">
        <v>210</v>
      </c>
      <c r="D51" t="s">
        <v>211</v>
      </c>
      <c r="E51" t="s">
        <v>212</v>
      </c>
      <c r="G51" t="str">
        <f>LOOKUP(E51,Inscritos!$E$2:$E$110,Inscritos!$H$2:$H$110)</f>
        <v>Juti</v>
      </c>
      <c r="H51" t="str">
        <f>LOOKUP(E51,Inscritos!$E$2:$E$110,Inscritos!$I$2:$I$110)</f>
        <v>Gestão municipal</v>
      </c>
      <c r="I51" t="str">
        <f>LOOKUP(E51,Inscritos!$E$2:$E$110,Inscritos!$E$2:$E$110)</f>
        <v>038.713.231-79</v>
      </c>
    </row>
    <row r="52" spans="2:9" x14ac:dyDescent="0.4">
      <c r="B52" s="2">
        <v>45750.412662037037</v>
      </c>
      <c r="C52" t="s">
        <v>206</v>
      </c>
      <c r="D52" t="s">
        <v>207</v>
      </c>
      <c r="E52" t="s">
        <v>208</v>
      </c>
      <c r="G52" t="str">
        <f>LOOKUP(E52,Inscritos!$E$2:$E$110,Inscritos!$H$2:$H$110)</f>
        <v>Juti</v>
      </c>
      <c r="H52" t="str">
        <f>LOOKUP(E52,Inscritos!$E$2:$E$110,Inscritos!$I$2:$I$110)</f>
        <v>Gestão municipal</v>
      </c>
      <c r="I52" t="str">
        <f>LOOKUP(E52,Inscritos!$E$2:$E$110,Inscritos!$E$2:$E$110)</f>
        <v>905.700.301-53</v>
      </c>
    </row>
    <row r="53" spans="2:9" x14ac:dyDescent="0.4">
      <c r="B53" s="2">
        <v>45750.399571759262</v>
      </c>
      <c r="C53" t="s">
        <v>222</v>
      </c>
      <c r="D53" t="s">
        <v>223</v>
      </c>
      <c r="E53" t="s">
        <v>224</v>
      </c>
      <c r="G53" t="str">
        <f>LOOKUP(E53,Inscritos!$E$2:$E$110,Inscritos!$H$2:$H$110)</f>
        <v>Laguna Carapã</v>
      </c>
      <c r="H53" t="str">
        <f>LOOKUP(E53,Inscritos!$E$2:$E$110,Inscritos!$I$2:$I$110)</f>
        <v>Gestão municipal</v>
      </c>
      <c r="I53" t="str">
        <f>LOOKUP(E53,Inscritos!$E$2:$E$110,Inscritos!$E$2:$E$110)</f>
        <v>083.222.581-94</v>
      </c>
    </row>
    <row r="54" spans="2:9" x14ac:dyDescent="0.4">
      <c r="B54" s="2">
        <v>45750.399560185186</v>
      </c>
      <c r="C54" t="s">
        <v>217</v>
      </c>
      <c r="D54" t="s">
        <v>218</v>
      </c>
      <c r="E54" t="s">
        <v>219</v>
      </c>
      <c r="G54" t="str">
        <f>LOOKUP(E54,Inscritos!$E$2:$E$110,Inscritos!$H$2:$H$110)</f>
        <v>Laguna Carapã</v>
      </c>
      <c r="H54" t="str">
        <f>LOOKUP(E54,Inscritos!$E$2:$E$110,Inscritos!$I$2:$I$110)</f>
        <v>CACS-FUNDEB</v>
      </c>
      <c r="I54" t="str">
        <f>LOOKUP(E54,Inscritos!$E$2:$E$110,Inscritos!$E$2:$E$110)</f>
        <v>355.073.268-60</v>
      </c>
    </row>
    <row r="55" spans="2:9" x14ac:dyDescent="0.4">
      <c r="B55" s="2">
        <v>45750.407372685186</v>
      </c>
      <c r="C55" t="s">
        <v>227</v>
      </c>
      <c r="D55" t="s">
        <v>228</v>
      </c>
      <c r="E55" t="s">
        <v>229</v>
      </c>
      <c r="G55" t="str">
        <f>LOOKUP(E55,Inscritos!$E$2:$E$110,Inscritos!$H$2:$H$110)</f>
        <v>Laguna Carapã</v>
      </c>
      <c r="H55" t="str">
        <f>LOOKUP(E55,Inscritos!$E$2:$E$110,Inscritos!$I$2:$I$110)</f>
        <v>CACS-FUNDEB</v>
      </c>
      <c r="I55" t="str">
        <f>LOOKUP(E55,Inscritos!$E$2:$E$110,Inscritos!$E$2:$E$110)</f>
        <v>063.006.468-74</v>
      </c>
    </row>
    <row r="56" spans="2:9" x14ac:dyDescent="0.4">
      <c r="B56" s="2">
        <v>45750.397337962961</v>
      </c>
      <c r="C56" t="s">
        <v>213</v>
      </c>
      <c r="D56" t="s">
        <v>214</v>
      </c>
      <c r="E56" t="s">
        <v>215</v>
      </c>
      <c r="G56" t="str">
        <f>LOOKUP(E56,Inscritos!$E$2:$E$110,Inscritos!$H$2:$H$110)</f>
        <v>Laguna Carapã</v>
      </c>
      <c r="H56" t="str">
        <f>LOOKUP(E56,Inscritos!$E$2:$E$110,Inscritos!$I$2:$I$110)</f>
        <v>CACS-FUNDEB</v>
      </c>
      <c r="I56" t="str">
        <f>LOOKUP(E56,Inscritos!$E$2:$E$110,Inscritos!$E$2:$E$110)</f>
        <v>506.447.341-91</v>
      </c>
    </row>
    <row r="57" spans="2:9" x14ac:dyDescent="0.4">
      <c r="B57" s="2">
        <v>45750.397835648146</v>
      </c>
      <c r="C57" t="s">
        <v>237</v>
      </c>
      <c r="D57" t="s">
        <v>238</v>
      </c>
      <c r="E57" t="s">
        <v>239</v>
      </c>
      <c r="G57" t="str">
        <f>LOOKUP(E57,Inscritos!$E$2:$E$110,Inscritos!$H$2:$H$110)</f>
        <v>Maracaju</v>
      </c>
      <c r="H57" t="str">
        <f>LOOKUP(E57,Inscritos!$E$2:$E$110,Inscritos!$I$2:$I$110)</f>
        <v>Gestão municipal</v>
      </c>
      <c r="I57" t="str">
        <f>LOOKUP(E57,Inscritos!$E$2:$E$110,Inscritos!$E$2:$E$110)</f>
        <v>080.397.776-07</v>
      </c>
    </row>
    <row r="58" spans="2:9" x14ac:dyDescent="0.4">
      <c r="B58" s="2">
        <v>45750.398854166669</v>
      </c>
      <c r="C58" t="s">
        <v>242</v>
      </c>
      <c r="D58" t="s">
        <v>243</v>
      </c>
      <c r="E58" t="s">
        <v>244</v>
      </c>
      <c r="G58" t="str">
        <f>LOOKUP(E58,Inscritos!$E$2:$E$110,Inscritos!$H$2:$H$110)</f>
        <v>Maracaju</v>
      </c>
      <c r="H58" t="str">
        <f>LOOKUP(E58,Inscritos!$E$2:$E$110,Inscritos!$I$2:$I$110)</f>
        <v>Gestão municipal</v>
      </c>
      <c r="I58" t="str">
        <f>LOOKUP(E58,Inscritos!$E$2:$E$110,Inscritos!$E$2:$E$110)</f>
        <v>050.776.421-84</v>
      </c>
    </row>
    <row r="59" spans="2:9" x14ac:dyDescent="0.4">
      <c r="B59" s="2">
        <v>45750.396608796298</v>
      </c>
      <c r="C59" t="s">
        <v>230</v>
      </c>
      <c r="D59" t="s">
        <v>231</v>
      </c>
      <c r="E59" t="s">
        <v>232</v>
      </c>
      <c r="G59" t="str">
        <f>LOOKUP(E59,Inscritos!$E$2:$E$110,Inscritos!$H$2:$H$110)</f>
        <v>Maracaju</v>
      </c>
      <c r="H59" t="str">
        <f>LOOKUP(E59,Inscritos!$E$2:$E$110,Inscritos!$I$2:$I$110)</f>
        <v>Gestão municipal</v>
      </c>
      <c r="I59" t="str">
        <f>LOOKUP(E59,Inscritos!$E$2:$E$110,Inscritos!$E$2:$E$110)</f>
        <v>070.184.021-82</v>
      </c>
    </row>
    <row r="60" spans="2:9" x14ac:dyDescent="0.4">
      <c r="B60" s="2">
        <v>45750.396747685183</v>
      </c>
      <c r="C60" t="s">
        <v>234</v>
      </c>
      <c r="D60" t="s">
        <v>235</v>
      </c>
      <c r="E60" t="s">
        <v>236</v>
      </c>
      <c r="G60" t="str">
        <f>LOOKUP(E60,Inscritos!$E$2:$E$110,Inscritos!$H$2:$H$110)</f>
        <v>Maracaju</v>
      </c>
      <c r="H60" t="str">
        <f>LOOKUP(E60,Inscritos!$E$2:$E$110,Inscritos!$I$2:$I$110)</f>
        <v>CACS-FUNDEB</v>
      </c>
      <c r="I60" t="str">
        <f>LOOKUP(E60,Inscritos!$E$2:$E$110,Inscritos!$E$2:$E$110)</f>
        <v>832.356.201-68</v>
      </c>
    </row>
    <row r="61" spans="2:9" x14ac:dyDescent="0.4">
      <c r="B61" s="2">
        <v>45750.394756944443</v>
      </c>
      <c r="C61" t="s">
        <v>245</v>
      </c>
      <c r="D61" t="s">
        <v>246</v>
      </c>
      <c r="E61" t="s">
        <v>247</v>
      </c>
      <c r="G61" t="str">
        <f>LOOKUP(E61,Inscritos!$E$2:$E$110,Inscritos!$H$2:$H$110)</f>
        <v>Mundo Novo</v>
      </c>
      <c r="H61" t="str">
        <f>LOOKUP(E61,Inscritos!$E$2:$E$110,Inscritos!$I$2:$I$110)</f>
        <v>Gestão municipal</v>
      </c>
      <c r="I61" t="str">
        <f>LOOKUP(E61,Inscritos!$E$2:$E$110,Inscritos!$E$2:$E$110)</f>
        <v>732.767.072-68</v>
      </c>
    </row>
    <row r="62" spans="2:9" x14ac:dyDescent="0.4">
      <c r="B62" s="2">
        <v>45750.400300925925</v>
      </c>
      <c r="C62" t="s">
        <v>256</v>
      </c>
      <c r="D62" t="s">
        <v>257</v>
      </c>
      <c r="E62" t="s">
        <v>258</v>
      </c>
      <c r="G62" t="str">
        <f>LOOKUP(E62,Inscritos!$E$2:$E$110,Inscritos!$H$2:$H$110)</f>
        <v>Naviraí</v>
      </c>
      <c r="H62" t="str">
        <f>LOOKUP(E62,Inscritos!$E$2:$E$110,Inscritos!$I$2:$I$110)</f>
        <v>CACS-FUNDEB</v>
      </c>
      <c r="I62" t="str">
        <f>LOOKUP(E62,Inscritos!$E$2:$E$110,Inscritos!$E$2:$E$110)</f>
        <v>637.112.651-20</v>
      </c>
    </row>
    <row r="63" spans="2:9" x14ac:dyDescent="0.4">
      <c r="B63" s="2">
        <v>45750.398101851853</v>
      </c>
      <c r="C63" t="s">
        <v>249</v>
      </c>
      <c r="D63" t="s">
        <v>250</v>
      </c>
      <c r="E63" t="s">
        <v>251</v>
      </c>
      <c r="G63" t="str">
        <f>LOOKUP(E63,Inscritos!$E$2:$E$110,Inscritos!$H$2:$H$110)</f>
        <v>Naviraí</v>
      </c>
      <c r="H63" t="str">
        <f>LOOKUP(E63,Inscritos!$E$2:$E$110,Inscritos!$I$2:$I$110)</f>
        <v>CACS-FUNDEB</v>
      </c>
      <c r="I63" t="str">
        <f>LOOKUP(E63,Inscritos!$E$2:$E$110,Inscritos!$E$2:$E$110)</f>
        <v>888.127.741-72</v>
      </c>
    </row>
    <row r="64" spans="2:9" x14ac:dyDescent="0.4">
      <c r="B64" s="2">
        <v>45750.398958333331</v>
      </c>
      <c r="C64" t="s">
        <v>253</v>
      </c>
      <c r="D64" t="s">
        <v>254</v>
      </c>
      <c r="E64" t="s">
        <v>255</v>
      </c>
      <c r="G64" t="str">
        <f>LOOKUP(E64,Inscritos!$E$2:$E$110,Inscritos!$H$2:$H$110)</f>
        <v>Naviraí</v>
      </c>
      <c r="H64" t="str">
        <f>LOOKUP(E64,Inscritos!$E$2:$E$110,Inscritos!$I$2:$I$110)</f>
        <v>Gestão municipal</v>
      </c>
      <c r="I64" t="str">
        <f>LOOKUP(E64,Inscritos!$E$2:$E$110,Inscritos!$E$2:$E$110)</f>
        <v>931.593.741-49</v>
      </c>
    </row>
    <row r="65" spans="2:9" x14ac:dyDescent="0.4">
      <c r="B65" s="2">
        <v>45750.409826388888</v>
      </c>
      <c r="C65" t="s">
        <v>263</v>
      </c>
      <c r="D65" t="s">
        <v>264</v>
      </c>
      <c r="E65" t="s">
        <v>265</v>
      </c>
      <c r="G65" t="str">
        <f>LOOKUP(E65,Inscritos!$E$2:$E$110,Inscritos!$H$2:$H$110)</f>
        <v>Nova Alvorada do Sul</v>
      </c>
      <c r="H65" t="str">
        <f>LOOKUP(E65,Inscritos!$E$2:$E$110,Inscritos!$I$2:$I$110)</f>
        <v>CACS-FUNDEB</v>
      </c>
      <c r="I65" t="str">
        <f>LOOKUP(E65,Inscritos!$E$2:$E$110,Inscritos!$E$2:$E$110)</f>
        <v>015.174.281-22</v>
      </c>
    </row>
    <row r="66" spans="2:9" x14ac:dyDescent="0.4">
      <c r="B66" s="2">
        <v>45750.407222222224</v>
      </c>
      <c r="C66" t="s">
        <v>259</v>
      </c>
      <c r="D66" t="s">
        <v>260</v>
      </c>
      <c r="E66" t="s">
        <v>261</v>
      </c>
      <c r="G66" t="str">
        <f>LOOKUP(E66,Inscritos!$E$2:$E$110,Inscritos!$H$2:$H$110)</f>
        <v>Nova Alvorada do Sul</v>
      </c>
      <c r="H66" t="str">
        <f>LOOKUP(E66,Inscritos!$E$2:$E$110,Inscritos!$I$2:$I$110)</f>
        <v>Gestão municipal</v>
      </c>
      <c r="I66" t="str">
        <f>LOOKUP(E66,Inscritos!$E$2:$E$110,Inscritos!$E$2:$E$110)</f>
        <v>014.985.871-00</v>
      </c>
    </row>
    <row r="67" spans="2:9" x14ac:dyDescent="0.4">
      <c r="B67" s="2">
        <v>45750.398831018516</v>
      </c>
      <c r="C67" t="s">
        <v>268</v>
      </c>
      <c r="D67" t="s">
        <v>269</v>
      </c>
      <c r="E67" t="s">
        <v>270</v>
      </c>
      <c r="G67" t="str">
        <f>LOOKUP(E67,Inscritos!$E$2:$E$110,Inscritos!$H$2:$H$110)</f>
        <v>Nova Andradina</v>
      </c>
      <c r="H67" t="str">
        <f>LOOKUP(E67,Inscritos!$E$2:$E$110,Inscritos!$I$2:$I$110)</f>
        <v>Gestão municipal</v>
      </c>
      <c r="I67" t="str">
        <f>LOOKUP(E67,Inscritos!$E$2:$E$110,Inscritos!$E$2:$E$110)</f>
        <v>847.122.011-34</v>
      </c>
    </row>
    <row r="68" spans="2:9" x14ac:dyDescent="0.4">
      <c r="B68" s="2">
        <v>45750.401122685187</v>
      </c>
      <c r="C68" t="s">
        <v>272</v>
      </c>
      <c r="D68" t="s">
        <v>273</v>
      </c>
      <c r="E68" t="s">
        <v>274</v>
      </c>
      <c r="G68" t="str">
        <f>LOOKUP(E68,Inscritos!$E$2:$E$110,Inscritos!$H$2:$H$110)</f>
        <v>Nova Andradina</v>
      </c>
      <c r="H68" t="str">
        <f>LOOKUP(E68,Inscritos!$E$2:$E$110,Inscritos!$I$2:$I$110)</f>
        <v>CACS-FUNDEB</v>
      </c>
      <c r="I68" t="str">
        <f>LOOKUP(E68,Inscritos!$E$2:$E$110,Inscritos!$E$2:$E$110)</f>
        <v>891.400.791-04</v>
      </c>
    </row>
    <row r="69" spans="2:9" x14ac:dyDescent="0.4">
      <c r="B69" s="2">
        <v>45750.401817129627</v>
      </c>
      <c r="C69" t="s">
        <v>275</v>
      </c>
      <c r="D69" t="s">
        <v>276</v>
      </c>
      <c r="E69" t="s">
        <v>277</v>
      </c>
      <c r="G69" t="str">
        <f>LOOKUP(E69,Inscritos!$E$2:$E$110,Inscritos!$H$2:$H$110)</f>
        <v>Nova Andradina</v>
      </c>
      <c r="H69" t="str">
        <f>LOOKUP(E69,Inscritos!$E$2:$E$110,Inscritos!$I$2:$I$110)</f>
        <v>CACS-FUNDEB</v>
      </c>
      <c r="I69" t="str">
        <f>LOOKUP(E69,Inscritos!$E$2:$E$110,Inscritos!$E$2:$E$110)</f>
        <v>897.614.721-91</v>
      </c>
    </row>
    <row r="70" spans="2:9" x14ac:dyDescent="0.4">
      <c r="B70" s="2">
        <v>45750.543657407405</v>
      </c>
      <c r="C70" t="s">
        <v>361</v>
      </c>
      <c r="D70" t="s">
        <v>362</v>
      </c>
      <c r="E70" t="s">
        <v>363</v>
      </c>
      <c r="G70" t="str">
        <f>LOOKUP(E70,Inscritos!$E$2:$E$110,Inscritos!$H$2:$H$110)</f>
        <v>Novo Horizonte do Sul</v>
      </c>
      <c r="H70" t="str">
        <f>LOOKUP(E70,Inscritos!$E$2:$E$110,Inscritos!$I$2:$I$110)</f>
        <v>CACS-FUNDEB</v>
      </c>
      <c r="I70" t="str">
        <f>LOOKUP(E70,Inscritos!$E$2:$E$110,Inscritos!$E$2:$E$110)</f>
        <v>045.073.871-08</v>
      </c>
    </row>
    <row r="71" spans="2:9" x14ac:dyDescent="0.4">
      <c r="B71" s="2">
        <v>45750.545057870368</v>
      </c>
      <c r="C71" t="s">
        <v>358</v>
      </c>
      <c r="D71" t="s">
        <v>366</v>
      </c>
      <c r="E71" t="s">
        <v>367</v>
      </c>
      <c r="G71" t="str">
        <f>LOOKUP(E71,Inscritos!$E$2:$E$110,Inscritos!$H$2:$H$110)</f>
        <v>Novo Horizonte do Sul</v>
      </c>
      <c r="H71" t="str">
        <f>LOOKUP(E71,Inscritos!$E$2:$E$110,Inscritos!$I$2:$I$110)</f>
        <v>Gestão municipal</v>
      </c>
      <c r="I71" t="str">
        <f>LOOKUP(E71,Inscritos!$E$2:$E$110,Inscritos!$E$2:$E$110)</f>
        <v>956.340.371-15</v>
      </c>
    </row>
    <row r="72" spans="2:9" x14ac:dyDescent="0.4">
      <c r="B72" s="2">
        <v>45750.542569444442</v>
      </c>
      <c r="C72" t="s">
        <v>358</v>
      </c>
      <c r="D72" t="s">
        <v>359</v>
      </c>
      <c r="E72" t="s">
        <v>360</v>
      </c>
      <c r="G72" t="str">
        <f>LOOKUP(E72,Inscritos!$E$2:$E$110,Inscritos!$H$2:$H$110)</f>
        <v>Novo Horizonte do Sul</v>
      </c>
      <c r="H72" t="str">
        <f>LOOKUP(E72,Inscritos!$E$2:$E$110,Inscritos!$I$2:$I$110)</f>
        <v>Gestão municipal</v>
      </c>
      <c r="I72" t="str">
        <f>LOOKUP(E72,Inscritos!$E$2:$E$110,Inscritos!$E$2:$E$110)</f>
        <v>045.727.011-05</v>
      </c>
    </row>
    <row r="73" spans="2:9" x14ac:dyDescent="0.4">
      <c r="B73" s="2">
        <v>45750.542060185187</v>
      </c>
      <c r="C73" t="s">
        <v>354</v>
      </c>
      <c r="D73" t="s">
        <v>355</v>
      </c>
      <c r="E73" t="s">
        <v>356</v>
      </c>
      <c r="G73" t="str">
        <f>LOOKUP(E73,Inscritos!$E$2:$E$110,Inscritos!$H$2:$H$110)</f>
        <v>Novo Horizonte do Sul</v>
      </c>
      <c r="H73" t="str">
        <f>LOOKUP(E73,Inscritos!$E$2:$E$110,Inscritos!$I$2:$I$110)</f>
        <v>CACS-FUNDEB</v>
      </c>
      <c r="I73" t="str">
        <f>LOOKUP(E73,Inscritos!$E$2:$E$110,Inscritos!$E$2:$E$110)</f>
        <v>921.493.321-91</v>
      </c>
    </row>
    <row r="74" spans="2:9" x14ac:dyDescent="0.4">
      <c r="B74" s="2">
        <v>45749.422500000001</v>
      </c>
      <c r="C74" t="s">
        <v>285</v>
      </c>
      <c r="D74" t="s">
        <v>286</v>
      </c>
      <c r="E74" t="s">
        <v>287</v>
      </c>
      <c r="G74" t="str">
        <f>LOOKUP(E74,Inscritos!$E$2:$E$110,Inscritos!$H$2:$H$110)</f>
        <v>Paraíso das Águas</v>
      </c>
      <c r="H74" t="str">
        <f>LOOKUP(E74,Inscritos!$E$2:$E$110,Inscritos!$I$2:$I$110)</f>
        <v>Gestão municipal</v>
      </c>
      <c r="I74" t="str">
        <f>LOOKUP(E74,Inscritos!$E$2:$E$110,Inscritos!$E$2:$E$110)</f>
        <v>018.097.781-40</v>
      </c>
    </row>
    <row r="75" spans="2:9" x14ac:dyDescent="0.4">
      <c r="B75" s="2">
        <v>45749.424421296295</v>
      </c>
      <c r="C75" t="s">
        <v>290</v>
      </c>
      <c r="D75" t="s">
        <v>291</v>
      </c>
      <c r="E75" t="s">
        <v>292</v>
      </c>
      <c r="G75" t="str">
        <f>LOOKUP(E75,Inscritos!$E$2:$E$110,Inscritos!$H$2:$H$110)</f>
        <v>Paraíso das Águas</v>
      </c>
      <c r="H75" t="str">
        <f>LOOKUP(E75,Inscritos!$E$2:$E$110,Inscritos!$I$2:$I$110)</f>
        <v>Gestão municipal</v>
      </c>
      <c r="I75" t="str">
        <f>LOOKUP(E75,Inscritos!$E$2:$E$110,Inscritos!$E$2:$E$110)</f>
        <v>023.432.791-01</v>
      </c>
    </row>
    <row r="76" spans="2:9" x14ac:dyDescent="0.4">
      <c r="B76" s="2">
        <v>45749.420960648145</v>
      </c>
      <c r="C76" t="s">
        <v>278</v>
      </c>
      <c r="D76" t="s">
        <v>279</v>
      </c>
      <c r="E76" t="s">
        <v>280</v>
      </c>
      <c r="G76" t="str">
        <f>LOOKUP(E76,Inscritos!$E$2:$E$110,Inscritos!$H$2:$H$110)</f>
        <v>Paraíso das Águas</v>
      </c>
      <c r="H76" t="str">
        <f>LOOKUP(E76,Inscritos!$E$2:$E$110,Inscritos!$I$2:$I$110)</f>
        <v>Gestão municipal</v>
      </c>
      <c r="I76" t="str">
        <f>LOOKUP(E76,Inscritos!$E$2:$E$110,Inscritos!$E$2:$E$110)</f>
        <v>959.818.611-34</v>
      </c>
    </row>
    <row r="77" spans="2:9" x14ac:dyDescent="0.4">
      <c r="B77" s="2">
        <v>45750.395277777781</v>
      </c>
      <c r="C77" t="s">
        <v>299</v>
      </c>
      <c r="D77" t="s">
        <v>300</v>
      </c>
      <c r="E77" t="s">
        <v>301</v>
      </c>
      <c r="G77" t="str">
        <f>LOOKUP(E77,Inscritos!$E$2:$E$110,Inscritos!$H$2:$H$110)</f>
        <v>Paranhos</v>
      </c>
      <c r="H77" t="str">
        <f>LOOKUP(E77,Inscritos!$E$2:$E$110,Inscritos!$I$2:$I$110)</f>
        <v>Gestão municipal</v>
      </c>
      <c r="I77" t="str">
        <f>LOOKUP(E77,Inscritos!$E$2:$E$110,Inscritos!$E$2:$E$110)</f>
        <v>023.145.741-33</v>
      </c>
    </row>
    <row r="78" spans="2:9" x14ac:dyDescent="0.4">
      <c r="B78" s="2">
        <v>45750.395196759258</v>
      </c>
      <c r="C78" t="s">
        <v>295</v>
      </c>
      <c r="D78" t="s">
        <v>296</v>
      </c>
      <c r="E78" t="s">
        <v>297</v>
      </c>
      <c r="G78" t="str">
        <f>LOOKUP(E78,Inscritos!$E$2:$E$110,Inscritos!$H$2:$H$110)</f>
        <v>Paranhos</v>
      </c>
      <c r="H78" t="str">
        <f>LOOKUP(E78,Inscritos!$E$2:$E$110,Inscritos!$I$2:$I$110)</f>
        <v>Gestão municipal</v>
      </c>
      <c r="I78" t="str">
        <f>LOOKUP(E78,Inscritos!$E$2:$E$110,Inscritos!$E$2:$E$110)</f>
        <v>046.804.109-57</v>
      </c>
    </row>
    <row r="79" spans="2:9" x14ac:dyDescent="0.4">
      <c r="B79" s="2">
        <v>45750.397731481484</v>
      </c>
      <c r="C79" t="s">
        <v>302</v>
      </c>
      <c r="D79" t="s">
        <v>303</v>
      </c>
      <c r="E79" t="s">
        <v>304</v>
      </c>
      <c r="G79" t="str">
        <f>LOOKUP(E79,Inscritos!$E$2:$E$110,Inscritos!$H$2:$H$110)</f>
        <v>Ponta Porã</v>
      </c>
      <c r="H79" t="str">
        <f>LOOKUP(E79,Inscritos!$E$2:$E$110,Inscritos!$I$2:$I$110)</f>
        <v>Gestão municipal</v>
      </c>
      <c r="I79" t="str">
        <f>LOOKUP(E79,Inscritos!$E$2:$E$110,Inscritos!$E$2:$E$110)</f>
        <v>086.228.041-94</v>
      </c>
    </row>
    <row r="80" spans="2:9" x14ac:dyDescent="0.4">
      <c r="B80" s="2">
        <v>45750.406701388885</v>
      </c>
      <c r="C80" t="s">
        <v>309</v>
      </c>
      <c r="D80" t="s">
        <v>310</v>
      </c>
      <c r="E80" t="s">
        <v>311</v>
      </c>
      <c r="G80" t="str">
        <f>LOOKUP(E80,Inscritos!$E$2:$E$110,Inscritos!$H$2:$H$110)</f>
        <v>Ponta Porã</v>
      </c>
      <c r="H80" t="str">
        <f>LOOKUP(E80,Inscritos!$E$2:$E$110,Inscritos!$I$2:$I$110)</f>
        <v>CACS-FUNDEB</v>
      </c>
      <c r="I80" t="str">
        <f>LOOKUP(E80,Inscritos!$E$2:$E$110,Inscritos!$E$2:$E$110)</f>
        <v>506.487.641-68</v>
      </c>
    </row>
    <row r="81" spans="2:9" x14ac:dyDescent="0.4">
      <c r="B81" s="2">
        <v>45750.399652777778</v>
      </c>
      <c r="C81" t="s">
        <v>306</v>
      </c>
      <c r="D81" t="s">
        <v>307</v>
      </c>
      <c r="E81" t="s">
        <v>308</v>
      </c>
      <c r="G81" t="str">
        <f>LOOKUP(E81,Inscritos!$E$2:$E$110,Inscritos!$H$2:$H$110)</f>
        <v>Ponta Porã</v>
      </c>
      <c r="H81" t="str">
        <f>LOOKUP(E81,Inscritos!$E$2:$E$110,Inscritos!$I$2:$I$110)</f>
        <v>CACS-FUNDEB</v>
      </c>
      <c r="I81" t="str">
        <f>LOOKUP(E81,Inscritos!$E$2:$E$110,Inscritos!$E$2:$E$110)</f>
        <v>913.159.131-00</v>
      </c>
    </row>
    <row r="82" spans="2:9" x14ac:dyDescent="0.4">
      <c r="B82" s="2">
        <v>45750.405532407407</v>
      </c>
      <c r="C82" t="s">
        <v>322</v>
      </c>
      <c r="D82" t="s">
        <v>323</v>
      </c>
      <c r="E82" t="s">
        <v>324</v>
      </c>
      <c r="G82" t="str">
        <f>LOOKUP(E82,Inscritos!$E$2:$E$110,Inscritos!$H$2:$H$110)</f>
        <v>Rio Brilhante</v>
      </c>
      <c r="H82" t="str">
        <f>LOOKUP(E82,Inscritos!$E$2:$E$110,Inscritos!$I$2:$I$110)</f>
        <v>CACS-FUNDEB</v>
      </c>
      <c r="I82" t="str">
        <f>LOOKUP(E82,Inscritos!$E$2:$E$110,Inscritos!$E$2:$E$110)</f>
        <v>009.602.231-00</v>
      </c>
    </row>
    <row r="83" spans="2:9" x14ac:dyDescent="0.4">
      <c r="B83" s="2">
        <v>45750.404942129629</v>
      </c>
      <c r="C83" t="s">
        <v>319</v>
      </c>
      <c r="D83" t="s">
        <v>320</v>
      </c>
      <c r="E83" t="s">
        <v>321</v>
      </c>
      <c r="G83" t="str">
        <f>LOOKUP(E83,Inscritos!$E$2:$E$110,Inscritos!$H$2:$H$110)</f>
        <v>Rio Brilhante</v>
      </c>
      <c r="H83" t="str">
        <f>LOOKUP(E83,Inscritos!$E$2:$E$110,Inscritos!$I$2:$I$110)</f>
        <v>Gestão municipal</v>
      </c>
      <c r="I83" t="str">
        <f>LOOKUP(E83,Inscritos!$E$2:$E$110,Inscritos!$E$2:$E$110)</f>
        <v>034.548.621-83</v>
      </c>
    </row>
    <row r="84" spans="2:9" x14ac:dyDescent="0.4">
      <c r="B84" s="2">
        <v>45750.40457175926</v>
      </c>
      <c r="C84" t="s">
        <v>312</v>
      </c>
      <c r="D84" t="s">
        <v>313</v>
      </c>
      <c r="E84" t="s">
        <v>314</v>
      </c>
      <c r="G84" t="str">
        <f>LOOKUP(E84,Inscritos!$E$2:$E$110,Inscritos!$H$2:$H$110)</f>
        <v>Rio Brilhante</v>
      </c>
      <c r="H84" t="str">
        <f>LOOKUP(E84,Inscritos!$E$2:$E$110,Inscritos!$I$2:$I$110)</f>
        <v>CACS-FUNDEB</v>
      </c>
      <c r="I84" t="str">
        <f>LOOKUP(E84,Inscritos!$E$2:$E$110,Inscritos!$E$2:$E$110)</f>
        <v>041.510.051-88</v>
      </c>
    </row>
    <row r="85" spans="2:9" x14ac:dyDescent="0.4">
      <c r="B85" s="2">
        <v>45750.404756944445</v>
      </c>
      <c r="C85" t="s">
        <v>316</v>
      </c>
      <c r="D85" t="s">
        <v>317</v>
      </c>
      <c r="E85" t="s">
        <v>318</v>
      </c>
      <c r="G85" t="str">
        <f>LOOKUP(E85,Inscritos!$E$2:$E$110,Inscritos!$H$2:$H$110)</f>
        <v>Rio Brilhante</v>
      </c>
      <c r="H85" t="str">
        <f>LOOKUP(E85,Inscritos!$E$2:$E$110,Inscritos!$I$2:$I$110)</f>
        <v>Gestão municipal</v>
      </c>
      <c r="I85" t="str">
        <f>LOOKUP(E85,Inscritos!$E$2:$E$110,Inscritos!$E$2:$E$110)</f>
        <v>058.764.141-07</v>
      </c>
    </row>
    <row r="86" spans="2:9" x14ac:dyDescent="0.4">
      <c r="B86" s="2">
        <v>45750.539664351854</v>
      </c>
      <c r="C86" t="s">
        <v>342</v>
      </c>
      <c r="D86" t="s">
        <v>343</v>
      </c>
      <c r="E86" t="s">
        <v>344</v>
      </c>
      <c r="G86" t="str">
        <f>LOOKUP(E86,Inscritos!$E$2:$E$110,Inscritos!$H$2:$H$110)</f>
        <v>Sete Quedas</v>
      </c>
      <c r="H86" t="str">
        <f>LOOKUP(E86,Inscritos!$E$2:$E$110,Inscritos!$I$2:$I$110)</f>
        <v>Gestão municipal</v>
      </c>
      <c r="I86" t="str">
        <f>LOOKUP(E86,Inscritos!$E$2:$E$110,Inscritos!$E$2:$E$110)</f>
        <v>560.189.911-87</v>
      </c>
    </row>
    <row r="87" spans="2:9" x14ac:dyDescent="0.4">
      <c r="B87" s="2">
        <v>45750.401006944441</v>
      </c>
      <c r="C87" t="s">
        <v>325</v>
      </c>
      <c r="D87" t="s">
        <v>326</v>
      </c>
      <c r="E87" t="s">
        <v>327</v>
      </c>
      <c r="G87" t="str">
        <f>LOOKUP(E87,Inscritos!$E$2:$E$110,Inscritos!$H$2:$H$110)</f>
        <v>Taquarussu</v>
      </c>
      <c r="H87" t="str">
        <f>LOOKUP(E87,Inscritos!$E$2:$E$110,Inscritos!$I$2:$I$110)</f>
        <v>Gestão municipal</v>
      </c>
      <c r="I87" t="str">
        <f>LOOKUP(E87,Inscritos!$E$2:$E$110,Inscritos!$E$2:$E$110)</f>
        <v>018.880.441-28</v>
      </c>
    </row>
    <row r="88" spans="2:9" x14ac:dyDescent="0.4">
      <c r="B88" s="2">
        <v>45750.462222222224</v>
      </c>
      <c r="C88" t="s">
        <v>336</v>
      </c>
      <c r="D88" t="s">
        <v>337</v>
      </c>
      <c r="E88" t="s">
        <v>338</v>
      </c>
      <c r="G88" t="str">
        <f>LOOKUP(E88,Inscritos!$E$2:$E$110,Inscritos!$H$2:$H$110)</f>
        <v>Taquarussu</v>
      </c>
      <c r="H88" t="str">
        <f>LOOKUP(E88,Inscritos!$E$2:$E$110,Inscritos!$I$2:$I$110)</f>
        <v>Gestão municipal</v>
      </c>
      <c r="I88" t="str">
        <f>LOOKUP(E88,Inscritos!$E$2:$E$110,Inscritos!$E$2:$E$110)</f>
        <v>035.584.901-18</v>
      </c>
    </row>
    <row r="89" spans="2:9" x14ac:dyDescent="0.4">
      <c r="B89" s="2">
        <v>45750.401469907411</v>
      </c>
      <c r="C89" t="s">
        <v>329</v>
      </c>
      <c r="D89" t="s">
        <v>330</v>
      </c>
      <c r="E89" t="s">
        <v>331</v>
      </c>
      <c r="G89" t="str">
        <f>LOOKUP(E89,Inscritos!$E$2:$E$110,Inscritos!$H$2:$H$110)</f>
        <v>Taquarussu</v>
      </c>
      <c r="H89" t="str">
        <f>LOOKUP(E89,Inscritos!$E$2:$E$110,Inscritos!$I$2:$I$110)</f>
        <v>Gestão municipal</v>
      </c>
      <c r="I89" t="str">
        <f>LOOKUP(E89,Inscritos!$E$2:$E$110,Inscritos!$E$2:$E$110)</f>
        <v>511.394.051-87</v>
      </c>
    </row>
    <row r="90" spans="2:9" x14ac:dyDescent="0.4">
      <c r="B90" s="2">
        <v>45750.400104166663</v>
      </c>
      <c r="C90" t="s">
        <v>332</v>
      </c>
      <c r="D90" t="s">
        <v>333</v>
      </c>
      <c r="E90" t="s">
        <v>334</v>
      </c>
      <c r="G90" t="str">
        <f>LOOKUP(E90,Inscritos!$E$2:$E$110,Inscritos!$H$2:$H$110)</f>
        <v>Vicentina</v>
      </c>
      <c r="H90" t="str">
        <f>LOOKUP(E90,Inscritos!$E$2:$E$110,Inscritos!$I$2:$I$110)</f>
        <v>CACS-FUNDEB</v>
      </c>
      <c r="I90" t="str">
        <f>LOOKUP(E90,Inscritos!$E$2:$E$110,Inscritos!$E$2:$E$110)</f>
        <v>562.142.511-15</v>
      </c>
    </row>
    <row r="91" spans="2:9" x14ac:dyDescent="0.4">
      <c r="B91" s="2">
        <v>45750.53701388889</v>
      </c>
      <c r="C91" t="s">
        <v>339</v>
      </c>
      <c r="D91" t="s">
        <v>340</v>
      </c>
      <c r="E91" t="s">
        <v>341</v>
      </c>
      <c r="G91" t="str">
        <f>LOOKUP(E91,Inscritos!$E$2:$E$110,Inscritos!$H$2:$H$110)</f>
        <v>Sete Quedas</v>
      </c>
      <c r="H91" t="str">
        <f>LOOKUP(E91,Inscritos!$E$2:$E$110,Inscritos!$I$2:$I$110)</f>
        <v>CACS-FUNDEB</v>
      </c>
      <c r="I91" t="str">
        <f>LOOKUP(E91,Inscritos!$E$2:$E$110,Inscritos!$E$2:$E$110)</f>
        <v>033.593.471-45</v>
      </c>
    </row>
    <row r="92" spans="2:9" x14ac:dyDescent="0.4">
      <c r="B92" s="2">
        <v>45750.54105324074</v>
      </c>
      <c r="C92" t="s">
        <v>351</v>
      </c>
      <c r="D92" t="s">
        <v>352</v>
      </c>
      <c r="E92" t="s">
        <v>353</v>
      </c>
      <c r="G92" t="str">
        <f>LOOKUP(E92,Inscritos!$E$2:$E$110,Inscritos!$H$2:$H$110)</f>
        <v>Sete Quedas</v>
      </c>
      <c r="H92" t="str">
        <f>LOOKUP(E92,Inscritos!$E$2:$E$110,Inscritos!$I$2:$I$110)</f>
        <v>Gestão municipal</v>
      </c>
      <c r="I92" t="str">
        <f>LOOKUP(E92,Inscritos!$E$2:$E$110,Inscritos!$E$2:$E$110)</f>
        <v>501.461.651-87</v>
      </c>
    </row>
    <row r="93" spans="2:9" x14ac:dyDescent="0.4">
      <c r="B93" s="2">
        <v>45750.540451388886</v>
      </c>
      <c r="C93" t="s">
        <v>348</v>
      </c>
      <c r="D93" t="s">
        <v>349</v>
      </c>
      <c r="E93" t="s">
        <v>350</v>
      </c>
      <c r="G93" t="str">
        <f>LOOKUP(E93,Inscritos!$E$2:$E$110,Inscritos!$H$2:$H$110)</f>
        <v>Sete Quedas</v>
      </c>
      <c r="H93" t="str">
        <f>LOOKUP(E93,Inscritos!$E$2:$E$110,Inscritos!$I$2:$I$110)</f>
        <v>CACS-FUNDEB</v>
      </c>
      <c r="I93" t="str">
        <f>LOOKUP(E93,Inscritos!$E$2:$E$110,Inscritos!$E$2:$E$110)</f>
        <v>985.453.291-72</v>
      </c>
    </row>
  </sheetData>
  <sortState xmlns:xlrd2="http://schemas.microsoft.com/office/spreadsheetml/2017/richdata2" ref="B2:H93">
    <sortCondition ref="G2:G93"/>
  </sortState>
  <conditionalFormatting sqref="A2:A93">
    <cfRule type="cellIs" dxfId="1" priority="1" operator="equal">
      <formula>1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1C62F-220D-482C-945C-61CC2E54D353}">
  <dimension ref="A1:M95"/>
  <sheetViews>
    <sheetView topLeftCell="A82" workbookViewId="0">
      <selection activeCell="A91" sqref="A2:A91"/>
    </sheetView>
  </sheetViews>
  <sheetFormatPr defaultRowHeight="19.5" x14ac:dyDescent="0.4"/>
  <cols>
    <col min="1" max="1" width="19" bestFit="1" customWidth="1"/>
    <col min="2" max="2" width="42.375" bestFit="1" customWidth="1"/>
    <col min="3" max="3" width="37" bestFit="1" customWidth="1"/>
    <col min="4" max="4" width="13.625" bestFit="1" customWidth="1"/>
    <col min="5" max="5" width="17.875" bestFit="1" customWidth="1"/>
    <col min="6" max="6" width="26.25" bestFit="1" customWidth="1"/>
    <col min="7" max="7" width="22.625" bestFit="1" customWidth="1"/>
    <col min="8" max="8" width="15.875" bestFit="1" customWidth="1"/>
    <col min="9" max="9" width="67.25" bestFit="1" customWidth="1"/>
    <col min="10" max="10" width="190.875" bestFit="1" customWidth="1"/>
    <col min="11" max="11" width="37" bestFit="1" customWidth="1"/>
    <col min="12" max="12" width="10.125" bestFit="1" customWidth="1"/>
  </cols>
  <sheetData>
    <row r="1" spans="1:13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371</v>
      </c>
    </row>
    <row r="2" spans="1:13" x14ac:dyDescent="0.4">
      <c r="A2" s="2">
        <v>45742.686342592591</v>
      </c>
      <c r="B2" t="s">
        <v>634</v>
      </c>
      <c r="C2" t="s">
        <v>141</v>
      </c>
      <c r="D2" t="s">
        <v>142</v>
      </c>
      <c r="E2" s="3">
        <v>30191</v>
      </c>
      <c r="F2" t="s">
        <v>635</v>
      </c>
      <c r="G2" t="s">
        <v>127</v>
      </c>
      <c r="H2" t="s">
        <v>19</v>
      </c>
      <c r="K2" t="s">
        <v>636</v>
      </c>
      <c r="L2" s="3">
        <v>45749</v>
      </c>
      <c r="M2">
        <v>0</v>
      </c>
    </row>
    <row r="3" spans="1:13" x14ac:dyDescent="0.4">
      <c r="A3" s="2">
        <v>45744.33798611111</v>
      </c>
      <c r="B3" t="s">
        <v>190</v>
      </c>
      <c r="C3" t="s">
        <v>464</v>
      </c>
      <c r="D3" t="s">
        <v>192</v>
      </c>
      <c r="E3" s="3">
        <v>30671</v>
      </c>
      <c r="F3" t="s">
        <v>465</v>
      </c>
      <c r="G3" t="s">
        <v>193</v>
      </c>
      <c r="H3" t="s">
        <v>26</v>
      </c>
      <c r="I3" t="s">
        <v>466</v>
      </c>
      <c r="L3" s="3">
        <v>45750</v>
      </c>
      <c r="M3">
        <v>0</v>
      </c>
    </row>
    <row r="4" spans="1:13" x14ac:dyDescent="0.4">
      <c r="A4" s="2">
        <v>45748.437592592592</v>
      </c>
      <c r="B4" t="s">
        <v>41</v>
      </c>
      <c r="C4" t="s">
        <v>42</v>
      </c>
      <c r="D4" t="s">
        <v>43</v>
      </c>
      <c r="E4" s="3">
        <v>30850</v>
      </c>
      <c r="F4" t="s">
        <v>393</v>
      </c>
      <c r="G4" t="s">
        <v>40</v>
      </c>
      <c r="H4" t="s">
        <v>26</v>
      </c>
      <c r="I4" t="s">
        <v>394</v>
      </c>
      <c r="L4" s="3">
        <v>45749</v>
      </c>
      <c r="M4">
        <v>0</v>
      </c>
    </row>
    <row r="5" spans="1:13" x14ac:dyDescent="0.4">
      <c r="A5" s="2">
        <v>45743.476180555554</v>
      </c>
      <c r="B5" t="s">
        <v>322</v>
      </c>
      <c r="C5" t="s">
        <v>323</v>
      </c>
      <c r="D5" t="s">
        <v>324</v>
      </c>
      <c r="E5" s="3">
        <v>31173</v>
      </c>
      <c r="F5" t="s">
        <v>689</v>
      </c>
      <c r="G5" t="s">
        <v>315</v>
      </c>
      <c r="H5" t="s">
        <v>19</v>
      </c>
      <c r="K5" t="s">
        <v>690</v>
      </c>
      <c r="L5" s="3">
        <v>45750</v>
      </c>
      <c r="M5">
        <v>0</v>
      </c>
    </row>
    <row r="6" spans="1:13" x14ac:dyDescent="0.4">
      <c r="A6" s="2">
        <v>45737.487847222219</v>
      </c>
      <c r="B6" t="s">
        <v>467</v>
      </c>
      <c r="C6" t="s">
        <v>652</v>
      </c>
      <c r="D6" t="s">
        <v>653</v>
      </c>
      <c r="E6" s="3">
        <v>31446</v>
      </c>
      <c r="F6" t="s">
        <v>654</v>
      </c>
      <c r="G6" t="s">
        <v>202</v>
      </c>
      <c r="H6" t="s">
        <v>19</v>
      </c>
      <c r="K6" t="s">
        <v>651</v>
      </c>
      <c r="L6" s="3">
        <v>45750</v>
      </c>
      <c r="M6">
        <v>0</v>
      </c>
    </row>
    <row r="7" spans="1:13" x14ac:dyDescent="0.4">
      <c r="A7" s="2">
        <v>45748.709201388891</v>
      </c>
      <c r="B7" t="s">
        <v>259</v>
      </c>
      <c r="C7" t="s">
        <v>260</v>
      </c>
      <c r="D7" t="s">
        <v>261</v>
      </c>
      <c r="E7" s="3">
        <v>31161</v>
      </c>
      <c r="F7" t="s">
        <v>506</v>
      </c>
      <c r="G7" t="s">
        <v>262</v>
      </c>
      <c r="H7" t="s">
        <v>26</v>
      </c>
      <c r="I7" t="s">
        <v>507</v>
      </c>
      <c r="L7" s="3">
        <v>45750</v>
      </c>
      <c r="M7">
        <v>0</v>
      </c>
    </row>
    <row r="8" spans="1:13" x14ac:dyDescent="0.4">
      <c r="A8" s="2">
        <v>45737.401863425926</v>
      </c>
      <c r="B8" t="s">
        <v>65</v>
      </c>
      <c r="C8" t="s">
        <v>66</v>
      </c>
      <c r="D8" t="s">
        <v>67</v>
      </c>
      <c r="E8" s="3">
        <v>31964</v>
      </c>
      <c r="F8" t="s">
        <v>404</v>
      </c>
      <c r="G8" t="s">
        <v>64</v>
      </c>
      <c r="H8" t="s">
        <v>26</v>
      </c>
      <c r="I8" t="s">
        <v>405</v>
      </c>
      <c r="L8" s="3">
        <v>45749</v>
      </c>
      <c r="M8">
        <v>0</v>
      </c>
    </row>
    <row r="9" spans="1:13" x14ac:dyDescent="0.4">
      <c r="A9" s="2">
        <v>45748.479062500002</v>
      </c>
      <c r="B9" t="s">
        <v>378</v>
      </c>
      <c r="C9" t="s">
        <v>379</v>
      </c>
      <c r="D9" t="s">
        <v>380</v>
      </c>
      <c r="E9" s="3">
        <v>31923</v>
      </c>
      <c r="F9" t="s">
        <v>381</v>
      </c>
      <c r="G9" t="s">
        <v>18</v>
      </c>
      <c r="H9" t="s">
        <v>26</v>
      </c>
      <c r="I9" t="s">
        <v>382</v>
      </c>
      <c r="J9" t="s">
        <v>383</v>
      </c>
      <c r="L9" s="3">
        <v>45749</v>
      </c>
      <c r="M9">
        <v>0</v>
      </c>
    </row>
    <row r="10" spans="1:13" x14ac:dyDescent="0.4">
      <c r="A10" s="2">
        <v>45747.428368055553</v>
      </c>
      <c r="B10" t="s">
        <v>537</v>
      </c>
      <c r="C10" t="s">
        <v>541</v>
      </c>
      <c r="D10" t="s">
        <v>327</v>
      </c>
      <c r="E10" s="3">
        <v>31718</v>
      </c>
      <c r="F10" t="s">
        <v>542</v>
      </c>
      <c r="G10" t="s">
        <v>328</v>
      </c>
      <c r="H10" t="s">
        <v>26</v>
      </c>
      <c r="I10" t="s">
        <v>543</v>
      </c>
      <c r="L10" s="3">
        <v>45750</v>
      </c>
      <c r="M10">
        <v>0</v>
      </c>
    </row>
    <row r="11" spans="1:13" x14ac:dyDescent="0.4">
      <c r="A11" s="2">
        <v>45748.937743055554</v>
      </c>
      <c r="B11" t="s">
        <v>61</v>
      </c>
      <c r="C11" t="s">
        <v>62</v>
      </c>
      <c r="D11" t="s">
        <v>63</v>
      </c>
      <c r="E11" s="3">
        <v>32384</v>
      </c>
      <c r="F11" t="s">
        <v>630</v>
      </c>
      <c r="G11" t="s">
        <v>64</v>
      </c>
      <c r="H11" t="s">
        <v>19</v>
      </c>
      <c r="K11" t="s">
        <v>198</v>
      </c>
      <c r="L11" s="3">
        <v>45749</v>
      </c>
      <c r="M11">
        <v>0</v>
      </c>
    </row>
    <row r="12" spans="1:13" x14ac:dyDescent="0.4">
      <c r="A12" s="2">
        <v>45748.44730324074</v>
      </c>
      <c r="B12" t="s">
        <v>37</v>
      </c>
      <c r="C12" t="s">
        <v>395</v>
      </c>
      <c r="D12" t="s">
        <v>39</v>
      </c>
      <c r="E12" s="3">
        <v>37344</v>
      </c>
      <c r="F12" t="s">
        <v>396</v>
      </c>
      <c r="G12" t="s">
        <v>40</v>
      </c>
      <c r="H12" t="s">
        <v>26</v>
      </c>
      <c r="I12" t="s">
        <v>397</v>
      </c>
      <c r="L12" s="3">
        <v>45749</v>
      </c>
      <c r="M12">
        <v>0</v>
      </c>
    </row>
    <row r="13" spans="1:13" x14ac:dyDescent="0.4">
      <c r="A13" s="2">
        <v>45733.699467592596</v>
      </c>
      <c r="B13" t="s">
        <v>299</v>
      </c>
      <c r="C13" t="s">
        <v>300</v>
      </c>
      <c r="D13" t="s">
        <v>301</v>
      </c>
      <c r="E13" s="3">
        <v>32243</v>
      </c>
      <c r="F13" t="s">
        <v>520</v>
      </c>
      <c r="G13" t="s">
        <v>298</v>
      </c>
      <c r="H13" t="s">
        <v>26</v>
      </c>
      <c r="I13" t="s">
        <v>521</v>
      </c>
      <c r="L13" s="3">
        <v>45750</v>
      </c>
      <c r="M13">
        <v>0</v>
      </c>
    </row>
    <row r="14" spans="1:13" x14ac:dyDescent="0.4">
      <c r="A14" s="2">
        <v>45734.474374999998</v>
      </c>
      <c r="B14" t="s">
        <v>183</v>
      </c>
      <c r="C14" t="s">
        <v>184</v>
      </c>
      <c r="D14" t="s">
        <v>185</v>
      </c>
      <c r="E14" s="3">
        <v>32021</v>
      </c>
      <c r="F14" t="s">
        <v>457</v>
      </c>
      <c r="G14" t="s">
        <v>186</v>
      </c>
      <c r="H14" t="s">
        <v>26</v>
      </c>
      <c r="I14" t="s">
        <v>458</v>
      </c>
      <c r="L14" s="3">
        <v>45749</v>
      </c>
      <c r="M14">
        <v>0</v>
      </c>
    </row>
    <row r="15" spans="1:13" x14ac:dyDescent="0.4">
      <c r="A15" s="2">
        <v>45747.523310185185</v>
      </c>
      <c r="B15" t="s">
        <v>96</v>
      </c>
      <c r="C15" t="s">
        <v>97</v>
      </c>
      <c r="D15" t="s">
        <v>98</v>
      </c>
      <c r="E15" s="3">
        <v>32514</v>
      </c>
      <c r="F15" t="s">
        <v>632</v>
      </c>
      <c r="G15" t="s">
        <v>99</v>
      </c>
      <c r="H15" t="s">
        <v>19</v>
      </c>
      <c r="K15" t="s">
        <v>633</v>
      </c>
      <c r="L15" s="3">
        <v>45749</v>
      </c>
      <c r="M15">
        <v>0</v>
      </c>
    </row>
    <row r="16" spans="1:13" x14ac:dyDescent="0.4">
      <c r="A16" s="2">
        <v>45740.699641203704</v>
      </c>
      <c r="B16" t="s">
        <v>664</v>
      </c>
      <c r="C16" t="s">
        <v>665</v>
      </c>
      <c r="D16" t="s">
        <v>666</v>
      </c>
      <c r="E16" s="3">
        <v>32447</v>
      </c>
      <c r="F16" t="s">
        <v>667</v>
      </c>
      <c r="G16" t="s">
        <v>233</v>
      </c>
      <c r="H16" t="s">
        <v>19</v>
      </c>
      <c r="K16" t="s">
        <v>668</v>
      </c>
      <c r="L16" s="3">
        <v>45750</v>
      </c>
      <c r="M16">
        <v>0</v>
      </c>
    </row>
    <row r="17" spans="1:13" x14ac:dyDescent="0.4">
      <c r="A17" s="2">
        <v>45736.619479166664</v>
      </c>
      <c r="B17" t="s">
        <v>81</v>
      </c>
      <c r="C17" t="s">
        <v>410</v>
      </c>
      <c r="D17" t="s">
        <v>83</v>
      </c>
      <c r="E17" s="3">
        <v>32569</v>
      </c>
      <c r="F17" t="s">
        <v>411</v>
      </c>
      <c r="G17" t="s">
        <v>77</v>
      </c>
      <c r="H17" t="s">
        <v>26</v>
      </c>
      <c r="I17" t="s">
        <v>412</v>
      </c>
      <c r="L17" s="3">
        <v>45749</v>
      </c>
      <c r="M17">
        <v>0</v>
      </c>
    </row>
    <row r="18" spans="1:13" x14ac:dyDescent="0.4">
      <c r="A18" s="2">
        <v>45749.705590277779</v>
      </c>
      <c r="B18" t="s">
        <v>339</v>
      </c>
      <c r="C18" t="s">
        <v>340</v>
      </c>
      <c r="D18" t="s">
        <v>341</v>
      </c>
      <c r="E18" s="3">
        <v>33019</v>
      </c>
      <c r="F18" t="s">
        <v>696</v>
      </c>
      <c r="G18" t="s">
        <v>346</v>
      </c>
      <c r="H18" t="s">
        <v>19</v>
      </c>
      <c r="K18" t="s">
        <v>697</v>
      </c>
      <c r="L18" s="3">
        <v>45750</v>
      </c>
      <c r="M18">
        <v>0</v>
      </c>
    </row>
    <row r="19" spans="1:13" x14ac:dyDescent="0.4">
      <c r="A19" s="2">
        <v>45747.402430555558</v>
      </c>
      <c r="B19" t="s">
        <v>319</v>
      </c>
      <c r="C19" t="s">
        <v>532</v>
      </c>
      <c r="D19" t="s">
        <v>321</v>
      </c>
      <c r="E19" s="3">
        <v>32278</v>
      </c>
      <c r="F19" t="s">
        <v>533</v>
      </c>
      <c r="G19" t="s">
        <v>315</v>
      </c>
      <c r="H19" t="s">
        <v>26</v>
      </c>
      <c r="I19" t="s">
        <v>534</v>
      </c>
      <c r="L19" s="3">
        <v>45750</v>
      </c>
      <c r="M19">
        <v>0</v>
      </c>
    </row>
    <row r="20" spans="1:13" x14ac:dyDescent="0.4">
      <c r="A20" s="2">
        <v>45748.493807870371</v>
      </c>
      <c r="B20" t="s">
        <v>639</v>
      </c>
      <c r="C20" t="s">
        <v>640</v>
      </c>
      <c r="D20" t="s">
        <v>149</v>
      </c>
      <c r="E20" s="3">
        <v>33116</v>
      </c>
      <c r="F20" t="s">
        <v>641</v>
      </c>
      <c r="G20" t="s">
        <v>146</v>
      </c>
      <c r="H20" t="s">
        <v>19</v>
      </c>
      <c r="K20" t="s">
        <v>642</v>
      </c>
      <c r="L20" s="3">
        <v>45749</v>
      </c>
      <c r="M20">
        <v>0</v>
      </c>
    </row>
    <row r="21" spans="1:13" x14ac:dyDescent="0.4">
      <c r="A21" s="2">
        <v>45747.426168981481</v>
      </c>
      <c r="B21" t="s">
        <v>537</v>
      </c>
      <c r="C21" t="s">
        <v>538</v>
      </c>
      <c r="D21" t="s">
        <v>338</v>
      </c>
      <c r="E21" s="3">
        <v>34041</v>
      </c>
      <c r="F21" t="s">
        <v>539</v>
      </c>
      <c r="G21" t="s">
        <v>328</v>
      </c>
      <c r="H21" t="s">
        <v>26</v>
      </c>
      <c r="I21" t="s">
        <v>540</v>
      </c>
      <c r="L21" s="3">
        <v>45750</v>
      </c>
      <c r="M21">
        <v>0</v>
      </c>
    </row>
    <row r="22" spans="1:13" x14ac:dyDescent="0.4">
      <c r="A22" s="2">
        <v>45748.437083333331</v>
      </c>
      <c r="B22" t="s">
        <v>159</v>
      </c>
      <c r="C22" t="s">
        <v>436</v>
      </c>
      <c r="D22" t="s">
        <v>161</v>
      </c>
      <c r="E22" s="3">
        <v>34377</v>
      </c>
      <c r="F22" t="s">
        <v>437</v>
      </c>
      <c r="G22" t="s">
        <v>162</v>
      </c>
      <c r="H22" t="s">
        <v>26</v>
      </c>
      <c r="I22" t="s">
        <v>438</v>
      </c>
      <c r="L22" s="3">
        <v>45749</v>
      </c>
      <c r="M22">
        <v>0</v>
      </c>
    </row>
    <row r="23" spans="1:13" x14ac:dyDescent="0.4">
      <c r="A23" s="2">
        <v>45742.449733796297</v>
      </c>
      <c r="B23" t="s">
        <v>210</v>
      </c>
      <c r="C23" t="s">
        <v>471</v>
      </c>
      <c r="D23" t="s">
        <v>212</v>
      </c>
      <c r="E23" s="3">
        <v>33394</v>
      </c>
      <c r="F23" t="s">
        <v>472</v>
      </c>
      <c r="G23" t="s">
        <v>209</v>
      </c>
      <c r="H23" t="s">
        <v>26</v>
      </c>
      <c r="I23" t="s">
        <v>473</v>
      </c>
      <c r="L23" s="3">
        <v>45750</v>
      </c>
      <c r="M23">
        <v>0</v>
      </c>
    </row>
    <row r="24" spans="1:13" x14ac:dyDescent="0.4">
      <c r="A24" s="2">
        <v>45742.904652777775</v>
      </c>
      <c r="B24" t="s">
        <v>312</v>
      </c>
      <c r="C24" t="s">
        <v>691</v>
      </c>
      <c r="D24" t="s">
        <v>314</v>
      </c>
      <c r="E24" s="3">
        <v>33417</v>
      </c>
      <c r="F24" t="s">
        <v>692</v>
      </c>
      <c r="G24" t="s">
        <v>315</v>
      </c>
      <c r="H24" t="s">
        <v>19</v>
      </c>
      <c r="K24" t="s">
        <v>198</v>
      </c>
      <c r="L24" s="3">
        <v>45750</v>
      </c>
      <c r="M24">
        <v>0</v>
      </c>
    </row>
    <row r="25" spans="1:13" x14ac:dyDescent="0.4">
      <c r="A25" s="2">
        <v>45740.666886574072</v>
      </c>
      <c r="B25" t="s">
        <v>358</v>
      </c>
      <c r="C25" t="s">
        <v>515</v>
      </c>
      <c r="D25" t="s">
        <v>360</v>
      </c>
      <c r="E25" s="3">
        <v>34298</v>
      </c>
      <c r="F25" t="s">
        <v>516</v>
      </c>
      <c r="G25" t="s">
        <v>357</v>
      </c>
      <c r="H25" t="s">
        <v>26</v>
      </c>
      <c r="I25" t="s">
        <v>517</v>
      </c>
      <c r="L25" s="3">
        <v>45750</v>
      </c>
      <c r="M25">
        <v>0</v>
      </c>
    </row>
    <row r="26" spans="1:13" x14ac:dyDescent="0.4">
      <c r="A26" s="2">
        <v>45733.69332175926</v>
      </c>
      <c r="B26" t="s">
        <v>295</v>
      </c>
      <c r="C26" t="s">
        <v>296</v>
      </c>
      <c r="D26" t="s">
        <v>297</v>
      </c>
      <c r="E26" s="3">
        <v>31113</v>
      </c>
      <c r="F26" t="s">
        <v>518</v>
      </c>
      <c r="G26" t="s">
        <v>298</v>
      </c>
      <c r="H26" t="s">
        <v>26</v>
      </c>
      <c r="I26" t="s">
        <v>519</v>
      </c>
      <c r="L26" s="3">
        <v>45750</v>
      </c>
      <c r="M26">
        <v>0</v>
      </c>
    </row>
    <row r="27" spans="1:13" x14ac:dyDescent="0.4">
      <c r="A27" s="2">
        <v>45747.456157407411</v>
      </c>
      <c r="B27" t="s">
        <v>660</v>
      </c>
      <c r="C27" t="s">
        <v>243</v>
      </c>
      <c r="D27" t="s">
        <v>244</v>
      </c>
      <c r="E27" s="3">
        <v>34586</v>
      </c>
      <c r="F27" t="s">
        <v>484</v>
      </c>
      <c r="G27" t="s">
        <v>233</v>
      </c>
      <c r="H27" t="s">
        <v>26</v>
      </c>
      <c r="I27" t="s">
        <v>661</v>
      </c>
      <c r="J27" t="s">
        <v>662</v>
      </c>
      <c r="K27" t="s">
        <v>663</v>
      </c>
      <c r="L27" s="3">
        <v>45750</v>
      </c>
      <c r="M27">
        <v>0</v>
      </c>
    </row>
    <row r="28" spans="1:13" x14ac:dyDescent="0.4">
      <c r="A28" s="2">
        <v>45748.438148148147</v>
      </c>
      <c r="B28" t="s">
        <v>316</v>
      </c>
      <c r="C28" t="s">
        <v>317</v>
      </c>
      <c r="D28" t="s">
        <v>318</v>
      </c>
      <c r="E28" s="3">
        <v>36520</v>
      </c>
      <c r="F28" t="s">
        <v>530</v>
      </c>
      <c r="G28" t="s">
        <v>315</v>
      </c>
      <c r="H28" t="s">
        <v>26</v>
      </c>
      <c r="I28" t="s">
        <v>531</v>
      </c>
      <c r="L28" s="3">
        <v>45750</v>
      </c>
      <c r="M28">
        <v>0</v>
      </c>
    </row>
    <row r="29" spans="1:13" x14ac:dyDescent="0.4">
      <c r="A29" s="2">
        <v>45741.448125000003</v>
      </c>
      <c r="B29" t="s">
        <v>222</v>
      </c>
      <c r="C29" t="s">
        <v>228</v>
      </c>
      <c r="D29" t="s">
        <v>229</v>
      </c>
      <c r="E29" s="3">
        <v>23435</v>
      </c>
      <c r="F29" t="s">
        <v>658</v>
      </c>
      <c r="G29" t="s">
        <v>216</v>
      </c>
      <c r="H29" t="s">
        <v>19</v>
      </c>
      <c r="K29" t="s">
        <v>479</v>
      </c>
      <c r="L29" s="3">
        <v>45750</v>
      </c>
      <c r="M29">
        <v>0</v>
      </c>
    </row>
    <row r="30" spans="1:13" x14ac:dyDescent="0.4">
      <c r="A30" s="2">
        <v>45743.134583333333</v>
      </c>
      <c r="B30" t="s">
        <v>124</v>
      </c>
      <c r="C30" t="s">
        <v>125</v>
      </c>
      <c r="D30" t="s">
        <v>126</v>
      </c>
      <c r="E30" s="3">
        <v>36213</v>
      </c>
      <c r="F30" t="s">
        <v>430</v>
      </c>
      <c r="G30" t="s">
        <v>127</v>
      </c>
      <c r="H30" t="s">
        <v>26</v>
      </c>
      <c r="I30" t="s">
        <v>431</v>
      </c>
      <c r="L30" s="3">
        <v>45749</v>
      </c>
      <c r="M30">
        <v>0</v>
      </c>
    </row>
    <row r="31" spans="1:13" x14ac:dyDescent="0.4">
      <c r="A31" s="2">
        <v>45734.355000000003</v>
      </c>
      <c r="B31" t="s">
        <v>487</v>
      </c>
      <c r="C31" t="s">
        <v>231</v>
      </c>
      <c r="D31" t="s">
        <v>232</v>
      </c>
      <c r="E31" s="3">
        <v>36339</v>
      </c>
      <c r="F31" t="s">
        <v>488</v>
      </c>
      <c r="G31" t="s">
        <v>233</v>
      </c>
      <c r="H31" t="s">
        <v>26</v>
      </c>
      <c r="I31" t="s">
        <v>489</v>
      </c>
      <c r="J31" t="s">
        <v>490</v>
      </c>
      <c r="L31" s="3">
        <v>45750</v>
      </c>
      <c r="M31">
        <v>0</v>
      </c>
    </row>
    <row r="32" spans="1:13" x14ac:dyDescent="0.4">
      <c r="A32" s="2">
        <v>45742.395138888889</v>
      </c>
      <c r="B32" t="s">
        <v>134</v>
      </c>
      <c r="C32" t="s">
        <v>135</v>
      </c>
      <c r="D32" t="s">
        <v>136</v>
      </c>
      <c r="E32" s="3">
        <v>36763</v>
      </c>
      <c r="F32" t="s">
        <v>428</v>
      </c>
      <c r="G32" t="s">
        <v>127</v>
      </c>
      <c r="H32" t="s">
        <v>26</v>
      </c>
      <c r="I32" t="s">
        <v>429</v>
      </c>
      <c r="L32" s="3">
        <v>45749</v>
      </c>
      <c r="M32">
        <v>0</v>
      </c>
    </row>
    <row r="33" spans="1:13" x14ac:dyDescent="0.4">
      <c r="A33" s="2">
        <v>45740.751585648148</v>
      </c>
      <c r="B33" t="s">
        <v>222</v>
      </c>
      <c r="C33" t="s">
        <v>477</v>
      </c>
      <c r="D33" t="s">
        <v>224</v>
      </c>
      <c r="E33" s="3">
        <v>36569</v>
      </c>
      <c r="F33" t="s">
        <v>478</v>
      </c>
      <c r="G33" t="s">
        <v>216</v>
      </c>
      <c r="H33" t="s">
        <v>26</v>
      </c>
      <c r="I33" t="s">
        <v>479</v>
      </c>
      <c r="L33" s="3">
        <v>45750</v>
      </c>
      <c r="M33">
        <v>0</v>
      </c>
    </row>
    <row r="34" spans="1:13" x14ac:dyDescent="0.4">
      <c r="A34" s="2">
        <v>45741.503252314818</v>
      </c>
      <c r="B34" t="s">
        <v>302</v>
      </c>
      <c r="C34" t="s">
        <v>522</v>
      </c>
      <c r="D34" t="s">
        <v>304</v>
      </c>
      <c r="E34" s="3">
        <v>37837</v>
      </c>
      <c r="F34" t="s">
        <v>523</v>
      </c>
      <c r="G34" t="s">
        <v>305</v>
      </c>
      <c r="H34" t="s">
        <v>26</v>
      </c>
      <c r="I34" t="s">
        <v>524</v>
      </c>
      <c r="L34" s="3">
        <v>45750</v>
      </c>
      <c r="M34">
        <v>0</v>
      </c>
    </row>
    <row r="35" spans="1:13" x14ac:dyDescent="0.4">
      <c r="A35" s="2">
        <v>45747.743032407408</v>
      </c>
      <c r="B35" t="s">
        <v>44</v>
      </c>
      <c r="C35" t="s">
        <v>45</v>
      </c>
      <c r="D35" t="s">
        <v>46</v>
      </c>
      <c r="E35" s="3">
        <v>52961</v>
      </c>
      <c r="F35" t="s">
        <v>398</v>
      </c>
      <c r="G35" t="s">
        <v>47</v>
      </c>
      <c r="H35" t="s">
        <v>26</v>
      </c>
      <c r="I35" t="s">
        <v>399</v>
      </c>
      <c r="L35" s="3">
        <v>45749</v>
      </c>
      <c r="M35">
        <v>0</v>
      </c>
    </row>
    <row r="36" spans="1:13" x14ac:dyDescent="0.4">
      <c r="A36" s="2">
        <v>45748.325439814813</v>
      </c>
      <c r="B36" t="s">
        <v>93</v>
      </c>
      <c r="C36" t="s">
        <v>94</v>
      </c>
      <c r="D36" t="s">
        <v>95</v>
      </c>
      <c r="E36" s="3">
        <v>22943</v>
      </c>
      <c r="F36" t="s">
        <v>416</v>
      </c>
      <c r="G36" t="s">
        <v>92</v>
      </c>
      <c r="H36" t="s">
        <v>26</v>
      </c>
      <c r="I36" t="s">
        <v>417</v>
      </c>
      <c r="L36" s="3">
        <v>45750</v>
      </c>
      <c r="M36">
        <v>0</v>
      </c>
    </row>
    <row r="37" spans="1:13" x14ac:dyDescent="0.4">
      <c r="A37" s="2">
        <v>45746.59002314815</v>
      </c>
      <c r="B37" t="s">
        <v>143</v>
      </c>
      <c r="C37" t="s">
        <v>144</v>
      </c>
      <c r="D37" t="s">
        <v>145</v>
      </c>
      <c r="E37" s="3">
        <v>24117</v>
      </c>
      <c r="F37" t="s">
        <v>432</v>
      </c>
      <c r="G37" t="s">
        <v>146</v>
      </c>
      <c r="H37" t="s">
        <v>26</v>
      </c>
      <c r="I37" t="s">
        <v>433</v>
      </c>
      <c r="L37" s="3">
        <v>45749</v>
      </c>
      <c r="M37">
        <v>0</v>
      </c>
    </row>
    <row r="38" spans="1:13" x14ac:dyDescent="0.4">
      <c r="A38" s="2">
        <v>45737.543495370373</v>
      </c>
      <c r="B38" t="s">
        <v>20</v>
      </c>
      <c r="C38" t="s">
        <v>21</v>
      </c>
      <c r="D38" t="s">
        <v>22</v>
      </c>
      <c r="E38" s="3">
        <v>21421</v>
      </c>
      <c r="F38" t="s">
        <v>624</v>
      </c>
      <c r="G38" t="s">
        <v>18</v>
      </c>
      <c r="H38" t="s">
        <v>19</v>
      </c>
      <c r="K38" t="s">
        <v>625</v>
      </c>
      <c r="L38" s="3">
        <v>45749</v>
      </c>
      <c r="M38">
        <v>0</v>
      </c>
    </row>
    <row r="39" spans="1:13" x14ac:dyDescent="0.4">
      <c r="A39" s="2">
        <v>45749.72320601852</v>
      </c>
      <c r="B39" t="s">
        <v>217</v>
      </c>
      <c r="C39" t="s">
        <v>480</v>
      </c>
      <c r="D39" t="s">
        <v>219</v>
      </c>
      <c r="E39" s="3">
        <v>31913</v>
      </c>
      <c r="F39" t="s">
        <v>481</v>
      </c>
      <c r="G39" t="s">
        <v>216</v>
      </c>
      <c r="H39" t="s">
        <v>26</v>
      </c>
      <c r="I39" t="s">
        <v>482</v>
      </c>
      <c r="L39" s="3">
        <v>45750</v>
      </c>
      <c r="M39">
        <v>0</v>
      </c>
    </row>
    <row r="40" spans="1:13" x14ac:dyDescent="0.4">
      <c r="A40" s="2">
        <v>45734.420810185184</v>
      </c>
      <c r="B40" t="s">
        <v>439</v>
      </c>
      <c r="C40" t="s">
        <v>440</v>
      </c>
      <c r="D40" t="s">
        <v>441</v>
      </c>
      <c r="E40" s="3">
        <v>22821</v>
      </c>
      <c r="F40" t="s">
        <v>442</v>
      </c>
      <c r="G40" t="s">
        <v>166</v>
      </c>
      <c r="H40" t="s">
        <v>26</v>
      </c>
      <c r="I40" t="s">
        <v>443</v>
      </c>
      <c r="L40" s="3">
        <v>45749</v>
      </c>
      <c r="M40">
        <v>0</v>
      </c>
    </row>
    <row r="41" spans="1:13" x14ac:dyDescent="0.4">
      <c r="A41" s="2">
        <v>45743.858553240738</v>
      </c>
      <c r="B41" t="s">
        <v>58</v>
      </c>
      <c r="C41" t="s">
        <v>59</v>
      </c>
      <c r="D41" t="s">
        <v>60</v>
      </c>
      <c r="E41" s="3">
        <v>24785</v>
      </c>
      <c r="F41" t="s">
        <v>402</v>
      </c>
      <c r="G41" t="s">
        <v>56</v>
      </c>
      <c r="H41" t="s">
        <v>26</v>
      </c>
      <c r="I41" t="s">
        <v>403</v>
      </c>
      <c r="L41" s="3">
        <v>45749</v>
      </c>
      <c r="M41">
        <v>0</v>
      </c>
    </row>
    <row r="42" spans="1:13" x14ac:dyDescent="0.4">
      <c r="A42" s="2">
        <v>45747.687893518516</v>
      </c>
      <c r="B42" t="s">
        <v>23</v>
      </c>
      <c r="C42" t="s">
        <v>24</v>
      </c>
      <c r="D42" t="s">
        <v>25</v>
      </c>
      <c r="E42" s="3">
        <v>24597</v>
      </c>
      <c r="F42" t="s">
        <v>384</v>
      </c>
      <c r="G42" t="s">
        <v>18</v>
      </c>
      <c r="H42" t="s">
        <v>26</v>
      </c>
      <c r="I42" t="s">
        <v>385</v>
      </c>
      <c r="L42" s="3">
        <v>45749</v>
      </c>
      <c r="M42">
        <v>0</v>
      </c>
    </row>
    <row r="43" spans="1:13" x14ac:dyDescent="0.4">
      <c r="A43" s="2">
        <v>45734.50885416667</v>
      </c>
      <c r="B43" t="s">
        <v>645</v>
      </c>
      <c r="C43" t="s">
        <v>646</v>
      </c>
      <c r="D43" t="s">
        <v>647</v>
      </c>
      <c r="E43" s="3">
        <v>25783</v>
      </c>
      <c r="F43" t="s">
        <v>648</v>
      </c>
      <c r="G43" t="s">
        <v>166</v>
      </c>
      <c r="H43" t="s">
        <v>19</v>
      </c>
      <c r="K43" t="s">
        <v>625</v>
      </c>
      <c r="L43" s="3">
        <v>45749</v>
      </c>
      <c r="M43">
        <v>0</v>
      </c>
    </row>
    <row r="44" spans="1:13" x14ac:dyDescent="0.4">
      <c r="A44" s="2">
        <v>45734.422731481478</v>
      </c>
      <c r="B44" t="s">
        <v>454</v>
      </c>
      <c r="C44" t="s">
        <v>188</v>
      </c>
      <c r="D44" t="s">
        <v>189</v>
      </c>
      <c r="E44" s="3">
        <v>26088</v>
      </c>
      <c r="F44" t="s">
        <v>455</v>
      </c>
      <c r="G44" t="s">
        <v>186</v>
      </c>
      <c r="H44" t="s">
        <v>26</v>
      </c>
      <c r="I44" t="s">
        <v>456</v>
      </c>
      <c r="L44" s="3">
        <v>45749</v>
      </c>
      <c r="M44">
        <v>0</v>
      </c>
    </row>
    <row r="45" spans="1:13" x14ac:dyDescent="0.4">
      <c r="A45" s="2">
        <v>45742.513032407405</v>
      </c>
      <c r="B45" t="s">
        <v>150</v>
      </c>
      <c r="C45" t="s">
        <v>151</v>
      </c>
      <c r="D45" t="s">
        <v>152</v>
      </c>
      <c r="E45" s="3">
        <v>25126</v>
      </c>
      <c r="F45" t="s">
        <v>434</v>
      </c>
      <c r="G45" t="s">
        <v>153</v>
      </c>
      <c r="H45" t="s">
        <v>26</v>
      </c>
      <c r="I45" t="s">
        <v>435</v>
      </c>
      <c r="L45" s="3">
        <v>45749</v>
      </c>
      <c r="M45">
        <v>0</v>
      </c>
    </row>
    <row r="46" spans="1:13" x14ac:dyDescent="0.4">
      <c r="A46" s="2">
        <v>45737.415231481478</v>
      </c>
      <c r="B46" t="s">
        <v>68</v>
      </c>
      <c r="C46" t="s">
        <v>69</v>
      </c>
      <c r="D46" t="s">
        <v>70</v>
      </c>
      <c r="E46" s="3" t="s">
        <v>628</v>
      </c>
      <c r="F46" t="s">
        <v>629</v>
      </c>
      <c r="G46" t="s">
        <v>64</v>
      </c>
      <c r="H46" t="s">
        <v>19</v>
      </c>
      <c r="K46" t="s">
        <v>158</v>
      </c>
      <c r="L46" s="3">
        <v>45749</v>
      </c>
      <c r="M46">
        <v>0</v>
      </c>
    </row>
    <row r="47" spans="1:13" x14ac:dyDescent="0.4">
      <c r="A47" s="2">
        <v>45744.632361111115</v>
      </c>
      <c r="B47" t="s">
        <v>163</v>
      </c>
      <c r="C47" t="s">
        <v>164</v>
      </c>
      <c r="D47" t="s">
        <v>165</v>
      </c>
      <c r="E47" s="3">
        <v>26345</v>
      </c>
      <c r="F47" t="s">
        <v>643</v>
      </c>
      <c r="G47" t="s">
        <v>166</v>
      </c>
      <c r="H47" t="s">
        <v>19</v>
      </c>
      <c r="K47" t="s">
        <v>644</v>
      </c>
      <c r="L47" s="3">
        <v>45749</v>
      </c>
      <c r="M47">
        <v>0</v>
      </c>
    </row>
    <row r="48" spans="1:13" x14ac:dyDescent="0.4">
      <c r="A48" s="2">
        <v>45747.482488425929</v>
      </c>
      <c r="B48" t="s">
        <v>501</v>
      </c>
      <c r="C48" t="s">
        <v>502</v>
      </c>
      <c r="D48" t="s">
        <v>503</v>
      </c>
      <c r="E48" s="3">
        <v>25555</v>
      </c>
      <c r="F48" t="s">
        <v>504</v>
      </c>
      <c r="G48" t="s">
        <v>252</v>
      </c>
      <c r="H48" t="s">
        <v>26</v>
      </c>
      <c r="I48" t="s">
        <v>505</v>
      </c>
      <c r="L48" s="3">
        <v>45750</v>
      </c>
      <c r="M48">
        <v>0</v>
      </c>
    </row>
    <row r="49" spans="1:13" x14ac:dyDescent="0.4">
      <c r="A49" s="2">
        <v>45749.684178240743</v>
      </c>
      <c r="B49" t="s">
        <v>351</v>
      </c>
      <c r="C49" t="s">
        <v>352</v>
      </c>
      <c r="D49" t="s">
        <v>353</v>
      </c>
      <c r="E49" s="3">
        <v>25413</v>
      </c>
      <c r="F49" t="s">
        <v>535</v>
      </c>
      <c r="G49" t="s">
        <v>346</v>
      </c>
      <c r="H49" t="s">
        <v>26</v>
      </c>
      <c r="I49" t="s">
        <v>536</v>
      </c>
      <c r="L49" s="3">
        <v>45750</v>
      </c>
      <c r="M49">
        <v>0</v>
      </c>
    </row>
    <row r="50" spans="1:13" x14ac:dyDescent="0.4">
      <c r="A50" s="2">
        <v>45741.346134259256</v>
      </c>
      <c r="B50" t="s">
        <v>222</v>
      </c>
      <c r="C50" t="s">
        <v>655</v>
      </c>
      <c r="D50" t="s">
        <v>215</v>
      </c>
      <c r="E50" s="3">
        <v>27552</v>
      </c>
      <c r="F50" t="s">
        <v>656</v>
      </c>
      <c r="G50" t="s">
        <v>216</v>
      </c>
      <c r="H50" t="s">
        <v>19</v>
      </c>
      <c r="K50" t="s">
        <v>657</v>
      </c>
      <c r="L50" s="3">
        <v>45750</v>
      </c>
      <c r="M50">
        <v>0</v>
      </c>
    </row>
    <row r="51" spans="1:13" x14ac:dyDescent="0.4">
      <c r="A51" s="2">
        <v>45748.792754629627</v>
      </c>
      <c r="B51" t="s">
        <v>309</v>
      </c>
      <c r="C51" t="s">
        <v>310</v>
      </c>
      <c r="D51" t="s">
        <v>311</v>
      </c>
      <c r="E51" s="3">
        <v>26889</v>
      </c>
      <c r="F51" t="s">
        <v>686</v>
      </c>
      <c r="G51" t="s">
        <v>305</v>
      </c>
      <c r="H51" t="s">
        <v>19</v>
      </c>
      <c r="K51" t="s">
        <v>663</v>
      </c>
      <c r="L51" s="3">
        <v>45750</v>
      </c>
      <c r="M51">
        <v>0</v>
      </c>
    </row>
    <row r="52" spans="1:13" x14ac:dyDescent="0.4">
      <c r="A52" s="2">
        <v>45747.427453703705</v>
      </c>
      <c r="B52" t="s">
        <v>537</v>
      </c>
      <c r="C52" t="s">
        <v>330</v>
      </c>
      <c r="D52" t="s">
        <v>331</v>
      </c>
      <c r="E52" s="3">
        <v>29106</v>
      </c>
      <c r="F52" t="s">
        <v>544</v>
      </c>
      <c r="G52" t="s">
        <v>328</v>
      </c>
      <c r="H52" t="s">
        <v>26</v>
      </c>
      <c r="I52" t="s">
        <v>540</v>
      </c>
      <c r="L52" s="3">
        <v>45750</v>
      </c>
      <c r="M52">
        <v>0</v>
      </c>
    </row>
    <row r="53" spans="1:13" x14ac:dyDescent="0.4">
      <c r="A53" s="2">
        <v>45742.464444444442</v>
      </c>
      <c r="B53" t="s">
        <v>30</v>
      </c>
      <c r="C53" t="s">
        <v>386</v>
      </c>
      <c r="D53" t="s">
        <v>36</v>
      </c>
      <c r="E53" s="3">
        <v>21306</v>
      </c>
      <c r="F53" t="s">
        <v>387</v>
      </c>
      <c r="G53" t="s">
        <v>33</v>
      </c>
      <c r="H53" t="s">
        <v>26</v>
      </c>
      <c r="I53" t="s">
        <v>388</v>
      </c>
      <c r="L53" s="3">
        <v>45749</v>
      </c>
      <c r="M53">
        <v>0</v>
      </c>
    </row>
    <row r="54" spans="1:13" x14ac:dyDescent="0.4">
      <c r="A54" s="2">
        <v>45740.737384259257</v>
      </c>
      <c r="B54" t="s">
        <v>450</v>
      </c>
      <c r="C54" t="s">
        <v>453</v>
      </c>
      <c r="D54" t="s">
        <v>180</v>
      </c>
      <c r="E54" s="3">
        <v>26400</v>
      </c>
      <c r="F54" t="s">
        <v>451</v>
      </c>
      <c r="G54" t="s">
        <v>179</v>
      </c>
      <c r="H54" t="s">
        <v>26</v>
      </c>
      <c r="I54" t="s">
        <v>452</v>
      </c>
      <c r="L54" s="3">
        <v>45749</v>
      </c>
      <c r="M54">
        <v>0</v>
      </c>
    </row>
    <row r="55" spans="1:13" x14ac:dyDescent="0.4">
      <c r="A55" s="2">
        <v>45744.341365740744</v>
      </c>
      <c r="B55" t="s">
        <v>459</v>
      </c>
      <c r="C55" t="s">
        <v>460</v>
      </c>
      <c r="D55" t="s">
        <v>461</v>
      </c>
      <c r="E55" s="3">
        <v>25546</v>
      </c>
      <c r="F55" t="s">
        <v>462</v>
      </c>
      <c r="G55" t="s">
        <v>193</v>
      </c>
      <c r="H55" t="s">
        <v>26</v>
      </c>
      <c r="I55" t="s">
        <v>463</v>
      </c>
      <c r="L55" s="3">
        <v>45750</v>
      </c>
      <c r="M55">
        <v>0</v>
      </c>
    </row>
    <row r="56" spans="1:13" x14ac:dyDescent="0.4">
      <c r="A56" s="2">
        <v>45747.526053240741</v>
      </c>
      <c r="B56" t="s">
        <v>418</v>
      </c>
      <c r="C56" t="s">
        <v>419</v>
      </c>
      <c r="D56" t="s">
        <v>420</v>
      </c>
      <c r="E56" s="3">
        <v>24341</v>
      </c>
      <c r="F56" t="s">
        <v>421</v>
      </c>
      <c r="G56" t="s">
        <v>99</v>
      </c>
      <c r="H56" t="s">
        <v>26</v>
      </c>
      <c r="I56" t="s">
        <v>422</v>
      </c>
      <c r="L56" s="3">
        <v>45749</v>
      </c>
      <c r="M56">
        <v>0</v>
      </c>
    </row>
    <row r="57" spans="1:13" x14ac:dyDescent="0.4">
      <c r="A57" s="2">
        <v>45748.94767361111</v>
      </c>
      <c r="B57" t="s">
        <v>332</v>
      </c>
      <c r="C57" t="s">
        <v>333</v>
      </c>
      <c r="D57" t="s">
        <v>334</v>
      </c>
      <c r="E57" s="3">
        <v>26778</v>
      </c>
      <c r="F57" t="s">
        <v>698</v>
      </c>
      <c r="G57" t="s">
        <v>335</v>
      </c>
      <c r="H57" t="s">
        <v>19</v>
      </c>
      <c r="K57" t="s">
        <v>198</v>
      </c>
      <c r="L57" s="3">
        <v>45750</v>
      </c>
      <c r="M57">
        <v>0</v>
      </c>
    </row>
    <row r="58" spans="1:13" x14ac:dyDescent="0.4">
      <c r="A58" s="2">
        <v>45737.482083333336</v>
      </c>
      <c r="B58" t="s">
        <v>467</v>
      </c>
      <c r="C58" t="s">
        <v>468</v>
      </c>
      <c r="D58" t="s">
        <v>201</v>
      </c>
      <c r="E58" s="3">
        <v>26983</v>
      </c>
      <c r="F58" t="s">
        <v>469</v>
      </c>
      <c r="G58" t="s">
        <v>202</v>
      </c>
      <c r="H58" t="s">
        <v>26</v>
      </c>
      <c r="I58" t="s">
        <v>470</v>
      </c>
      <c r="L58" s="3">
        <v>45750</v>
      </c>
      <c r="M58">
        <v>0</v>
      </c>
    </row>
    <row r="59" spans="1:13" x14ac:dyDescent="0.4">
      <c r="A59" s="2">
        <v>45747.358541666668</v>
      </c>
      <c r="B59" t="s">
        <v>116</v>
      </c>
      <c r="C59" t="s">
        <v>425</v>
      </c>
      <c r="D59" t="s">
        <v>118</v>
      </c>
      <c r="E59" s="3">
        <v>27738</v>
      </c>
      <c r="F59" t="s">
        <v>426</v>
      </c>
      <c r="G59" t="s">
        <v>113</v>
      </c>
      <c r="H59" t="s">
        <v>26</v>
      </c>
      <c r="I59" t="s">
        <v>427</v>
      </c>
      <c r="L59" s="3">
        <v>45749</v>
      </c>
      <c r="M59">
        <v>0</v>
      </c>
    </row>
    <row r="60" spans="1:13" x14ac:dyDescent="0.4">
      <c r="A60" s="2">
        <v>45747.715694444443</v>
      </c>
      <c r="B60" t="s">
        <v>670</v>
      </c>
      <c r="C60" t="s">
        <v>257</v>
      </c>
      <c r="D60" t="s">
        <v>258</v>
      </c>
      <c r="E60" s="3">
        <v>26200</v>
      </c>
      <c r="F60" t="s">
        <v>671</v>
      </c>
      <c r="G60" t="s">
        <v>252</v>
      </c>
      <c r="H60" t="s">
        <v>19</v>
      </c>
      <c r="K60" t="s">
        <v>625</v>
      </c>
      <c r="L60" s="3">
        <v>45750</v>
      </c>
      <c r="M60">
        <v>0</v>
      </c>
    </row>
    <row r="61" spans="1:13" x14ac:dyDescent="0.4">
      <c r="A61" s="2">
        <v>45748.628078703703</v>
      </c>
      <c r="B61" t="s">
        <v>245</v>
      </c>
      <c r="C61" t="s">
        <v>246</v>
      </c>
      <c r="D61" t="s">
        <v>247</v>
      </c>
      <c r="E61" s="3">
        <v>30186</v>
      </c>
      <c r="F61" t="s">
        <v>491</v>
      </c>
      <c r="G61" t="s">
        <v>248</v>
      </c>
      <c r="H61" t="s">
        <v>26</v>
      </c>
      <c r="I61" t="s">
        <v>492</v>
      </c>
      <c r="L61" s="3">
        <v>45750</v>
      </c>
      <c r="M61">
        <v>0</v>
      </c>
    </row>
    <row r="62" spans="1:13" x14ac:dyDescent="0.4">
      <c r="A62" s="2">
        <v>45744.566238425927</v>
      </c>
      <c r="B62" t="s">
        <v>510</v>
      </c>
      <c r="C62" t="s">
        <v>511</v>
      </c>
      <c r="D62" t="s">
        <v>512</v>
      </c>
      <c r="E62" s="3">
        <v>28186</v>
      </c>
      <c r="F62" t="s">
        <v>513</v>
      </c>
      <c r="G62" t="s">
        <v>271</v>
      </c>
      <c r="H62" t="s">
        <v>26</v>
      </c>
      <c r="I62" t="s">
        <v>514</v>
      </c>
      <c r="L62" s="3">
        <v>45750</v>
      </c>
      <c r="M62">
        <v>0</v>
      </c>
    </row>
    <row r="63" spans="1:13" x14ac:dyDescent="0.4">
      <c r="A63" s="2">
        <v>45742.46193287037</v>
      </c>
      <c r="B63" t="s">
        <v>30</v>
      </c>
      <c r="C63" t="s">
        <v>389</v>
      </c>
      <c r="D63" t="s">
        <v>32</v>
      </c>
      <c r="E63" s="3">
        <v>28554</v>
      </c>
      <c r="F63" t="s">
        <v>390</v>
      </c>
      <c r="G63" t="s">
        <v>33</v>
      </c>
      <c r="H63" t="s">
        <v>26</v>
      </c>
      <c r="I63" t="s">
        <v>391</v>
      </c>
      <c r="J63" t="s">
        <v>392</v>
      </c>
      <c r="L63" s="3">
        <v>45749</v>
      </c>
      <c r="M63">
        <v>0</v>
      </c>
    </row>
    <row r="64" spans="1:13" x14ac:dyDescent="0.4">
      <c r="A64" s="2">
        <v>45737.567407407405</v>
      </c>
      <c r="B64" t="s">
        <v>71</v>
      </c>
      <c r="C64" t="s">
        <v>72</v>
      </c>
      <c r="D64" t="s">
        <v>73</v>
      </c>
      <c r="E64" s="3">
        <v>28159</v>
      </c>
      <c r="F64" t="s">
        <v>406</v>
      </c>
      <c r="G64" t="s">
        <v>64</v>
      </c>
      <c r="H64" t="s">
        <v>26</v>
      </c>
      <c r="I64" t="s">
        <v>407</v>
      </c>
      <c r="L64" s="3">
        <v>45749</v>
      </c>
      <c r="M64">
        <v>0</v>
      </c>
    </row>
    <row r="65" spans="1:13" x14ac:dyDescent="0.4">
      <c r="A65" s="2">
        <v>45740.734733796293</v>
      </c>
      <c r="B65" t="s">
        <v>176</v>
      </c>
      <c r="C65" t="s">
        <v>447</v>
      </c>
      <c r="D65" t="s">
        <v>178</v>
      </c>
      <c r="E65" s="3">
        <v>28370</v>
      </c>
      <c r="F65" t="s">
        <v>448</v>
      </c>
      <c r="G65" t="s">
        <v>179</v>
      </c>
      <c r="H65" t="s">
        <v>26</v>
      </c>
      <c r="I65" t="s">
        <v>449</v>
      </c>
      <c r="L65" s="3">
        <v>45749</v>
      </c>
      <c r="M65">
        <v>0</v>
      </c>
    </row>
    <row r="66" spans="1:13" x14ac:dyDescent="0.4">
      <c r="A66" s="2">
        <v>45734.426018518519</v>
      </c>
      <c r="B66" t="s">
        <v>444</v>
      </c>
      <c r="C66" t="s">
        <v>168</v>
      </c>
      <c r="D66" t="s">
        <v>169</v>
      </c>
      <c r="E66" s="3">
        <v>27677</v>
      </c>
      <c r="F66" t="s">
        <v>445</v>
      </c>
      <c r="G66" t="s">
        <v>166</v>
      </c>
      <c r="H66" t="s">
        <v>26</v>
      </c>
      <c r="I66" t="s">
        <v>446</v>
      </c>
      <c r="L66" s="3">
        <v>45749</v>
      </c>
      <c r="M66">
        <v>0</v>
      </c>
    </row>
    <row r="67" spans="1:13" x14ac:dyDescent="0.4">
      <c r="A67" s="2">
        <v>45737.483912037038</v>
      </c>
      <c r="B67" t="s">
        <v>467</v>
      </c>
      <c r="C67" t="s">
        <v>649</v>
      </c>
      <c r="D67" t="s">
        <v>205</v>
      </c>
      <c r="E67" s="3">
        <v>28418</v>
      </c>
      <c r="F67" t="s">
        <v>650</v>
      </c>
      <c r="G67" t="s">
        <v>202</v>
      </c>
      <c r="H67" t="s">
        <v>19</v>
      </c>
      <c r="K67" t="s">
        <v>651</v>
      </c>
      <c r="L67" s="3">
        <v>45750</v>
      </c>
      <c r="M67">
        <v>0</v>
      </c>
    </row>
    <row r="68" spans="1:13" x14ac:dyDescent="0.4">
      <c r="A68" s="2">
        <v>45743.31354166667</v>
      </c>
      <c r="B68" t="s">
        <v>137</v>
      </c>
      <c r="C68" t="s">
        <v>637</v>
      </c>
      <c r="D68" t="s">
        <v>139</v>
      </c>
      <c r="E68" s="3">
        <v>27034</v>
      </c>
      <c r="F68" t="s">
        <v>638</v>
      </c>
      <c r="G68" t="s">
        <v>127</v>
      </c>
      <c r="H68" t="s">
        <v>19</v>
      </c>
      <c r="K68" t="s">
        <v>625</v>
      </c>
      <c r="L68" s="3">
        <v>45749</v>
      </c>
      <c r="M68">
        <v>0</v>
      </c>
    </row>
    <row r="69" spans="1:13" x14ac:dyDescent="0.4">
      <c r="A69" s="2">
        <v>45741.437962962962</v>
      </c>
      <c r="B69" t="s">
        <v>27</v>
      </c>
      <c r="C69" t="s">
        <v>28</v>
      </c>
      <c r="D69" t="s">
        <v>29</v>
      </c>
      <c r="E69" s="3">
        <v>28265</v>
      </c>
      <c r="F69" t="s">
        <v>622</v>
      </c>
      <c r="G69" t="s">
        <v>18</v>
      </c>
      <c r="H69" t="s">
        <v>19</v>
      </c>
      <c r="K69" t="s">
        <v>623</v>
      </c>
      <c r="L69" s="3">
        <v>45749</v>
      </c>
      <c r="M69">
        <v>0</v>
      </c>
    </row>
    <row r="70" spans="1:13" x14ac:dyDescent="0.4">
      <c r="A70" s="2">
        <v>45741.400567129633</v>
      </c>
      <c r="B70" t="s">
        <v>234</v>
      </c>
      <c r="C70" t="s">
        <v>235</v>
      </c>
      <c r="D70" t="s">
        <v>236</v>
      </c>
      <c r="E70" s="3">
        <v>24181</v>
      </c>
      <c r="F70" t="s">
        <v>659</v>
      </c>
      <c r="G70" t="s">
        <v>233</v>
      </c>
      <c r="H70" t="s">
        <v>19</v>
      </c>
      <c r="K70" t="s">
        <v>114</v>
      </c>
      <c r="L70" s="3">
        <v>45750</v>
      </c>
      <c r="M70">
        <v>0</v>
      </c>
    </row>
    <row r="71" spans="1:13" x14ac:dyDescent="0.4">
      <c r="A71" s="2">
        <v>45737.493657407409</v>
      </c>
      <c r="B71" t="s">
        <v>74</v>
      </c>
      <c r="C71" t="s">
        <v>75</v>
      </c>
      <c r="D71" t="s">
        <v>76</v>
      </c>
      <c r="E71" s="3">
        <v>29349</v>
      </c>
      <c r="F71" t="s">
        <v>631</v>
      </c>
      <c r="G71" t="s">
        <v>77</v>
      </c>
      <c r="H71" t="s">
        <v>19</v>
      </c>
      <c r="K71" t="s">
        <v>198</v>
      </c>
      <c r="L71" s="3">
        <v>45749</v>
      </c>
      <c r="M71">
        <v>0</v>
      </c>
    </row>
    <row r="72" spans="1:13" x14ac:dyDescent="0.4">
      <c r="A72" s="2">
        <v>45734.488078703704</v>
      </c>
      <c r="B72" t="s">
        <v>268</v>
      </c>
      <c r="C72" t="s">
        <v>269</v>
      </c>
      <c r="D72" t="s">
        <v>270</v>
      </c>
      <c r="E72" s="3">
        <v>28948</v>
      </c>
      <c r="F72" t="s">
        <v>508</v>
      </c>
      <c r="G72" t="s">
        <v>271</v>
      </c>
      <c r="H72" t="s">
        <v>26</v>
      </c>
      <c r="I72" t="s">
        <v>509</v>
      </c>
      <c r="L72" s="3">
        <v>45750</v>
      </c>
      <c r="M72">
        <v>0</v>
      </c>
    </row>
    <row r="73" spans="1:13" x14ac:dyDescent="0.4">
      <c r="A73" s="2">
        <v>45748.317523148151</v>
      </c>
      <c r="B73" t="s">
        <v>89</v>
      </c>
      <c r="C73" t="s">
        <v>90</v>
      </c>
      <c r="D73" t="s">
        <v>91</v>
      </c>
      <c r="E73" s="3">
        <v>28648</v>
      </c>
      <c r="F73" t="s">
        <v>413</v>
      </c>
      <c r="G73" t="s">
        <v>92</v>
      </c>
      <c r="H73" t="s">
        <v>26</v>
      </c>
      <c r="I73" t="s">
        <v>414</v>
      </c>
      <c r="J73" t="s">
        <v>415</v>
      </c>
      <c r="L73" s="3">
        <v>45750</v>
      </c>
      <c r="M73">
        <v>0</v>
      </c>
    </row>
    <row r="74" spans="1:13" x14ac:dyDescent="0.4">
      <c r="A74" s="2">
        <v>45743.5465625</v>
      </c>
      <c r="B74" t="s">
        <v>78</v>
      </c>
      <c r="C74" t="s">
        <v>408</v>
      </c>
      <c r="D74" t="s">
        <v>80</v>
      </c>
      <c r="E74" s="3">
        <v>29773</v>
      </c>
      <c r="F74" t="s">
        <v>409</v>
      </c>
      <c r="G74" t="s">
        <v>77</v>
      </c>
      <c r="H74" t="s">
        <v>26</v>
      </c>
      <c r="I74" t="s">
        <v>104</v>
      </c>
      <c r="L74" s="3">
        <v>45749</v>
      </c>
      <c r="M74">
        <v>0</v>
      </c>
    </row>
    <row r="75" spans="1:13" x14ac:dyDescent="0.4">
      <c r="A75" s="2">
        <v>45747.706354166665</v>
      </c>
      <c r="B75" t="s">
        <v>249</v>
      </c>
      <c r="C75" t="s">
        <v>250</v>
      </c>
      <c r="D75" t="s">
        <v>251</v>
      </c>
      <c r="E75" s="3">
        <v>28425</v>
      </c>
      <c r="F75" t="s">
        <v>669</v>
      </c>
      <c r="G75" t="s">
        <v>252</v>
      </c>
      <c r="H75" t="s">
        <v>19</v>
      </c>
      <c r="K75" t="s">
        <v>198</v>
      </c>
      <c r="L75" s="3">
        <v>45750</v>
      </c>
      <c r="M75">
        <v>0</v>
      </c>
    </row>
    <row r="76" spans="1:13" x14ac:dyDescent="0.4">
      <c r="A76" s="2">
        <v>45735.923414351855</v>
      </c>
      <c r="B76" t="s">
        <v>272</v>
      </c>
      <c r="C76" t="s">
        <v>273</v>
      </c>
      <c r="D76" t="s">
        <v>274</v>
      </c>
      <c r="E76" s="3">
        <v>28978</v>
      </c>
      <c r="F76" t="s">
        <v>673</v>
      </c>
      <c r="G76" t="s">
        <v>271</v>
      </c>
      <c r="H76" t="s">
        <v>19</v>
      </c>
      <c r="K76" t="s">
        <v>198</v>
      </c>
      <c r="L76" s="3">
        <v>45750</v>
      </c>
      <c r="M76">
        <v>0</v>
      </c>
    </row>
    <row r="77" spans="1:13" x14ac:dyDescent="0.4">
      <c r="A77" s="2">
        <v>45740.752465277779</v>
      </c>
      <c r="B77" t="s">
        <v>275</v>
      </c>
      <c r="C77" t="s">
        <v>276</v>
      </c>
      <c r="D77" t="s">
        <v>277</v>
      </c>
      <c r="E77" s="3">
        <v>28940</v>
      </c>
      <c r="F77" t="s">
        <v>672</v>
      </c>
      <c r="G77" t="s">
        <v>271</v>
      </c>
      <c r="H77" t="s">
        <v>19</v>
      </c>
      <c r="K77" t="s">
        <v>663</v>
      </c>
      <c r="L77" s="3">
        <v>45750</v>
      </c>
      <c r="M77">
        <v>0</v>
      </c>
    </row>
    <row r="78" spans="1:13" x14ac:dyDescent="0.4">
      <c r="A78" s="2">
        <v>45741.498553240737</v>
      </c>
      <c r="B78" t="s">
        <v>525</v>
      </c>
      <c r="C78" t="s">
        <v>526</v>
      </c>
      <c r="D78" t="s">
        <v>527</v>
      </c>
      <c r="E78" s="3">
        <v>28089</v>
      </c>
      <c r="F78" t="s">
        <v>528</v>
      </c>
      <c r="G78" t="s">
        <v>305</v>
      </c>
      <c r="H78" t="s">
        <v>26</v>
      </c>
      <c r="I78" t="s">
        <v>529</v>
      </c>
      <c r="L78" s="3">
        <v>45750</v>
      </c>
      <c r="M78">
        <v>0</v>
      </c>
    </row>
    <row r="79" spans="1:13" x14ac:dyDescent="0.4">
      <c r="A79" s="2">
        <v>45743.40865740741</v>
      </c>
      <c r="B79" t="s">
        <v>545</v>
      </c>
      <c r="C79" t="s">
        <v>546</v>
      </c>
      <c r="D79" t="s">
        <v>547</v>
      </c>
      <c r="E79" s="3">
        <v>29246</v>
      </c>
      <c r="F79" t="s">
        <v>548</v>
      </c>
      <c r="G79" t="s">
        <v>328</v>
      </c>
      <c r="H79" t="s">
        <v>26</v>
      </c>
      <c r="I79" t="s">
        <v>549</v>
      </c>
      <c r="L79" s="3">
        <v>45750</v>
      </c>
      <c r="M79">
        <v>0</v>
      </c>
    </row>
    <row r="80" spans="1:13" x14ac:dyDescent="0.4">
      <c r="A80" s="2">
        <v>45742.437962962962</v>
      </c>
      <c r="B80" t="s">
        <v>474</v>
      </c>
      <c r="C80" t="s">
        <v>207</v>
      </c>
      <c r="D80" t="s">
        <v>208</v>
      </c>
      <c r="E80" s="3">
        <v>29858</v>
      </c>
      <c r="F80" t="s">
        <v>475</v>
      </c>
      <c r="G80" t="s">
        <v>209</v>
      </c>
      <c r="H80" t="s">
        <v>26</v>
      </c>
      <c r="I80" t="s">
        <v>476</v>
      </c>
      <c r="L80" s="3">
        <v>45750</v>
      </c>
      <c r="M80">
        <v>0</v>
      </c>
    </row>
    <row r="81" spans="1:13" x14ac:dyDescent="0.4">
      <c r="A81" s="2">
        <v>45748.454884259256</v>
      </c>
      <c r="B81" t="s">
        <v>48</v>
      </c>
      <c r="C81" t="s">
        <v>49</v>
      </c>
      <c r="D81" t="s">
        <v>50</v>
      </c>
      <c r="E81" s="3">
        <v>29554</v>
      </c>
      <c r="F81" t="s">
        <v>400</v>
      </c>
      <c r="G81" t="s">
        <v>47</v>
      </c>
      <c r="H81" t="s">
        <v>26</v>
      </c>
      <c r="I81" t="s">
        <v>401</v>
      </c>
      <c r="L81" s="3">
        <v>45749</v>
      </c>
      <c r="M81">
        <v>0</v>
      </c>
    </row>
    <row r="82" spans="1:13" x14ac:dyDescent="0.4">
      <c r="A82" s="2">
        <v>45748.967488425929</v>
      </c>
      <c r="B82" t="s">
        <v>306</v>
      </c>
      <c r="C82" t="s">
        <v>307</v>
      </c>
      <c r="D82" t="s">
        <v>308</v>
      </c>
      <c r="E82" s="3">
        <v>23638</v>
      </c>
      <c r="F82" t="s">
        <v>687</v>
      </c>
      <c r="G82" t="s">
        <v>305</v>
      </c>
      <c r="H82" t="s">
        <v>19</v>
      </c>
      <c r="K82" t="s">
        <v>688</v>
      </c>
      <c r="L82" s="3">
        <v>45750</v>
      </c>
      <c r="M82">
        <v>0</v>
      </c>
    </row>
    <row r="83" spans="1:13" x14ac:dyDescent="0.4">
      <c r="A83" s="2">
        <v>45740.818958333337</v>
      </c>
      <c r="B83" t="s">
        <v>354</v>
      </c>
      <c r="C83" t="s">
        <v>355</v>
      </c>
      <c r="D83" t="s">
        <v>356</v>
      </c>
      <c r="E83" s="3">
        <v>29058</v>
      </c>
      <c r="F83" t="s">
        <v>679</v>
      </c>
      <c r="G83" t="s">
        <v>357</v>
      </c>
      <c r="H83" t="s">
        <v>19</v>
      </c>
      <c r="K83" t="s">
        <v>680</v>
      </c>
      <c r="L83" s="3">
        <v>45750</v>
      </c>
      <c r="M83">
        <v>0</v>
      </c>
    </row>
    <row r="84" spans="1:13" x14ac:dyDescent="0.4">
      <c r="A84" s="2">
        <v>45747.474259259259</v>
      </c>
      <c r="B84" t="s">
        <v>493</v>
      </c>
      <c r="C84" t="s">
        <v>494</v>
      </c>
      <c r="D84" t="s">
        <v>495</v>
      </c>
      <c r="E84" s="3">
        <v>30195</v>
      </c>
      <c r="F84" t="s">
        <v>496</v>
      </c>
      <c r="G84" t="s">
        <v>252</v>
      </c>
      <c r="H84" t="s">
        <v>26</v>
      </c>
      <c r="I84" t="s">
        <v>497</v>
      </c>
      <c r="J84" t="s">
        <v>498</v>
      </c>
      <c r="L84" s="3">
        <v>45750</v>
      </c>
      <c r="M84">
        <v>0</v>
      </c>
    </row>
    <row r="85" spans="1:13" x14ac:dyDescent="0.4">
      <c r="A85" s="2">
        <v>45737.472974537035</v>
      </c>
      <c r="B85" t="s">
        <v>372</v>
      </c>
      <c r="C85" t="s">
        <v>373</v>
      </c>
      <c r="D85" t="s">
        <v>374</v>
      </c>
      <c r="E85" s="3">
        <v>29703</v>
      </c>
      <c r="F85" t="s">
        <v>375</v>
      </c>
      <c r="G85" t="s">
        <v>18</v>
      </c>
      <c r="H85" t="s">
        <v>26</v>
      </c>
      <c r="I85" t="s">
        <v>376</v>
      </c>
      <c r="J85" t="s">
        <v>377</v>
      </c>
      <c r="L85" s="3">
        <v>45749</v>
      </c>
      <c r="M85">
        <v>0</v>
      </c>
    </row>
    <row r="86" spans="1:13" x14ac:dyDescent="0.4">
      <c r="A86" s="2">
        <v>45735.742986111109</v>
      </c>
      <c r="B86" t="s">
        <v>253</v>
      </c>
      <c r="C86" t="s">
        <v>254</v>
      </c>
      <c r="D86" t="s">
        <v>255</v>
      </c>
      <c r="E86" s="3">
        <v>30017</v>
      </c>
      <c r="F86" t="s">
        <v>499</v>
      </c>
      <c r="G86" t="s">
        <v>252</v>
      </c>
      <c r="H86" t="s">
        <v>26</v>
      </c>
      <c r="I86" t="s">
        <v>500</v>
      </c>
      <c r="L86" s="3">
        <v>45750</v>
      </c>
      <c r="M86">
        <v>0</v>
      </c>
    </row>
    <row r="87" spans="1:13" x14ac:dyDescent="0.4">
      <c r="A87" s="2">
        <v>45733.695856481485</v>
      </c>
      <c r="B87" t="s">
        <v>681</v>
      </c>
      <c r="C87" t="s">
        <v>682</v>
      </c>
      <c r="D87" t="s">
        <v>683</v>
      </c>
      <c r="E87" s="3">
        <v>30068</v>
      </c>
      <c r="F87" t="s">
        <v>684</v>
      </c>
      <c r="G87" t="s">
        <v>298</v>
      </c>
      <c r="H87" t="s">
        <v>19</v>
      </c>
      <c r="K87" t="s">
        <v>685</v>
      </c>
      <c r="L87" s="3">
        <v>45750</v>
      </c>
      <c r="M87">
        <v>0</v>
      </c>
    </row>
    <row r="88" spans="1:13" x14ac:dyDescent="0.4">
      <c r="A88" s="2">
        <v>45735.863229166665</v>
      </c>
      <c r="B88" t="s">
        <v>674</v>
      </c>
      <c r="C88" t="s">
        <v>675</v>
      </c>
      <c r="D88" t="s">
        <v>676</v>
      </c>
      <c r="E88" s="3">
        <v>30230</v>
      </c>
      <c r="F88" t="s">
        <v>677</v>
      </c>
      <c r="G88" t="s">
        <v>271</v>
      </c>
      <c r="H88" t="s">
        <v>19</v>
      </c>
      <c r="K88" t="s">
        <v>678</v>
      </c>
      <c r="L88" s="3">
        <v>45750</v>
      </c>
      <c r="M88">
        <v>0</v>
      </c>
    </row>
    <row r="89" spans="1:13" x14ac:dyDescent="0.4">
      <c r="A89" s="2">
        <v>45747.40829861111</v>
      </c>
      <c r="B89" t="s">
        <v>626</v>
      </c>
      <c r="C89" t="s">
        <v>15</v>
      </c>
      <c r="D89" t="s">
        <v>16</v>
      </c>
      <c r="E89" s="3">
        <v>29614</v>
      </c>
      <c r="F89" t="s">
        <v>627</v>
      </c>
      <c r="G89" t="s">
        <v>18</v>
      </c>
      <c r="H89" t="s">
        <v>19</v>
      </c>
      <c r="K89" t="s">
        <v>507</v>
      </c>
      <c r="L89" s="3">
        <v>45749</v>
      </c>
      <c r="M89">
        <v>0</v>
      </c>
    </row>
    <row r="90" spans="1:13" x14ac:dyDescent="0.4">
      <c r="A90" s="2">
        <v>45747.413784722223</v>
      </c>
      <c r="B90" t="s">
        <v>106</v>
      </c>
      <c r="C90" t="s">
        <v>107</v>
      </c>
      <c r="D90" t="s">
        <v>108</v>
      </c>
      <c r="E90" s="3">
        <v>30821</v>
      </c>
      <c r="F90" t="s">
        <v>423</v>
      </c>
      <c r="G90" t="s">
        <v>109</v>
      </c>
      <c r="H90" t="s">
        <v>26</v>
      </c>
      <c r="I90" t="s">
        <v>424</v>
      </c>
      <c r="L90" s="3">
        <v>45749</v>
      </c>
      <c r="M90">
        <v>0</v>
      </c>
    </row>
    <row r="91" spans="1:13" x14ac:dyDescent="0.4">
      <c r="A91" s="2">
        <v>45749.69153935185</v>
      </c>
      <c r="B91" t="s">
        <v>693</v>
      </c>
      <c r="C91" t="s">
        <v>694</v>
      </c>
      <c r="D91" t="s">
        <v>350</v>
      </c>
      <c r="E91" s="3">
        <v>30330</v>
      </c>
      <c r="F91" t="s">
        <v>695</v>
      </c>
      <c r="G91" t="s">
        <v>346</v>
      </c>
      <c r="H91" t="s">
        <v>19</v>
      </c>
      <c r="K91" t="s">
        <v>680</v>
      </c>
      <c r="L91" s="3">
        <v>45750</v>
      </c>
      <c r="M91">
        <v>0</v>
      </c>
    </row>
    <row r="92" spans="1:13" x14ac:dyDescent="0.4">
      <c r="A92" s="2"/>
      <c r="E92" s="3"/>
      <c r="L92" s="3"/>
    </row>
    <row r="93" spans="1:13" s="5" customFormat="1" x14ac:dyDescent="0.4">
      <c r="A93" s="4">
        <v>45734.352106481485</v>
      </c>
      <c r="B93" s="5" t="s">
        <v>483</v>
      </c>
      <c r="C93" s="5" t="s">
        <v>243</v>
      </c>
      <c r="D93" s="5" t="s">
        <v>244</v>
      </c>
      <c r="E93" s="6">
        <v>34586</v>
      </c>
      <c r="F93" s="5" t="s">
        <v>484</v>
      </c>
      <c r="G93" s="5" t="s">
        <v>233</v>
      </c>
      <c r="H93" s="5" t="s">
        <v>26</v>
      </c>
      <c r="I93" s="5" t="s">
        <v>485</v>
      </c>
      <c r="J93" s="5" t="s">
        <v>486</v>
      </c>
      <c r="L93" s="6">
        <v>45750</v>
      </c>
      <c r="M93" s="5">
        <v>1</v>
      </c>
    </row>
    <row r="94" spans="1:13" s="5" customFormat="1" x14ac:dyDescent="0.4">
      <c r="A94" s="4">
        <v>45740.743414351855</v>
      </c>
      <c r="B94" s="5" t="s">
        <v>450</v>
      </c>
      <c r="C94" s="5" t="s">
        <v>619</v>
      </c>
      <c r="D94" s="5" t="s">
        <v>180</v>
      </c>
      <c r="E94" s="6">
        <v>26400</v>
      </c>
      <c r="F94" s="5" t="s">
        <v>451</v>
      </c>
      <c r="G94" s="5" t="s">
        <v>179</v>
      </c>
      <c r="H94" s="5" t="s">
        <v>26</v>
      </c>
      <c r="I94" s="5" t="s">
        <v>452</v>
      </c>
      <c r="L94" s="6">
        <v>45749</v>
      </c>
      <c r="M94" s="5">
        <v>1</v>
      </c>
    </row>
    <row r="95" spans="1:13" s="5" customFormat="1" x14ac:dyDescent="0.4">
      <c r="A95" s="4">
        <v>45748.586180555554</v>
      </c>
      <c r="B95" s="5" t="s">
        <v>620</v>
      </c>
      <c r="C95" s="5" t="s">
        <v>621</v>
      </c>
      <c r="D95" s="5" t="s">
        <v>247</v>
      </c>
      <c r="E95" s="6">
        <v>30186</v>
      </c>
      <c r="F95" s="5" t="s">
        <v>491</v>
      </c>
      <c r="G95" s="5" t="s">
        <v>248</v>
      </c>
      <c r="H95" s="5" t="s">
        <v>26</v>
      </c>
      <c r="I95" s="5" t="s">
        <v>492</v>
      </c>
      <c r="L95" s="6">
        <v>45750</v>
      </c>
      <c r="M95" s="5">
        <v>1</v>
      </c>
    </row>
  </sheetData>
  <sortState xmlns:xlrd2="http://schemas.microsoft.com/office/spreadsheetml/2017/richdata2" ref="A2:M163">
    <sortCondition ref="M2:M163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E1E6-60C0-4906-91A7-2E778DC60ABE}">
  <dimension ref="A1:N110"/>
  <sheetViews>
    <sheetView topLeftCell="I90" workbookViewId="0">
      <selection activeCell="M112" sqref="M112"/>
    </sheetView>
  </sheetViews>
  <sheetFormatPr defaultRowHeight="19.5" x14ac:dyDescent="0.4"/>
  <cols>
    <col min="1" max="1" width="5" bestFit="1" customWidth="1"/>
    <col min="2" max="2" width="15.25" bestFit="1" customWidth="1"/>
    <col min="3" max="3" width="42.375" bestFit="1" customWidth="1"/>
    <col min="4" max="4" width="37" bestFit="1" customWidth="1"/>
    <col min="5" max="5" width="13.625" bestFit="1" customWidth="1"/>
    <col min="6" max="6" width="10.125" bestFit="1" customWidth="1"/>
    <col min="7" max="7" width="13.875" bestFit="1" customWidth="1"/>
    <col min="8" max="8" width="20.375" bestFit="1" customWidth="1"/>
    <col min="9" max="9" width="15.125" bestFit="1" customWidth="1"/>
    <col min="10" max="10" width="67.25" bestFit="1" customWidth="1"/>
    <col min="11" max="11" width="114" bestFit="1" customWidth="1"/>
    <col min="12" max="12" width="8.5" bestFit="1" customWidth="1"/>
    <col min="13" max="13" width="15.25" bestFit="1" customWidth="1"/>
  </cols>
  <sheetData>
    <row r="1" spans="1:14" s="1" customFormat="1" ht="33" customHeight="1" x14ac:dyDescent="0.4">
      <c r="A1" s="1" t="s">
        <v>370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371</v>
      </c>
    </row>
    <row r="2" spans="1:14" x14ac:dyDescent="0.4">
      <c r="A2" t="s">
        <v>703</v>
      </c>
      <c r="B2" s="2">
        <v>45742.686342592591</v>
      </c>
      <c r="C2" t="s">
        <v>634</v>
      </c>
      <c r="D2" t="s">
        <v>141</v>
      </c>
      <c r="E2" t="s">
        <v>142</v>
      </c>
      <c r="F2" s="3">
        <v>30191</v>
      </c>
      <c r="G2" t="s">
        <v>635</v>
      </c>
      <c r="H2" t="s">
        <v>127</v>
      </c>
      <c r="I2" t="s">
        <v>19</v>
      </c>
      <c r="L2" t="s">
        <v>636</v>
      </c>
      <c r="M2" s="3">
        <v>45749</v>
      </c>
    </row>
    <row r="3" spans="1:14" x14ac:dyDescent="0.4">
      <c r="A3" t="s">
        <v>703</v>
      </c>
      <c r="B3" s="2">
        <v>45744.33798611111</v>
      </c>
      <c r="C3" t="s">
        <v>190</v>
      </c>
      <c r="D3" t="s">
        <v>464</v>
      </c>
      <c r="E3" t="s">
        <v>192</v>
      </c>
      <c r="F3" s="3">
        <v>30671</v>
      </c>
      <c r="G3" t="s">
        <v>465</v>
      </c>
      <c r="H3" t="s">
        <v>193</v>
      </c>
      <c r="I3" t="s">
        <v>26</v>
      </c>
      <c r="J3" t="s">
        <v>466</v>
      </c>
      <c r="M3" s="3">
        <v>45750</v>
      </c>
    </row>
    <row r="4" spans="1:14" x14ac:dyDescent="0.4">
      <c r="A4" t="s">
        <v>704</v>
      </c>
      <c r="B4" s="8">
        <v>45749.405601851853</v>
      </c>
      <c r="C4" s="9" t="s">
        <v>84</v>
      </c>
      <c r="D4" s="9" t="s">
        <v>85</v>
      </c>
      <c r="E4" s="9" t="s">
        <v>86</v>
      </c>
      <c r="F4" s="10">
        <v>30697</v>
      </c>
      <c r="G4" s="9" t="s">
        <v>87</v>
      </c>
      <c r="H4" s="9" t="s">
        <v>77</v>
      </c>
      <c r="I4" s="9" t="s">
        <v>26</v>
      </c>
      <c r="J4" s="9" t="s">
        <v>88</v>
      </c>
      <c r="K4" s="9"/>
      <c r="L4" s="9"/>
      <c r="M4" s="3">
        <f>+B4</f>
        <v>45749.405601851853</v>
      </c>
      <c r="N4" s="9" t="s">
        <v>26</v>
      </c>
    </row>
    <row r="5" spans="1:14" x14ac:dyDescent="0.4">
      <c r="A5" t="s">
        <v>703</v>
      </c>
      <c r="B5" s="2">
        <v>45748.437592592592</v>
      </c>
      <c r="C5" t="s">
        <v>41</v>
      </c>
      <c r="D5" t="s">
        <v>42</v>
      </c>
      <c r="E5" t="s">
        <v>43</v>
      </c>
      <c r="F5" s="3">
        <v>30850</v>
      </c>
      <c r="G5" t="s">
        <v>393</v>
      </c>
      <c r="H5" t="s">
        <v>40</v>
      </c>
      <c r="I5" t="s">
        <v>26</v>
      </c>
      <c r="J5" t="s">
        <v>394</v>
      </c>
      <c r="M5" s="3">
        <v>45749</v>
      </c>
    </row>
    <row r="6" spans="1:14" x14ac:dyDescent="0.4">
      <c r="A6" t="s">
        <v>703</v>
      </c>
      <c r="B6" s="2">
        <v>45743.476180555554</v>
      </c>
      <c r="C6" t="s">
        <v>322</v>
      </c>
      <c r="D6" t="s">
        <v>323</v>
      </c>
      <c r="E6" t="s">
        <v>324</v>
      </c>
      <c r="F6" s="3">
        <v>31173</v>
      </c>
      <c r="G6" t="s">
        <v>689</v>
      </c>
      <c r="H6" t="s">
        <v>315</v>
      </c>
      <c r="I6" t="s">
        <v>19</v>
      </c>
      <c r="L6" t="s">
        <v>690</v>
      </c>
      <c r="M6" s="3">
        <v>45750</v>
      </c>
    </row>
    <row r="7" spans="1:14" x14ac:dyDescent="0.4">
      <c r="A7" t="s">
        <v>703</v>
      </c>
      <c r="B7" s="2">
        <v>45737.487847222219</v>
      </c>
      <c r="C7" t="s">
        <v>467</v>
      </c>
      <c r="D7" t="s">
        <v>652</v>
      </c>
      <c r="E7" t="s">
        <v>653</v>
      </c>
      <c r="F7" s="3">
        <v>31446</v>
      </c>
      <c r="G7" t="s">
        <v>654</v>
      </c>
      <c r="H7" t="s">
        <v>202</v>
      </c>
      <c r="I7" t="s">
        <v>19</v>
      </c>
      <c r="L7" t="s">
        <v>651</v>
      </c>
      <c r="M7" s="3">
        <v>45750</v>
      </c>
    </row>
    <row r="8" spans="1:14" x14ac:dyDescent="0.4">
      <c r="A8" t="s">
        <v>703</v>
      </c>
      <c r="B8" s="2">
        <v>45748.709201388891</v>
      </c>
      <c r="C8" t="s">
        <v>259</v>
      </c>
      <c r="D8" t="s">
        <v>260</v>
      </c>
      <c r="E8" t="s">
        <v>261</v>
      </c>
      <c r="F8" s="3">
        <v>31161</v>
      </c>
      <c r="G8" t="s">
        <v>506</v>
      </c>
      <c r="H8" t="s">
        <v>262</v>
      </c>
      <c r="I8" t="s">
        <v>26</v>
      </c>
      <c r="J8" t="s">
        <v>507</v>
      </c>
      <c r="M8" s="3">
        <v>45750</v>
      </c>
    </row>
    <row r="9" spans="1:14" x14ac:dyDescent="0.4">
      <c r="A9" t="s">
        <v>704</v>
      </c>
      <c r="B9" s="8">
        <v>45750.409826388888</v>
      </c>
      <c r="C9" s="9" t="s">
        <v>263</v>
      </c>
      <c r="D9" s="9" t="s">
        <v>264</v>
      </c>
      <c r="E9" s="9" t="s">
        <v>265</v>
      </c>
      <c r="F9" s="10">
        <v>31509</v>
      </c>
      <c r="G9" s="9" t="s">
        <v>266</v>
      </c>
      <c r="H9" s="9" t="s">
        <v>262</v>
      </c>
      <c r="I9" s="9" t="s">
        <v>19</v>
      </c>
      <c r="J9" s="9"/>
      <c r="K9" s="9"/>
      <c r="L9" s="9" t="s">
        <v>267</v>
      </c>
      <c r="M9" s="3">
        <f>+B9</f>
        <v>45750.409826388888</v>
      </c>
      <c r="N9" s="9" t="s">
        <v>19</v>
      </c>
    </row>
    <row r="10" spans="1:14" x14ac:dyDescent="0.4">
      <c r="A10" t="s">
        <v>703</v>
      </c>
      <c r="B10" s="2">
        <v>45737.401863425926</v>
      </c>
      <c r="C10" t="s">
        <v>65</v>
      </c>
      <c r="D10" t="s">
        <v>66</v>
      </c>
      <c r="E10" t="s">
        <v>67</v>
      </c>
      <c r="F10" s="3">
        <v>31964</v>
      </c>
      <c r="G10" t="s">
        <v>404</v>
      </c>
      <c r="H10" t="s">
        <v>64</v>
      </c>
      <c r="I10" t="s">
        <v>26</v>
      </c>
      <c r="J10" t="s">
        <v>405</v>
      </c>
      <c r="M10" s="3">
        <v>45749</v>
      </c>
    </row>
    <row r="11" spans="1:14" x14ac:dyDescent="0.4">
      <c r="A11" t="s">
        <v>703</v>
      </c>
      <c r="B11" s="2">
        <v>45748.479062500002</v>
      </c>
      <c r="C11" t="s">
        <v>378</v>
      </c>
      <c r="D11" t="s">
        <v>379</v>
      </c>
      <c r="E11" t="s">
        <v>380</v>
      </c>
      <c r="F11" s="3">
        <v>31923</v>
      </c>
      <c r="G11" t="s">
        <v>381</v>
      </c>
      <c r="H11" t="s">
        <v>18</v>
      </c>
      <c r="I11" t="s">
        <v>26</v>
      </c>
      <c r="J11" t="s">
        <v>382</v>
      </c>
      <c r="K11" t="s">
        <v>383</v>
      </c>
      <c r="M11" s="3">
        <v>45749</v>
      </c>
    </row>
    <row r="12" spans="1:14" x14ac:dyDescent="0.4">
      <c r="A12" t="s">
        <v>704</v>
      </c>
      <c r="B12" s="8">
        <v>45749.422500000001</v>
      </c>
      <c r="C12" s="9" t="s">
        <v>285</v>
      </c>
      <c r="D12" s="9" t="s">
        <v>286</v>
      </c>
      <c r="E12" s="9" t="s">
        <v>287</v>
      </c>
      <c r="F12" s="10">
        <v>31200</v>
      </c>
      <c r="G12" s="9" t="s">
        <v>288</v>
      </c>
      <c r="H12" s="9" t="s">
        <v>282</v>
      </c>
      <c r="I12" s="9" t="s">
        <v>26</v>
      </c>
      <c r="J12" s="9" t="s">
        <v>289</v>
      </c>
      <c r="K12" s="9"/>
      <c r="L12" s="9"/>
      <c r="M12" s="3">
        <f>+B12</f>
        <v>45749.422500000001</v>
      </c>
      <c r="N12" s="9" t="s">
        <v>26</v>
      </c>
    </row>
    <row r="13" spans="1:14" x14ac:dyDescent="0.4">
      <c r="A13" t="s">
        <v>703</v>
      </c>
      <c r="B13" s="2">
        <v>45747.428368055553</v>
      </c>
      <c r="C13" t="s">
        <v>537</v>
      </c>
      <c r="D13" t="s">
        <v>541</v>
      </c>
      <c r="E13" t="s">
        <v>327</v>
      </c>
      <c r="F13" s="3">
        <v>31718</v>
      </c>
      <c r="G13" t="s">
        <v>542</v>
      </c>
      <c r="H13" t="s">
        <v>328</v>
      </c>
      <c r="I13" t="s">
        <v>26</v>
      </c>
      <c r="J13" t="s">
        <v>543</v>
      </c>
      <c r="M13" s="3">
        <v>45750</v>
      </c>
    </row>
    <row r="14" spans="1:14" x14ac:dyDescent="0.4">
      <c r="A14" t="s">
        <v>703</v>
      </c>
      <c r="B14" s="2">
        <v>45748.937743055554</v>
      </c>
      <c r="C14" t="s">
        <v>61</v>
      </c>
      <c r="D14" t="s">
        <v>62</v>
      </c>
      <c r="E14" t="s">
        <v>63</v>
      </c>
      <c r="F14" s="3">
        <v>32384</v>
      </c>
      <c r="G14" t="s">
        <v>630</v>
      </c>
      <c r="H14" t="s">
        <v>64</v>
      </c>
      <c r="I14" t="s">
        <v>19</v>
      </c>
      <c r="L14" t="s">
        <v>198</v>
      </c>
      <c r="M14" s="3">
        <v>45749</v>
      </c>
    </row>
    <row r="15" spans="1:14" x14ac:dyDescent="0.4">
      <c r="A15" t="s">
        <v>703</v>
      </c>
      <c r="B15" s="2">
        <v>45748.44730324074</v>
      </c>
      <c r="C15" t="s">
        <v>37</v>
      </c>
      <c r="D15" t="s">
        <v>395</v>
      </c>
      <c r="E15" t="s">
        <v>39</v>
      </c>
      <c r="F15" s="3">
        <v>37344</v>
      </c>
      <c r="G15" t="s">
        <v>396</v>
      </c>
      <c r="H15" t="s">
        <v>40</v>
      </c>
      <c r="I15" t="s">
        <v>26</v>
      </c>
      <c r="J15" t="s">
        <v>397</v>
      </c>
      <c r="M15" s="3">
        <v>45749</v>
      </c>
    </row>
    <row r="16" spans="1:14" x14ac:dyDescent="0.4">
      <c r="A16" t="s">
        <v>704</v>
      </c>
      <c r="B16" s="8">
        <v>45749.463761574072</v>
      </c>
      <c r="C16" s="9" t="s">
        <v>110</v>
      </c>
      <c r="D16" s="9" t="s">
        <v>111</v>
      </c>
      <c r="E16" s="9" t="s">
        <v>112</v>
      </c>
      <c r="F16" s="10">
        <v>31610</v>
      </c>
      <c r="G16" s="9" t="s">
        <v>115</v>
      </c>
      <c r="H16" s="9" t="s">
        <v>113</v>
      </c>
      <c r="I16" s="9" t="s">
        <v>26</v>
      </c>
      <c r="J16" s="9" t="s">
        <v>114</v>
      </c>
      <c r="K16" s="9"/>
      <c r="L16" s="9"/>
      <c r="M16" s="3">
        <f>+B16</f>
        <v>45749.463761574072</v>
      </c>
      <c r="N16" s="9" t="s">
        <v>26</v>
      </c>
    </row>
    <row r="17" spans="1:14" x14ac:dyDescent="0.4">
      <c r="A17" t="s">
        <v>703</v>
      </c>
      <c r="B17" s="2">
        <v>45733.699467592596</v>
      </c>
      <c r="C17" t="s">
        <v>299</v>
      </c>
      <c r="D17" t="s">
        <v>300</v>
      </c>
      <c r="E17" t="s">
        <v>301</v>
      </c>
      <c r="F17" s="3">
        <v>32243</v>
      </c>
      <c r="G17" t="s">
        <v>520</v>
      </c>
      <c r="H17" t="s">
        <v>298</v>
      </c>
      <c r="I17" t="s">
        <v>26</v>
      </c>
      <c r="J17" t="s">
        <v>521</v>
      </c>
      <c r="M17" s="3">
        <v>45750</v>
      </c>
    </row>
    <row r="18" spans="1:14" x14ac:dyDescent="0.4">
      <c r="A18" t="s">
        <v>703</v>
      </c>
      <c r="B18" s="2">
        <v>45734.474374999998</v>
      </c>
      <c r="C18" t="s">
        <v>183</v>
      </c>
      <c r="D18" t="s">
        <v>184</v>
      </c>
      <c r="E18" t="s">
        <v>185</v>
      </c>
      <c r="F18" s="3">
        <v>32021</v>
      </c>
      <c r="G18" t="s">
        <v>457</v>
      </c>
      <c r="H18" t="s">
        <v>186</v>
      </c>
      <c r="I18" t="s">
        <v>26</v>
      </c>
      <c r="J18" t="s">
        <v>458</v>
      </c>
      <c r="M18" s="3">
        <v>45749</v>
      </c>
    </row>
    <row r="19" spans="1:14" x14ac:dyDescent="0.4">
      <c r="A19" t="s">
        <v>704</v>
      </c>
      <c r="B19" s="8">
        <v>45749.424421296295</v>
      </c>
      <c r="C19" s="9" t="s">
        <v>290</v>
      </c>
      <c r="D19" s="9" t="s">
        <v>291</v>
      </c>
      <c r="E19" s="9" t="s">
        <v>292</v>
      </c>
      <c r="F19" s="10">
        <v>31512</v>
      </c>
      <c r="G19" s="9" t="s">
        <v>293</v>
      </c>
      <c r="H19" s="9" t="s">
        <v>282</v>
      </c>
      <c r="I19" s="9" t="s">
        <v>26</v>
      </c>
      <c r="J19" s="9" t="s">
        <v>294</v>
      </c>
      <c r="K19" s="9"/>
      <c r="L19" s="9"/>
      <c r="M19" s="3">
        <f>+B19</f>
        <v>45749.424421296295</v>
      </c>
      <c r="N19" s="9" t="s">
        <v>26</v>
      </c>
    </row>
    <row r="20" spans="1:14" x14ac:dyDescent="0.4">
      <c r="A20" t="s">
        <v>704</v>
      </c>
      <c r="B20" s="8">
        <v>45749.498310185183</v>
      </c>
      <c r="C20" s="9" t="s">
        <v>51</v>
      </c>
      <c r="D20" s="9" t="s">
        <v>52</v>
      </c>
      <c r="E20" s="9" t="s">
        <v>53</v>
      </c>
      <c r="F20" s="10">
        <v>32475</v>
      </c>
      <c r="G20" s="9" t="s">
        <v>55</v>
      </c>
      <c r="H20" s="9" t="s">
        <v>56</v>
      </c>
      <c r="I20" s="9" t="s">
        <v>26</v>
      </c>
      <c r="J20" s="9" t="s">
        <v>57</v>
      </c>
      <c r="K20" s="9"/>
      <c r="L20" s="9"/>
      <c r="M20" s="3">
        <f>+B20</f>
        <v>45749.498310185183</v>
      </c>
      <c r="N20" s="9" t="s">
        <v>26</v>
      </c>
    </row>
    <row r="21" spans="1:14" x14ac:dyDescent="0.4">
      <c r="A21" t="s">
        <v>703</v>
      </c>
      <c r="B21" s="2">
        <v>45747.523310185185</v>
      </c>
      <c r="C21" t="s">
        <v>96</v>
      </c>
      <c r="D21" t="s">
        <v>97</v>
      </c>
      <c r="E21" t="s">
        <v>98</v>
      </c>
      <c r="F21" s="3">
        <v>32514</v>
      </c>
      <c r="G21" t="s">
        <v>632</v>
      </c>
      <c r="H21" t="s">
        <v>99</v>
      </c>
      <c r="I21" t="s">
        <v>19</v>
      </c>
      <c r="L21" t="s">
        <v>633</v>
      </c>
      <c r="M21" s="3">
        <v>45749</v>
      </c>
    </row>
    <row r="22" spans="1:14" x14ac:dyDescent="0.4">
      <c r="A22" t="s">
        <v>703</v>
      </c>
      <c r="B22" s="2">
        <v>45740.699641203704</v>
      </c>
      <c r="C22" t="s">
        <v>664</v>
      </c>
      <c r="D22" t="s">
        <v>665</v>
      </c>
      <c r="E22" t="s">
        <v>666</v>
      </c>
      <c r="F22" s="3">
        <v>32447</v>
      </c>
      <c r="G22" t="s">
        <v>667</v>
      </c>
      <c r="H22" t="s">
        <v>233</v>
      </c>
      <c r="I22" t="s">
        <v>19</v>
      </c>
      <c r="L22" t="s">
        <v>668</v>
      </c>
      <c r="M22" s="3">
        <v>45750</v>
      </c>
    </row>
    <row r="23" spans="1:14" x14ac:dyDescent="0.4">
      <c r="A23" t="s">
        <v>703</v>
      </c>
      <c r="B23" s="2">
        <v>45736.619479166664</v>
      </c>
      <c r="C23" t="s">
        <v>81</v>
      </c>
      <c r="D23" t="s">
        <v>410</v>
      </c>
      <c r="E23" t="s">
        <v>83</v>
      </c>
      <c r="F23" s="3">
        <v>32569</v>
      </c>
      <c r="G23" t="s">
        <v>411</v>
      </c>
      <c r="H23" t="s">
        <v>77</v>
      </c>
      <c r="I23" t="s">
        <v>26</v>
      </c>
      <c r="J23" t="s">
        <v>412</v>
      </c>
      <c r="M23" s="3">
        <v>45749</v>
      </c>
    </row>
    <row r="24" spans="1:14" x14ac:dyDescent="0.4">
      <c r="A24" t="s">
        <v>703</v>
      </c>
      <c r="B24" s="2">
        <v>45749.705590277779</v>
      </c>
      <c r="C24" t="s">
        <v>339</v>
      </c>
      <c r="D24" t="s">
        <v>340</v>
      </c>
      <c r="E24" t="s">
        <v>341</v>
      </c>
      <c r="F24" s="3">
        <v>33019</v>
      </c>
      <c r="G24" t="s">
        <v>696</v>
      </c>
      <c r="H24" t="s">
        <v>346</v>
      </c>
      <c r="I24" t="s">
        <v>19</v>
      </c>
      <c r="L24" t="s">
        <v>697</v>
      </c>
      <c r="M24" s="3">
        <v>45750</v>
      </c>
    </row>
    <row r="25" spans="1:14" x14ac:dyDescent="0.4">
      <c r="A25" t="s">
        <v>703</v>
      </c>
      <c r="B25" s="2">
        <v>45747.402430555558</v>
      </c>
      <c r="C25" t="s">
        <v>319</v>
      </c>
      <c r="D25" t="s">
        <v>532</v>
      </c>
      <c r="E25" t="s">
        <v>321</v>
      </c>
      <c r="F25" s="3">
        <v>32278</v>
      </c>
      <c r="G25" t="s">
        <v>533</v>
      </c>
      <c r="H25" t="s">
        <v>315</v>
      </c>
      <c r="I25" t="s">
        <v>26</v>
      </c>
      <c r="J25" t="s">
        <v>534</v>
      </c>
      <c r="M25" s="3">
        <v>45750</v>
      </c>
    </row>
    <row r="26" spans="1:14" x14ac:dyDescent="0.4">
      <c r="A26" t="s">
        <v>703</v>
      </c>
      <c r="B26" s="2">
        <v>45748.493807870371</v>
      </c>
      <c r="C26" t="s">
        <v>639</v>
      </c>
      <c r="D26" t="s">
        <v>640</v>
      </c>
      <c r="E26" t="s">
        <v>149</v>
      </c>
      <c r="F26" s="3">
        <v>33116</v>
      </c>
      <c r="G26" t="s">
        <v>641</v>
      </c>
      <c r="H26" t="s">
        <v>146</v>
      </c>
      <c r="I26" t="s">
        <v>19</v>
      </c>
      <c r="L26" t="s">
        <v>642</v>
      </c>
      <c r="M26" s="3">
        <v>45749</v>
      </c>
    </row>
    <row r="27" spans="1:14" x14ac:dyDescent="0.4">
      <c r="A27" t="s">
        <v>703</v>
      </c>
      <c r="B27" s="2">
        <v>45747.426168981481</v>
      </c>
      <c r="C27" t="s">
        <v>537</v>
      </c>
      <c r="D27" t="s">
        <v>538</v>
      </c>
      <c r="E27" t="s">
        <v>338</v>
      </c>
      <c r="F27" s="3">
        <v>34041</v>
      </c>
      <c r="G27" t="s">
        <v>539</v>
      </c>
      <c r="H27" t="s">
        <v>328</v>
      </c>
      <c r="I27" t="s">
        <v>26</v>
      </c>
      <c r="J27" t="s">
        <v>540</v>
      </c>
      <c r="M27" s="3">
        <v>45750</v>
      </c>
    </row>
    <row r="28" spans="1:14" x14ac:dyDescent="0.4">
      <c r="A28" t="s">
        <v>703</v>
      </c>
      <c r="B28" s="2">
        <v>45748.437083333331</v>
      </c>
      <c r="C28" t="s">
        <v>159</v>
      </c>
      <c r="D28" t="s">
        <v>436</v>
      </c>
      <c r="E28" t="s">
        <v>161</v>
      </c>
      <c r="F28" s="3">
        <v>34377</v>
      </c>
      <c r="G28" t="s">
        <v>437</v>
      </c>
      <c r="H28" t="s">
        <v>162</v>
      </c>
      <c r="I28" t="s">
        <v>26</v>
      </c>
      <c r="J28" t="s">
        <v>438</v>
      </c>
      <c r="M28" s="3">
        <v>45749</v>
      </c>
    </row>
    <row r="29" spans="1:14" x14ac:dyDescent="0.4">
      <c r="A29" t="s">
        <v>703</v>
      </c>
      <c r="B29" s="2">
        <v>45742.449733796297</v>
      </c>
      <c r="C29" t="s">
        <v>210</v>
      </c>
      <c r="D29" t="s">
        <v>471</v>
      </c>
      <c r="E29" t="s">
        <v>212</v>
      </c>
      <c r="F29" s="3">
        <v>33394</v>
      </c>
      <c r="G29" t="s">
        <v>472</v>
      </c>
      <c r="H29" t="s">
        <v>209</v>
      </c>
      <c r="I29" t="s">
        <v>26</v>
      </c>
      <c r="J29" t="s">
        <v>473</v>
      </c>
      <c r="M29" s="3">
        <v>45750</v>
      </c>
    </row>
    <row r="30" spans="1:14" x14ac:dyDescent="0.4">
      <c r="A30" t="s">
        <v>703</v>
      </c>
      <c r="B30" s="2">
        <v>45742.904652777775</v>
      </c>
      <c r="C30" t="s">
        <v>312</v>
      </c>
      <c r="D30" t="s">
        <v>691</v>
      </c>
      <c r="E30" t="s">
        <v>314</v>
      </c>
      <c r="F30" s="3">
        <v>33417</v>
      </c>
      <c r="G30" t="s">
        <v>692</v>
      </c>
      <c r="H30" t="s">
        <v>315</v>
      </c>
      <c r="I30" t="s">
        <v>19</v>
      </c>
      <c r="L30" t="s">
        <v>198</v>
      </c>
      <c r="M30" s="3">
        <v>45750</v>
      </c>
    </row>
    <row r="31" spans="1:14" x14ac:dyDescent="0.4">
      <c r="A31" t="s">
        <v>704</v>
      </c>
      <c r="B31" s="8">
        <v>45750.543657407405</v>
      </c>
      <c r="C31" s="9" t="s">
        <v>361</v>
      </c>
      <c r="D31" s="9" t="s">
        <v>362</v>
      </c>
      <c r="E31" s="9" t="s">
        <v>363</v>
      </c>
      <c r="F31" s="10">
        <v>34332</v>
      </c>
      <c r="G31" s="9" t="s">
        <v>364</v>
      </c>
      <c r="H31" s="9" t="s">
        <v>357</v>
      </c>
      <c r="I31" s="9" t="s">
        <v>19</v>
      </c>
      <c r="J31" s="9"/>
      <c r="K31" s="9"/>
      <c r="L31" s="9" t="s">
        <v>365</v>
      </c>
      <c r="M31" s="3">
        <f>+B31</f>
        <v>45750.543657407405</v>
      </c>
      <c r="N31" s="9" t="s">
        <v>19</v>
      </c>
    </row>
    <row r="32" spans="1:14" x14ac:dyDescent="0.4">
      <c r="A32" t="s">
        <v>703</v>
      </c>
      <c r="B32" s="2">
        <v>45740.666886574072</v>
      </c>
      <c r="C32" t="s">
        <v>358</v>
      </c>
      <c r="D32" t="s">
        <v>515</v>
      </c>
      <c r="E32" t="s">
        <v>360</v>
      </c>
      <c r="F32" s="3">
        <v>34298</v>
      </c>
      <c r="G32" t="s">
        <v>516</v>
      </c>
      <c r="H32" t="s">
        <v>357</v>
      </c>
      <c r="I32" t="s">
        <v>26</v>
      </c>
      <c r="J32" t="s">
        <v>517</v>
      </c>
      <c r="M32" s="3">
        <v>45750</v>
      </c>
    </row>
    <row r="33" spans="1:14" x14ac:dyDescent="0.4">
      <c r="A33" t="s">
        <v>703</v>
      </c>
      <c r="B33" s="2">
        <v>45733.69332175926</v>
      </c>
      <c r="C33" t="s">
        <v>295</v>
      </c>
      <c r="D33" t="s">
        <v>296</v>
      </c>
      <c r="E33" t="s">
        <v>297</v>
      </c>
      <c r="F33" s="3">
        <v>31113</v>
      </c>
      <c r="G33" t="s">
        <v>518</v>
      </c>
      <c r="H33" t="s">
        <v>298</v>
      </c>
      <c r="I33" t="s">
        <v>26</v>
      </c>
      <c r="J33" t="s">
        <v>519</v>
      </c>
      <c r="M33" s="3">
        <v>45750</v>
      </c>
    </row>
    <row r="34" spans="1:14" x14ac:dyDescent="0.4">
      <c r="A34" t="s">
        <v>704</v>
      </c>
      <c r="B34" s="8">
        <v>45749.496342592596</v>
      </c>
      <c r="C34" s="9" t="s">
        <v>119</v>
      </c>
      <c r="D34" s="9" t="s">
        <v>120</v>
      </c>
      <c r="E34" s="9" t="s">
        <v>121</v>
      </c>
      <c r="F34" s="10">
        <v>34577</v>
      </c>
      <c r="G34" s="9" t="s">
        <v>122</v>
      </c>
      <c r="H34" s="9" t="s">
        <v>113</v>
      </c>
      <c r="I34" s="9" t="s">
        <v>26</v>
      </c>
      <c r="J34" s="9" t="s">
        <v>123</v>
      </c>
      <c r="K34" s="9"/>
      <c r="L34" s="9"/>
      <c r="M34" s="3">
        <f>+B34</f>
        <v>45749.496342592596</v>
      </c>
      <c r="N34" s="9" t="s">
        <v>26</v>
      </c>
    </row>
    <row r="35" spans="1:14" x14ac:dyDescent="0.4">
      <c r="A35" t="s">
        <v>703</v>
      </c>
      <c r="B35" s="2">
        <v>45747.456157407411</v>
      </c>
      <c r="C35" t="s">
        <v>660</v>
      </c>
      <c r="D35" t="s">
        <v>243</v>
      </c>
      <c r="E35" t="s">
        <v>244</v>
      </c>
      <c r="F35" s="3">
        <v>34586</v>
      </c>
      <c r="G35" t="s">
        <v>484</v>
      </c>
      <c r="H35" t="s">
        <v>233</v>
      </c>
      <c r="I35" t="s">
        <v>26</v>
      </c>
      <c r="J35" t="s">
        <v>661</v>
      </c>
      <c r="K35" t="s">
        <v>662</v>
      </c>
      <c r="L35" t="s">
        <v>663</v>
      </c>
      <c r="M35" s="3">
        <v>45750</v>
      </c>
    </row>
    <row r="36" spans="1:14" x14ac:dyDescent="0.4">
      <c r="A36" t="s">
        <v>703</v>
      </c>
      <c r="B36" s="2">
        <v>45748.438148148147</v>
      </c>
      <c r="C36" t="s">
        <v>316</v>
      </c>
      <c r="D36" t="s">
        <v>317</v>
      </c>
      <c r="E36" t="s">
        <v>318</v>
      </c>
      <c r="F36" s="3">
        <v>36520</v>
      </c>
      <c r="G36" t="s">
        <v>530</v>
      </c>
      <c r="H36" t="s">
        <v>315</v>
      </c>
      <c r="I36" t="s">
        <v>26</v>
      </c>
      <c r="J36" t="s">
        <v>531</v>
      </c>
      <c r="M36" s="3">
        <v>45750</v>
      </c>
    </row>
    <row r="37" spans="1:14" x14ac:dyDescent="0.4">
      <c r="A37" t="s">
        <v>703</v>
      </c>
      <c r="B37" s="2">
        <v>45741.448125000003</v>
      </c>
      <c r="C37" t="s">
        <v>222</v>
      </c>
      <c r="D37" t="s">
        <v>228</v>
      </c>
      <c r="E37" t="s">
        <v>229</v>
      </c>
      <c r="F37" s="3">
        <v>23435</v>
      </c>
      <c r="G37" t="s">
        <v>658</v>
      </c>
      <c r="H37" t="s">
        <v>216</v>
      </c>
      <c r="I37" t="s">
        <v>19</v>
      </c>
      <c r="L37" t="s">
        <v>479</v>
      </c>
      <c r="M37" s="3">
        <v>45750</v>
      </c>
    </row>
    <row r="38" spans="1:14" x14ac:dyDescent="0.4">
      <c r="A38" t="s">
        <v>703</v>
      </c>
      <c r="B38" s="2">
        <v>45743.134583333333</v>
      </c>
      <c r="C38" t="s">
        <v>124</v>
      </c>
      <c r="D38" t="s">
        <v>125</v>
      </c>
      <c r="E38" t="s">
        <v>126</v>
      </c>
      <c r="F38" s="3">
        <v>36213</v>
      </c>
      <c r="G38" t="s">
        <v>430</v>
      </c>
      <c r="H38" t="s">
        <v>127</v>
      </c>
      <c r="I38" t="s">
        <v>26</v>
      </c>
      <c r="J38" t="s">
        <v>431</v>
      </c>
      <c r="M38" s="3">
        <v>45749</v>
      </c>
    </row>
    <row r="39" spans="1:14" x14ac:dyDescent="0.4">
      <c r="A39" t="s">
        <v>703</v>
      </c>
      <c r="B39" s="2">
        <v>45734.355000000003</v>
      </c>
      <c r="C39" t="s">
        <v>487</v>
      </c>
      <c r="D39" t="s">
        <v>231</v>
      </c>
      <c r="E39" t="s">
        <v>232</v>
      </c>
      <c r="F39" s="3">
        <v>36339</v>
      </c>
      <c r="G39" t="s">
        <v>488</v>
      </c>
      <c r="H39" t="s">
        <v>233</v>
      </c>
      <c r="I39" t="s">
        <v>26</v>
      </c>
      <c r="J39" t="s">
        <v>489</v>
      </c>
      <c r="K39" t="s">
        <v>490</v>
      </c>
      <c r="M39" s="3">
        <v>45750</v>
      </c>
    </row>
    <row r="40" spans="1:14" x14ac:dyDescent="0.4">
      <c r="A40" t="s">
        <v>703</v>
      </c>
      <c r="B40" s="2">
        <v>45742.395138888889</v>
      </c>
      <c r="C40" t="s">
        <v>134</v>
      </c>
      <c r="D40" t="s">
        <v>135</v>
      </c>
      <c r="E40" t="s">
        <v>136</v>
      </c>
      <c r="F40" s="3">
        <v>36763</v>
      </c>
      <c r="G40" t="s">
        <v>428</v>
      </c>
      <c r="H40" t="s">
        <v>127</v>
      </c>
      <c r="I40" t="s">
        <v>26</v>
      </c>
      <c r="J40" t="s">
        <v>429</v>
      </c>
      <c r="M40" s="3">
        <v>45749</v>
      </c>
    </row>
    <row r="41" spans="1:14" x14ac:dyDescent="0.4">
      <c r="A41" t="s">
        <v>704</v>
      </c>
      <c r="B41" s="8">
        <v>45750.397835648146</v>
      </c>
      <c r="C41" s="9" t="s">
        <v>237</v>
      </c>
      <c r="D41" s="9" t="s">
        <v>238</v>
      </c>
      <c r="E41" s="9" t="s">
        <v>239</v>
      </c>
      <c r="F41" s="10">
        <v>31405</v>
      </c>
      <c r="G41" s="9" t="s">
        <v>240</v>
      </c>
      <c r="H41" s="9" t="s">
        <v>233</v>
      </c>
      <c r="I41" s="9" t="s">
        <v>26</v>
      </c>
      <c r="J41" s="9" t="s">
        <v>241</v>
      </c>
      <c r="K41" s="9"/>
      <c r="L41" s="9"/>
      <c r="M41" s="3">
        <f>+B41</f>
        <v>45750.397835648146</v>
      </c>
      <c r="N41" s="9" t="s">
        <v>26</v>
      </c>
    </row>
    <row r="42" spans="1:14" x14ac:dyDescent="0.4">
      <c r="A42" t="s">
        <v>703</v>
      </c>
      <c r="B42" s="2">
        <v>45740.751585648148</v>
      </c>
      <c r="C42" t="s">
        <v>222</v>
      </c>
      <c r="D42" t="s">
        <v>477</v>
      </c>
      <c r="E42" t="s">
        <v>224</v>
      </c>
      <c r="F42" s="3">
        <v>36569</v>
      </c>
      <c r="G42" t="s">
        <v>478</v>
      </c>
      <c r="H42" t="s">
        <v>216</v>
      </c>
      <c r="I42" t="s">
        <v>26</v>
      </c>
      <c r="J42" t="s">
        <v>479</v>
      </c>
      <c r="M42" s="3">
        <v>45750</v>
      </c>
    </row>
    <row r="43" spans="1:14" x14ac:dyDescent="0.4">
      <c r="A43" t="s">
        <v>704</v>
      </c>
      <c r="B43" s="8">
        <v>45750.399571759262</v>
      </c>
      <c r="C43" s="9" t="s">
        <v>222</v>
      </c>
      <c r="D43" s="9" t="s">
        <v>223</v>
      </c>
      <c r="E43" s="9" t="s">
        <v>224</v>
      </c>
      <c r="F43" s="10">
        <v>36569</v>
      </c>
      <c r="G43" s="9" t="s">
        <v>225</v>
      </c>
      <c r="H43" s="9" t="s">
        <v>216</v>
      </c>
      <c r="I43" s="9" t="s">
        <v>26</v>
      </c>
      <c r="J43" s="9" t="s">
        <v>226</v>
      </c>
      <c r="K43" s="9"/>
      <c r="L43" s="9"/>
      <c r="M43" s="3">
        <f>+B43</f>
        <v>45750.399571759262</v>
      </c>
      <c r="N43" s="9" t="s">
        <v>26</v>
      </c>
    </row>
    <row r="44" spans="1:14" x14ac:dyDescent="0.4">
      <c r="A44" t="s">
        <v>703</v>
      </c>
      <c r="B44" s="2">
        <v>45741.503252314818</v>
      </c>
      <c r="C44" t="s">
        <v>302</v>
      </c>
      <c r="D44" t="s">
        <v>522</v>
      </c>
      <c r="E44" t="s">
        <v>304</v>
      </c>
      <c r="F44" s="3">
        <v>37837</v>
      </c>
      <c r="G44" t="s">
        <v>523</v>
      </c>
      <c r="H44" t="s">
        <v>305</v>
      </c>
      <c r="I44" t="s">
        <v>26</v>
      </c>
      <c r="J44" t="s">
        <v>524</v>
      </c>
      <c r="M44" s="3">
        <v>45750</v>
      </c>
    </row>
    <row r="45" spans="1:14" x14ac:dyDescent="0.4">
      <c r="A45" t="s">
        <v>703</v>
      </c>
      <c r="B45" s="2">
        <v>45747.743032407408</v>
      </c>
      <c r="C45" t="s">
        <v>44</v>
      </c>
      <c r="D45" t="s">
        <v>45</v>
      </c>
      <c r="E45" t="s">
        <v>46</v>
      </c>
      <c r="F45" s="3">
        <v>52961</v>
      </c>
      <c r="G45" t="s">
        <v>398</v>
      </c>
      <c r="H45" t="s">
        <v>47</v>
      </c>
      <c r="I45" t="s">
        <v>26</v>
      </c>
      <c r="J45" t="s">
        <v>399</v>
      </c>
      <c r="M45" s="3">
        <v>45749</v>
      </c>
    </row>
    <row r="46" spans="1:14" x14ac:dyDescent="0.4">
      <c r="A46" t="s">
        <v>703</v>
      </c>
      <c r="B46" s="2">
        <v>45748.325439814813</v>
      </c>
      <c r="C46" t="s">
        <v>93</v>
      </c>
      <c r="D46" t="s">
        <v>94</v>
      </c>
      <c r="E46" t="s">
        <v>95</v>
      </c>
      <c r="F46" s="3">
        <v>22943</v>
      </c>
      <c r="G46" t="s">
        <v>416</v>
      </c>
      <c r="H46" t="s">
        <v>92</v>
      </c>
      <c r="I46" t="s">
        <v>26</v>
      </c>
      <c r="J46" t="s">
        <v>417</v>
      </c>
      <c r="M46" s="3">
        <v>45750</v>
      </c>
    </row>
    <row r="47" spans="1:14" x14ac:dyDescent="0.4">
      <c r="A47" t="s">
        <v>703</v>
      </c>
      <c r="B47" s="2">
        <v>45746.59002314815</v>
      </c>
      <c r="C47" t="s">
        <v>143</v>
      </c>
      <c r="D47" t="s">
        <v>144</v>
      </c>
      <c r="E47" t="s">
        <v>145</v>
      </c>
      <c r="F47" s="3">
        <v>24117</v>
      </c>
      <c r="G47" t="s">
        <v>432</v>
      </c>
      <c r="H47" t="s">
        <v>146</v>
      </c>
      <c r="I47" t="s">
        <v>26</v>
      </c>
      <c r="J47" t="s">
        <v>433</v>
      </c>
      <c r="M47" s="3">
        <v>45749</v>
      </c>
    </row>
    <row r="48" spans="1:14" x14ac:dyDescent="0.4">
      <c r="A48" t="s">
        <v>703</v>
      </c>
      <c r="B48" s="2">
        <v>45737.543495370373</v>
      </c>
      <c r="C48" t="s">
        <v>20</v>
      </c>
      <c r="D48" t="s">
        <v>21</v>
      </c>
      <c r="E48" t="s">
        <v>22</v>
      </c>
      <c r="F48" s="3">
        <v>21421</v>
      </c>
      <c r="G48" t="s">
        <v>624</v>
      </c>
      <c r="H48" t="s">
        <v>18</v>
      </c>
      <c r="I48" t="s">
        <v>19</v>
      </c>
      <c r="L48" t="s">
        <v>625</v>
      </c>
      <c r="M48" s="3">
        <v>45749</v>
      </c>
    </row>
    <row r="49" spans="1:14" x14ac:dyDescent="0.4">
      <c r="A49" t="s">
        <v>703</v>
      </c>
      <c r="B49" s="2">
        <v>45749.72320601852</v>
      </c>
      <c r="C49" t="s">
        <v>217</v>
      </c>
      <c r="D49" t="s">
        <v>480</v>
      </c>
      <c r="E49" t="s">
        <v>219</v>
      </c>
      <c r="F49" s="3">
        <v>31913</v>
      </c>
      <c r="G49" t="s">
        <v>481</v>
      </c>
      <c r="H49" t="s">
        <v>216</v>
      </c>
      <c r="I49" t="s">
        <v>26</v>
      </c>
      <c r="J49" t="s">
        <v>482</v>
      </c>
      <c r="M49" s="3">
        <v>45750</v>
      </c>
    </row>
    <row r="50" spans="1:14" x14ac:dyDescent="0.4">
      <c r="A50" t="s">
        <v>704</v>
      </c>
      <c r="B50" s="8">
        <v>45750.399560185186</v>
      </c>
      <c r="C50" s="9" t="s">
        <v>217</v>
      </c>
      <c r="D50" s="9" t="s">
        <v>218</v>
      </c>
      <c r="E50" s="9" t="s">
        <v>219</v>
      </c>
      <c r="F50" s="10">
        <v>31913</v>
      </c>
      <c r="G50" s="9" t="s">
        <v>220</v>
      </c>
      <c r="H50" s="9" t="s">
        <v>216</v>
      </c>
      <c r="I50" s="9" t="s">
        <v>19</v>
      </c>
      <c r="J50" s="9"/>
      <c r="K50" s="9"/>
      <c r="L50" s="9" t="s">
        <v>221</v>
      </c>
      <c r="M50" s="3">
        <f>+B50</f>
        <v>45750.399560185186</v>
      </c>
      <c r="N50" s="9" t="s">
        <v>19</v>
      </c>
    </row>
    <row r="51" spans="1:14" x14ac:dyDescent="0.4">
      <c r="A51" t="s">
        <v>703</v>
      </c>
      <c r="B51" s="2">
        <v>45734.420810185184</v>
      </c>
      <c r="C51" t="s">
        <v>439</v>
      </c>
      <c r="D51" t="s">
        <v>440</v>
      </c>
      <c r="E51" t="s">
        <v>441</v>
      </c>
      <c r="F51" s="3">
        <v>22821</v>
      </c>
      <c r="G51" t="s">
        <v>442</v>
      </c>
      <c r="H51" t="s">
        <v>166</v>
      </c>
      <c r="I51" t="s">
        <v>26</v>
      </c>
      <c r="J51" t="s">
        <v>443</v>
      </c>
      <c r="M51" s="3">
        <v>45749</v>
      </c>
    </row>
    <row r="52" spans="1:14" x14ac:dyDescent="0.4">
      <c r="A52" t="s">
        <v>703</v>
      </c>
      <c r="B52" s="2">
        <v>45743.858553240738</v>
      </c>
      <c r="C52" t="s">
        <v>58</v>
      </c>
      <c r="D52" t="s">
        <v>59</v>
      </c>
      <c r="E52" t="s">
        <v>60</v>
      </c>
      <c r="F52" s="3">
        <v>24785</v>
      </c>
      <c r="G52" t="s">
        <v>402</v>
      </c>
      <c r="H52" t="s">
        <v>56</v>
      </c>
      <c r="I52" t="s">
        <v>26</v>
      </c>
      <c r="J52" t="s">
        <v>403</v>
      </c>
      <c r="M52" s="3">
        <v>45749</v>
      </c>
    </row>
    <row r="53" spans="1:14" x14ac:dyDescent="0.4">
      <c r="A53" t="s">
        <v>703</v>
      </c>
      <c r="B53" s="2">
        <v>45747.687893518516</v>
      </c>
      <c r="C53" t="s">
        <v>23</v>
      </c>
      <c r="D53" t="s">
        <v>24</v>
      </c>
      <c r="E53" t="s">
        <v>25</v>
      </c>
      <c r="F53" s="3">
        <v>24597</v>
      </c>
      <c r="G53" t="s">
        <v>384</v>
      </c>
      <c r="H53" t="s">
        <v>18</v>
      </c>
      <c r="I53" t="s">
        <v>26</v>
      </c>
      <c r="J53" t="s">
        <v>385</v>
      </c>
      <c r="M53" s="3">
        <v>45749</v>
      </c>
    </row>
    <row r="54" spans="1:14" x14ac:dyDescent="0.4">
      <c r="A54" t="s">
        <v>703</v>
      </c>
      <c r="B54" s="2">
        <v>45734.50885416667</v>
      </c>
      <c r="C54" t="s">
        <v>645</v>
      </c>
      <c r="D54" t="s">
        <v>646</v>
      </c>
      <c r="E54" t="s">
        <v>647</v>
      </c>
      <c r="F54" s="3">
        <v>25783</v>
      </c>
      <c r="G54" t="s">
        <v>648</v>
      </c>
      <c r="H54" t="s">
        <v>166</v>
      </c>
      <c r="I54" t="s">
        <v>19</v>
      </c>
      <c r="L54" t="s">
        <v>625</v>
      </c>
      <c r="M54" s="3">
        <v>45749</v>
      </c>
    </row>
    <row r="55" spans="1:14" x14ac:dyDescent="0.4">
      <c r="A55" t="s">
        <v>703</v>
      </c>
      <c r="B55" s="2">
        <v>45734.422731481478</v>
      </c>
      <c r="C55" t="s">
        <v>454</v>
      </c>
      <c r="D55" t="s">
        <v>188</v>
      </c>
      <c r="E55" t="s">
        <v>189</v>
      </c>
      <c r="F55" s="3">
        <v>26088</v>
      </c>
      <c r="G55" t="s">
        <v>455</v>
      </c>
      <c r="H55" t="s">
        <v>186</v>
      </c>
      <c r="I55" t="s">
        <v>26</v>
      </c>
      <c r="J55" t="s">
        <v>456</v>
      </c>
      <c r="M55" s="3">
        <v>45749</v>
      </c>
    </row>
    <row r="56" spans="1:14" x14ac:dyDescent="0.4">
      <c r="A56" t="s">
        <v>703</v>
      </c>
      <c r="B56" s="2">
        <v>45742.513032407405</v>
      </c>
      <c r="C56" t="s">
        <v>150</v>
      </c>
      <c r="D56" t="s">
        <v>151</v>
      </c>
      <c r="E56" t="s">
        <v>152</v>
      </c>
      <c r="F56" s="3">
        <v>25126</v>
      </c>
      <c r="G56" t="s">
        <v>434</v>
      </c>
      <c r="H56" t="s">
        <v>153</v>
      </c>
      <c r="I56" t="s">
        <v>26</v>
      </c>
      <c r="J56" t="s">
        <v>435</v>
      </c>
      <c r="M56" s="3">
        <v>45749</v>
      </c>
    </row>
    <row r="57" spans="1:14" x14ac:dyDescent="0.4">
      <c r="A57" t="s">
        <v>703</v>
      </c>
      <c r="B57" s="2">
        <v>45737.415231481478</v>
      </c>
      <c r="C57" t="s">
        <v>68</v>
      </c>
      <c r="D57" t="s">
        <v>69</v>
      </c>
      <c r="E57" t="s">
        <v>70</v>
      </c>
      <c r="F57" s="3" t="s">
        <v>628</v>
      </c>
      <c r="G57" t="s">
        <v>629</v>
      </c>
      <c r="H57" t="s">
        <v>64</v>
      </c>
      <c r="I57" t="s">
        <v>19</v>
      </c>
      <c r="L57" t="s">
        <v>158</v>
      </c>
      <c r="M57" s="3">
        <v>45749</v>
      </c>
    </row>
    <row r="58" spans="1:14" x14ac:dyDescent="0.4">
      <c r="A58" t="s">
        <v>703</v>
      </c>
      <c r="B58" s="2">
        <v>45744.632361111115</v>
      </c>
      <c r="C58" t="s">
        <v>163</v>
      </c>
      <c r="D58" t="s">
        <v>164</v>
      </c>
      <c r="E58" t="s">
        <v>165</v>
      </c>
      <c r="F58" s="3">
        <v>26345</v>
      </c>
      <c r="G58" t="s">
        <v>643</v>
      </c>
      <c r="H58" t="s">
        <v>166</v>
      </c>
      <c r="I58" t="s">
        <v>19</v>
      </c>
      <c r="L58" t="s">
        <v>644</v>
      </c>
      <c r="M58" s="3">
        <v>45749</v>
      </c>
    </row>
    <row r="59" spans="1:14" x14ac:dyDescent="0.4">
      <c r="A59" t="s">
        <v>703</v>
      </c>
      <c r="B59" s="2">
        <v>45747.482488425929</v>
      </c>
      <c r="C59" t="s">
        <v>501</v>
      </c>
      <c r="D59" t="s">
        <v>502</v>
      </c>
      <c r="E59" t="s">
        <v>503</v>
      </c>
      <c r="F59" s="3">
        <v>25555</v>
      </c>
      <c r="G59" t="s">
        <v>504</v>
      </c>
      <c r="H59" t="s">
        <v>252</v>
      </c>
      <c r="I59" t="s">
        <v>26</v>
      </c>
      <c r="J59" t="s">
        <v>505</v>
      </c>
      <c r="M59" s="3">
        <v>45750</v>
      </c>
    </row>
    <row r="60" spans="1:14" x14ac:dyDescent="0.4">
      <c r="A60" t="s">
        <v>704</v>
      </c>
      <c r="B60" s="8">
        <v>45749.416076388887</v>
      </c>
      <c r="C60" s="9" t="s">
        <v>154</v>
      </c>
      <c r="D60" s="9" t="s">
        <v>155</v>
      </c>
      <c r="E60" s="9" t="s">
        <v>156</v>
      </c>
      <c r="F60" s="10">
        <v>25470</v>
      </c>
      <c r="G60" s="9" t="s">
        <v>157</v>
      </c>
      <c r="H60" s="9" t="s">
        <v>153</v>
      </c>
      <c r="I60" s="9" t="s">
        <v>19</v>
      </c>
      <c r="J60" s="9"/>
      <c r="K60" s="9"/>
      <c r="L60" s="9" t="s">
        <v>158</v>
      </c>
      <c r="M60" s="3">
        <f>+B60</f>
        <v>45749.416076388887</v>
      </c>
      <c r="N60" s="9" t="s">
        <v>19</v>
      </c>
    </row>
    <row r="61" spans="1:14" x14ac:dyDescent="0.4">
      <c r="A61" t="s">
        <v>703</v>
      </c>
      <c r="B61" s="2">
        <v>45749.684178240743</v>
      </c>
      <c r="C61" t="s">
        <v>351</v>
      </c>
      <c r="D61" t="s">
        <v>352</v>
      </c>
      <c r="E61" t="s">
        <v>353</v>
      </c>
      <c r="F61" s="3">
        <v>25413</v>
      </c>
      <c r="G61" t="s">
        <v>535</v>
      </c>
      <c r="H61" t="s">
        <v>346</v>
      </c>
      <c r="I61" t="s">
        <v>26</v>
      </c>
      <c r="J61" t="s">
        <v>536</v>
      </c>
      <c r="M61" s="3">
        <v>45750</v>
      </c>
    </row>
    <row r="62" spans="1:14" x14ac:dyDescent="0.4">
      <c r="A62" t="s">
        <v>703</v>
      </c>
      <c r="B62" s="2">
        <v>45741.346134259256</v>
      </c>
      <c r="C62" t="s">
        <v>222</v>
      </c>
      <c r="D62" t="s">
        <v>655</v>
      </c>
      <c r="E62" t="s">
        <v>215</v>
      </c>
      <c r="F62" s="3">
        <v>27552</v>
      </c>
      <c r="G62" t="s">
        <v>656</v>
      </c>
      <c r="H62" t="s">
        <v>216</v>
      </c>
      <c r="I62" t="s">
        <v>19</v>
      </c>
      <c r="L62" t="s">
        <v>657</v>
      </c>
      <c r="M62" s="3">
        <v>45750</v>
      </c>
    </row>
    <row r="63" spans="1:14" x14ac:dyDescent="0.4">
      <c r="A63" t="s">
        <v>703</v>
      </c>
      <c r="B63" s="2">
        <v>45748.792754629627</v>
      </c>
      <c r="C63" t="s">
        <v>309</v>
      </c>
      <c r="D63" t="s">
        <v>310</v>
      </c>
      <c r="E63" t="s">
        <v>311</v>
      </c>
      <c r="F63" s="3">
        <v>26889</v>
      </c>
      <c r="G63" t="s">
        <v>686</v>
      </c>
      <c r="H63" t="s">
        <v>305</v>
      </c>
      <c r="I63" t="s">
        <v>19</v>
      </c>
      <c r="L63" t="s">
        <v>663</v>
      </c>
      <c r="M63" s="3">
        <v>45750</v>
      </c>
    </row>
    <row r="64" spans="1:14" x14ac:dyDescent="0.4">
      <c r="A64" t="s">
        <v>703</v>
      </c>
      <c r="B64" s="2">
        <v>45747.427453703705</v>
      </c>
      <c r="C64" t="s">
        <v>537</v>
      </c>
      <c r="D64" t="s">
        <v>330</v>
      </c>
      <c r="E64" t="s">
        <v>331</v>
      </c>
      <c r="F64" s="3">
        <v>29106</v>
      </c>
      <c r="G64" t="s">
        <v>544</v>
      </c>
      <c r="H64" t="s">
        <v>328</v>
      </c>
      <c r="I64" t="s">
        <v>26</v>
      </c>
      <c r="J64" t="s">
        <v>540</v>
      </c>
      <c r="M64" s="3">
        <v>45750</v>
      </c>
    </row>
    <row r="65" spans="1:14" x14ac:dyDescent="0.4">
      <c r="A65" t="s">
        <v>704</v>
      </c>
      <c r="B65" s="8">
        <v>45749.417766203704</v>
      </c>
      <c r="C65" s="9" t="s">
        <v>100</v>
      </c>
      <c r="D65" s="9" t="s">
        <v>101</v>
      </c>
      <c r="E65" s="9" t="s">
        <v>102</v>
      </c>
      <c r="F65" s="10">
        <v>25676</v>
      </c>
      <c r="G65" s="9" t="s">
        <v>103</v>
      </c>
      <c r="H65" s="9" t="s">
        <v>99</v>
      </c>
      <c r="I65" s="9" t="s">
        <v>26</v>
      </c>
      <c r="J65" s="9" t="s">
        <v>104</v>
      </c>
      <c r="K65" s="9" t="s">
        <v>105</v>
      </c>
      <c r="L65" s="9"/>
      <c r="M65" s="3">
        <f>+B65</f>
        <v>45749.417766203704</v>
      </c>
      <c r="N65" s="9" t="s">
        <v>26</v>
      </c>
    </row>
    <row r="66" spans="1:14" x14ac:dyDescent="0.4">
      <c r="A66" t="s">
        <v>703</v>
      </c>
      <c r="B66" s="2">
        <v>45742.464444444442</v>
      </c>
      <c r="C66" t="s">
        <v>30</v>
      </c>
      <c r="D66" t="s">
        <v>386</v>
      </c>
      <c r="E66" t="s">
        <v>36</v>
      </c>
      <c r="F66" s="3">
        <v>21306</v>
      </c>
      <c r="G66" t="s">
        <v>387</v>
      </c>
      <c r="H66" t="s">
        <v>33</v>
      </c>
      <c r="I66" t="s">
        <v>26</v>
      </c>
      <c r="J66" t="s">
        <v>388</v>
      </c>
      <c r="M66" s="3">
        <v>45749</v>
      </c>
    </row>
    <row r="67" spans="1:14" x14ac:dyDescent="0.4">
      <c r="A67" t="s">
        <v>703</v>
      </c>
      <c r="B67" s="2">
        <v>45740.737384259257</v>
      </c>
      <c r="C67" t="s">
        <v>450</v>
      </c>
      <c r="D67" t="s">
        <v>453</v>
      </c>
      <c r="E67" t="s">
        <v>180</v>
      </c>
      <c r="F67" s="3">
        <v>26400</v>
      </c>
      <c r="G67" t="s">
        <v>451</v>
      </c>
      <c r="H67" t="s">
        <v>179</v>
      </c>
      <c r="I67" t="s">
        <v>26</v>
      </c>
      <c r="J67" t="s">
        <v>452</v>
      </c>
      <c r="M67" s="3">
        <v>45749</v>
      </c>
    </row>
    <row r="68" spans="1:14" x14ac:dyDescent="0.4">
      <c r="A68" t="s">
        <v>703</v>
      </c>
      <c r="B68" s="2">
        <v>45744.341365740744</v>
      </c>
      <c r="C68" t="s">
        <v>459</v>
      </c>
      <c r="D68" t="s">
        <v>460</v>
      </c>
      <c r="E68" t="s">
        <v>461</v>
      </c>
      <c r="F68" s="3">
        <v>25546</v>
      </c>
      <c r="G68" t="s">
        <v>462</v>
      </c>
      <c r="H68" t="s">
        <v>193</v>
      </c>
      <c r="I68" t="s">
        <v>26</v>
      </c>
      <c r="J68" t="s">
        <v>463</v>
      </c>
      <c r="M68" s="3">
        <v>45750</v>
      </c>
    </row>
    <row r="69" spans="1:14" x14ac:dyDescent="0.4">
      <c r="A69" t="s">
        <v>703</v>
      </c>
      <c r="B69" s="2">
        <v>45747.526053240741</v>
      </c>
      <c r="C69" t="s">
        <v>418</v>
      </c>
      <c r="D69" t="s">
        <v>419</v>
      </c>
      <c r="E69" t="s">
        <v>420</v>
      </c>
      <c r="F69" s="3">
        <v>24341</v>
      </c>
      <c r="G69" t="s">
        <v>421</v>
      </c>
      <c r="H69" t="s">
        <v>99</v>
      </c>
      <c r="I69" t="s">
        <v>26</v>
      </c>
      <c r="J69" t="s">
        <v>422</v>
      </c>
      <c r="M69" s="3">
        <v>45749</v>
      </c>
    </row>
    <row r="70" spans="1:14" x14ac:dyDescent="0.4">
      <c r="A70" t="s">
        <v>704</v>
      </c>
      <c r="B70" s="8">
        <v>45750.539664351854</v>
      </c>
      <c r="C70" s="9" t="s">
        <v>342</v>
      </c>
      <c r="D70" s="9" t="s">
        <v>343</v>
      </c>
      <c r="E70" s="9" t="s">
        <v>344</v>
      </c>
      <c r="F70" s="10">
        <v>27486</v>
      </c>
      <c r="G70" s="9" t="s">
        <v>345</v>
      </c>
      <c r="H70" s="9" t="s">
        <v>346</v>
      </c>
      <c r="I70" s="9" t="s">
        <v>26</v>
      </c>
      <c r="J70" s="9" t="s">
        <v>347</v>
      </c>
      <c r="K70" s="9"/>
      <c r="L70" s="9"/>
      <c r="M70" s="3">
        <f>+B70</f>
        <v>45750.539664351854</v>
      </c>
      <c r="N70" s="9" t="s">
        <v>26</v>
      </c>
    </row>
    <row r="71" spans="1:14" x14ac:dyDescent="0.4">
      <c r="A71" t="s">
        <v>703</v>
      </c>
      <c r="B71" s="2">
        <v>45748.94767361111</v>
      </c>
      <c r="C71" t="s">
        <v>332</v>
      </c>
      <c r="D71" t="s">
        <v>333</v>
      </c>
      <c r="E71" t="s">
        <v>334</v>
      </c>
      <c r="F71" s="3">
        <v>26778</v>
      </c>
      <c r="G71" t="s">
        <v>698</v>
      </c>
      <c r="H71" t="s">
        <v>335</v>
      </c>
      <c r="I71" t="s">
        <v>19</v>
      </c>
      <c r="L71" t="s">
        <v>198</v>
      </c>
      <c r="M71" s="3">
        <v>45750</v>
      </c>
    </row>
    <row r="72" spans="1:14" x14ac:dyDescent="0.4">
      <c r="A72" t="s">
        <v>704</v>
      </c>
      <c r="B72" s="8">
        <v>45749.413159722222</v>
      </c>
      <c r="C72" s="9" t="s">
        <v>128</v>
      </c>
      <c r="D72" s="9" t="s">
        <v>129</v>
      </c>
      <c r="E72" s="9" t="s">
        <v>130</v>
      </c>
      <c r="F72" s="10">
        <v>26355</v>
      </c>
      <c r="G72" s="9" t="s">
        <v>131</v>
      </c>
      <c r="H72" s="9" t="s">
        <v>127</v>
      </c>
      <c r="I72" s="9" t="s">
        <v>26</v>
      </c>
      <c r="J72" s="9" t="s">
        <v>132</v>
      </c>
      <c r="K72" s="9" t="s">
        <v>133</v>
      </c>
      <c r="L72" s="9"/>
      <c r="M72" s="3">
        <f>+B72</f>
        <v>45749.413159722222</v>
      </c>
      <c r="N72" s="9" t="s">
        <v>26</v>
      </c>
    </row>
    <row r="73" spans="1:14" x14ac:dyDescent="0.4">
      <c r="A73" t="s">
        <v>703</v>
      </c>
      <c r="B73" s="2">
        <v>45737.482083333336</v>
      </c>
      <c r="C73" t="s">
        <v>467</v>
      </c>
      <c r="D73" t="s">
        <v>468</v>
      </c>
      <c r="E73" t="s">
        <v>201</v>
      </c>
      <c r="F73" s="3">
        <v>26983</v>
      </c>
      <c r="G73" t="s">
        <v>469</v>
      </c>
      <c r="H73" t="s">
        <v>202</v>
      </c>
      <c r="I73" t="s">
        <v>26</v>
      </c>
      <c r="J73" t="s">
        <v>470</v>
      </c>
      <c r="M73" s="3">
        <v>45750</v>
      </c>
    </row>
    <row r="74" spans="1:14" x14ac:dyDescent="0.4">
      <c r="A74" t="s">
        <v>703</v>
      </c>
      <c r="B74" s="2">
        <v>45747.358541666668</v>
      </c>
      <c r="C74" t="s">
        <v>116</v>
      </c>
      <c r="D74" t="s">
        <v>425</v>
      </c>
      <c r="E74" t="s">
        <v>118</v>
      </c>
      <c r="F74" s="3">
        <v>27738</v>
      </c>
      <c r="G74" t="s">
        <v>426</v>
      </c>
      <c r="H74" t="s">
        <v>113</v>
      </c>
      <c r="I74" t="s">
        <v>26</v>
      </c>
      <c r="J74" t="s">
        <v>427</v>
      </c>
      <c r="M74" s="3">
        <v>45749</v>
      </c>
    </row>
    <row r="75" spans="1:14" x14ac:dyDescent="0.4">
      <c r="A75" t="s">
        <v>703</v>
      </c>
      <c r="B75" s="2">
        <v>45747.715694444443</v>
      </c>
      <c r="C75" t="s">
        <v>670</v>
      </c>
      <c r="D75" t="s">
        <v>257</v>
      </c>
      <c r="E75" t="s">
        <v>258</v>
      </c>
      <c r="F75" s="3">
        <v>26200</v>
      </c>
      <c r="G75" t="s">
        <v>671</v>
      </c>
      <c r="H75" t="s">
        <v>252</v>
      </c>
      <c r="I75" t="s">
        <v>19</v>
      </c>
      <c r="L75" t="s">
        <v>625</v>
      </c>
      <c r="M75" s="3">
        <v>45750</v>
      </c>
    </row>
    <row r="76" spans="1:14" x14ac:dyDescent="0.4">
      <c r="A76" t="s">
        <v>704</v>
      </c>
      <c r="B76" s="8">
        <v>45749.40997685185</v>
      </c>
      <c r="C76" s="9" t="s">
        <v>170</v>
      </c>
      <c r="D76" s="9" t="s">
        <v>171</v>
      </c>
      <c r="E76" s="9" t="s">
        <v>172</v>
      </c>
      <c r="F76" s="10">
        <v>28376</v>
      </c>
      <c r="G76" s="9" t="s">
        <v>173</v>
      </c>
      <c r="H76" s="9" t="s">
        <v>166</v>
      </c>
      <c r="I76" s="9" t="s">
        <v>26</v>
      </c>
      <c r="J76" s="9" t="s">
        <v>174</v>
      </c>
      <c r="K76" s="9" t="s">
        <v>175</v>
      </c>
      <c r="L76" s="9"/>
      <c r="M76" s="3">
        <f>+B76</f>
        <v>45749.40997685185</v>
      </c>
      <c r="N76" s="9" t="s">
        <v>26</v>
      </c>
    </row>
    <row r="77" spans="1:14" x14ac:dyDescent="0.4">
      <c r="A77" t="s">
        <v>703</v>
      </c>
      <c r="B77" s="2">
        <v>45748.628078703703</v>
      </c>
      <c r="C77" t="s">
        <v>245</v>
      </c>
      <c r="D77" t="s">
        <v>246</v>
      </c>
      <c r="E77" t="s">
        <v>247</v>
      </c>
      <c r="F77" s="3">
        <v>30186</v>
      </c>
      <c r="G77" t="s">
        <v>491</v>
      </c>
      <c r="H77" t="s">
        <v>248</v>
      </c>
      <c r="I77" t="s">
        <v>26</v>
      </c>
      <c r="J77" t="s">
        <v>492</v>
      </c>
      <c r="M77" s="3">
        <v>45750</v>
      </c>
    </row>
    <row r="78" spans="1:14" x14ac:dyDescent="0.4">
      <c r="A78" t="s">
        <v>703</v>
      </c>
      <c r="B78" s="2">
        <v>45744.566238425927</v>
      </c>
      <c r="C78" t="s">
        <v>510</v>
      </c>
      <c r="D78" t="s">
        <v>511</v>
      </c>
      <c r="E78" t="s">
        <v>512</v>
      </c>
      <c r="F78" s="3">
        <v>28186</v>
      </c>
      <c r="G78" t="s">
        <v>513</v>
      </c>
      <c r="H78" t="s">
        <v>271</v>
      </c>
      <c r="I78" t="s">
        <v>26</v>
      </c>
      <c r="J78" t="s">
        <v>514</v>
      </c>
      <c r="M78" s="3">
        <v>45750</v>
      </c>
    </row>
    <row r="79" spans="1:14" x14ac:dyDescent="0.4">
      <c r="A79" t="s">
        <v>703</v>
      </c>
      <c r="B79" s="2">
        <v>45742.46193287037</v>
      </c>
      <c r="C79" t="s">
        <v>30</v>
      </c>
      <c r="D79" t="s">
        <v>389</v>
      </c>
      <c r="E79" t="s">
        <v>32</v>
      </c>
      <c r="F79" s="3">
        <v>28554</v>
      </c>
      <c r="G79" t="s">
        <v>390</v>
      </c>
      <c r="H79" t="s">
        <v>33</v>
      </c>
      <c r="I79" t="s">
        <v>26</v>
      </c>
      <c r="J79" t="s">
        <v>391</v>
      </c>
      <c r="K79" t="s">
        <v>392</v>
      </c>
      <c r="M79" s="3">
        <v>45749</v>
      </c>
    </row>
    <row r="80" spans="1:14" x14ac:dyDescent="0.4">
      <c r="A80" t="s">
        <v>703</v>
      </c>
      <c r="B80" s="2">
        <v>45737.567407407405</v>
      </c>
      <c r="C80" t="s">
        <v>71</v>
      </c>
      <c r="D80" t="s">
        <v>72</v>
      </c>
      <c r="E80" t="s">
        <v>73</v>
      </c>
      <c r="F80" s="3">
        <v>28159</v>
      </c>
      <c r="G80" t="s">
        <v>406</v>
      </c>
      <c r="H80" t="s">
        <v>64</v>
      </c>
      <c r="I80" t="s">
        <v>26</v>
      </c>
      <c r="J80" t="s">
        <v>407</v>
      </c>
      <c r="M80" s="3">
        <v>45749</v>
      </c>
    </row>
    <row r="81" spans="1:14" x14ac:dyDescent="0.4">
      <c r="A81" t="s">
        <v>703</v>
      </c>
      <c r="B81" s="2">
        <v>45740.734733796293</v>
      </c>
      <c r="C81" t="s">
        <v>176</v>
      </c>
      <c r="D81" t="s">
        <v>447</v>
      </c>
      <c r="E81" t="s">
        <v>178</v>
      </c>
      <c r="F81" s="3">
        <v>28370</v>
      </c>
      <c r="G81" t="s">
        <v>448</v>
      </c>
      <c r="H81" t="s">
        <v>179</v>
      </c>
      <c r="I81" t="s">
        <v>26</v>
      </c>
      <c r="J81" t="s">
        <v>449</v>
      </c>
      <c r="M81" s="3">
        <v>45749</v>
      </c>
    </row>
    <row r="82" spans="1:14" x14ac:dyDescent="0.4">
      <c r="A82" t="s">
        <v>704</v>
      </c>
      <c r="B82" s="8">
        <v>45750.40247685185</v>
      </c>
      <c r="C82" s="9" t="s">
        <v>194</v>
      </c>
      <c r="D82" s="9" t="s">
        <v>195</v>
      </c>
      <c r="E82" s="9" t="s">
        <v>196</v>
      </c>
      <c r="F82" s="10">
        <v>28771</v>
      </c>
      <c r="G82" s="9" t="s">
        <v>197</v>
      </c>
      <c r="H82" s="9" t="s">
        <v>193</v>
      </c>
      <c r="I82" s="9" t="s">
        <v>19</v>
      </c>
      <c r="J82" s="9"/>
      <c r="K82" s="9"/>
      <c r="L82" s="9" t="s">
        <v>198</v>
      </c>
      <c r="M82" s="3">
        <f>+B82</f>
        <v>45750.40247685185</v>
      </c>
      <c r="N82" s="9" t="s">
        <v>19</v>
      </c>
    </row>
    <row r="83" spans="1:14" x14ac:dyDescent="0.4">
      <c r="A83" t="s">
        <v>703</v>
      </c>
      <c r="B83" s="2">
        <v>45734.426018518519</v>
      </c>
      <c r="C83" t="s">
        <v>444</v>
      </c>
      <c r="D83" t="s">
        <v>168</v>
      </c>
      <c r="E83" t="s">
        <v>169</v>
      </c>
      <c r="F83" s="3">
        <v>27677</v>
      </c>
      <c r="G83" t="s">
        <v>445</v>
      </c>
      <c r="H83" t="s">
        <v>166</v>
      </c>
      <c r="I83" t="s">
        <v>26</v>
      </c>
      <c r="J83" t="s">
        <v>446</v>
      </c>
      <c r="M83" s="3">
        <v>45749</v>
      </c>
    </row>
    <row r="84" spans="1:14" x14ac:dyDescent="0.4">
      <c r="A84" t="s">
        <v>703</v>
      </c>
      <c r="B84" s="2">
        <v>45737.483912037038</v>
      </c>
      <c r="C84" t="s">
        <v>467</v>
      </c>
      <c r="D84" t="s">
        <v>649</v>
      </c>
      <c r="E84" t="s">
        <v>205</v>
      </c>
      <c r="F84" s="3">
        <v>28418</v>
      </c>
      <c r="G84" t="s">
        <v>650</v>
      </c>
      <c r="H84" t="s">
        <v>202</v>
      </c>
      <c r="I84" t="s">
        <v>19</v>
      </c>
      <c r="L84" t="s">
        <v>651</v>
      </c>
      <c r="M84" s="3">
        <v>45750</v>
      </c>
    </row>
    <row r="85" spans="1:14" x14ac:dyDescent="0.4">
      <c r="A85" t="s">
        <v>703</v>
      </c>
      <c r="B85" s="2">
        <v>45743.31354166667</v>
      </c>
      <c r="C85" t="s">
        <v>137</v>
      </c>
      <c r="D85" t="s">
        <v>637</v>
      </c>
      <c r="E85" t="s">
        <v>139</v>
      </c>
      <c r="F85" s="3">
        <v>27034</v>
      </c>
      <c r="G85" t="s">
        <v>638</v>
      </c>
      <c r="H85" t="s">
        <v>127</v>
      </c>
      <c r="I85" t="s">
        <v>19</v>
      </c>
      <c r="L85" t="s">
        <v>625</v>
      </c>
      <c r="M85" s="3">
        <v>45749</v>
      </c>
    </row>
    <row r="86" spans="1:14" x14ac:dyDescent="0.4">
      <c r="A86" t="s">
        <v>703</v>
      </c>
      <c r="B86" s="2">
        <v>45741.437962962962</v>
      </c>
      <c r="C86" t="s">
        <v>27</v>
      </c>
      <c r="D86" t="s">
        <v>28</v>
      </c>
      <c r="E86" t="s">
        <v>29</v>
      </c>
      <c r="F86" s="3">
        <v>28265</v>
      </c>
      <c r="G86" t="s">
        <v>622</v>
      </c>
      <c r="H86" t="s">
        <v>18</v>
      </c>
      <c r="I86" t="s">
        <v>19</v>
      </c>
      <c r="L86" t="s">
        <v>623</v>
      </c>
      <c r="M86" s="3">
        <v>45749</v>
      </c>
    </row>
    <row r="87" spans="1:14" x14ac:dyDescent="0.4">
      <c r="A87" t="s">
        <v>703</v>
      </c>
      <c r="B87" s="2">
        <v>45741.400567129633</v>
      </c>
      <c r="C87" t="s">
        <v>234</v>
      </c>
      <c r="D87" t="s">
        <v>235</v>
      </c>
      <c r="E87" t="s">
        <v>236</v>
      </c>
      <c r="F87" s="3">
        <v>24181</v>
      </c>
      <c r="G87" t="s">
        <v>659</v>
      </c>
      <c r="H87" t="s">
        <v>233</v>
      </c>
      <c r="I87" t="s">
        <v>19</v>
      </c>
      <c r="L87" t="s">
        <v>114</v>
      </c>
      <c r="M87" s="3">
        <v>45750</v>
      </c>
    </row>
    <row r="88" spans="1:14" x14ac:dyDescent="0.4">
      <c r="A88" t="s">
        <v>703</v>
      </c>
      <c r="B88" s="2">
        <v>45737.493657407409</v>
      </c>
      <c r="C88" t="s">
        <v>74</v>
      </c>
      <c r="D88" t="s">
        <v>75</v>
      </c>
      <c r="E88" t="s">
        <v>76</v>
      </c>
      <c r="F88" s="3">
        <v>29349</v>
      </c>
      <c r="G88" t="s">
        <v>631</v>
      </c>
      <c r="H88" t="s">
        <v>77</v>
      </c>
      <c r="I88" t="s">
        <v>19</v>
      </c>
      <c r="L88" t="s">
        <v>198</v>
      </c>
      <c r="M88" s="3">
        <v>45749</v>
      </c>
    </row>
    <row r="89" spans="1:14" x14ac:dyDescent="0.4">
      <c r="A89" t="s">
        <v>703</v>
      </c>
      <c r="B89" s="2">
        <v>45734.488078703704</v>
      </c>
      <c r="C89" t="s">
        <v>268</v>
      </c>
      <c r="D89" t="s">
        <v>269</v>
      </c>
      <c r="E89" t="s">
        <v>270</v>
      </c>
      <c r="F89" s="3">
        <v>28948</v>
      </c>
      <c r="G89" t="s">
        <v>508</v>
      </c>
      <c r="H89" t="s">
        <v>271</v>
      </c>
      <c r="I89" t="s">
        <v>26</v>
      </c>
      <c r="J89" t="s">
        <v>509</v>
      </c>
      <c r="M89" s="3">
        <v>45750</v>
      </c>
    </row>
    <row r="90" spans="1:14" x14ac:dyDescent="0.4">
      <c r="A90" t="s">
        <v>703</v>
      </c>
      <c r="B90" s="2">
        <v>45748.317523148151</v>
      </c>
      <c r="C90" t="s">
        <v>89</v>
      </c>
      <c r="D90" t="s">
        <v>90</v>
      </c>
      <c r="E90" t="s">
        <v>91</v>
      </c>
      <c r="F90" s="3">
        <v>28648</v>
      </c>
      <c r="G90" t="s">
        <v>413</v>
      </c>
      <c r="H90" t="s">
        <v>92</v>
      </c>
      <c r="I90" t="s">
        <v>26</v>
      </c>
      <c r="J90" t="s">
        <v>414</v>
      </c>
      <c r="K90" t="s">
        <v>415</v>
      </c>
      <c r="M90" s="3">
        <v>45750</v>
      </c>
    </row>
    <row r="91" spans="1:14" x14ac:dyDescent="0.4">
      <c r="A91" t="s">
        <v>703</v>
      </c>
      <c r="B91" s="2">
        <v>45743.5465625</v>
      </c>
      <c r="C91" t="s">
        <v>78</v>
      </c>
      <c r="D91" t="s">
        <v>408</v>
      </c>
      <c r="E91" t="s">
        <v>80</v>
      </c>
      <c r="F91" s="3">
        <v>29773</v>
      </c>
      <c r="G91" t="s">
        <v>409</v>
      </c>
      <c r="H91" t="s">
        <v>77</v>
      </c>
      <c r="I91" t="s">
        <v>26</v>
      </c>
      <c r="J91" t="s">
        <v>104</v>
      </c>
      <c r="M91" s="3">
        <v>45749</v>
      </c>
    </row>
    <row r="92" spans="1:14" x14ac:dyDescent="0.4">
      <c r="A92" t="s">
        <v>703</v>
      </c>
      <c r="B92" s="2">
        <v>45747.706354166665</v>
      </c>
      <c r="C92" t="s">
        <v>249</v>
      </c>
      <c r="D92" t="s">
        <v>250</v>
      </c>
      <c r="E92" t="s">
        <v>251</v>
      </c>
      <c r="F92" s="3">
        <v>28425</v>
      </c>
      <c r="G92" t="s">
        <v>669</v>
      </c>
      <c r="H92" t="s">
        <v>252</v>
      </c>
      <c r="I92" t="s">
        <v>19</v>
      </c>
      <c r="L92" t="s">
        <v>198</v>
      </c>
      <c r="M92" s="3">
        <v>45750</v>
      </c>
    </row>
    <row r="93" spans="1:14" x14ac:dyDescent="0.4">
      <c r="A93" t="s">
        <v>703</v>
      </c>
      <c r="B93" s="2">
        <v>45735.923414351855</v>
      </c>
      <c r="C93" t="s">
        <v>272</v>
      </c>
      <c r="D93" t="s">
        <v>273</v>
      </c>
      <c r="E93" t="s">
        <v>274</v>
      </c>
      <c r="F93" s="3">
        <v>28978</v>
      </c>
      <c r="G93" t="s">
        <v>673</v>
      </c>
      <c r="H93" t="s">
        <v>271</v>
      </c>
      <c r="I93" t="s">
        <v>19</v>
      </c>
      <c r="L93" t="s">
        <v>198</v>
      </c>
      <c r="M93" s="3">
        <v>45750</v>
      </c>
    </row>
    <row r="94" spans="1:14" x14ac:dyDescent="0.4">
      <c r="A94" t="s">
        <v>703</v>
      </c>
      <c r="B94" s="2">
        <v>45740.752465277779</v>
      </c>
      <c r="C94" t="s">
        <v>275</v>
      </c>
      <c r="D94" t="s">
        <v>276</v>
      </c>
      <c r="E94" t="s">
        <v>277</v>
      </c>
      <c r="F94" s="3">
        <v>28940</v>
      </c>
      <c r="G94" t="s">
        <v>672</v>
      </c>
      <c r="H94" t="s">
        <v>271</v>
      </c>
      <c r="I94" t="s">
        <v>19</v>
      </c>
      <c r="L94" t="s">
        <v>663</v>
      </c>
      <c r="M94" s="3">
        <v>45750</v>
      </c>
    </row>
    <row r="95" spans="1:14" x14ac:dyDescent="0.4">
      <c r="A95" t="s">
        <v>703</v>
      </c>
      <c r="B95" s="2">
        <v>45741.498553240737</v>
      </c>
      <c r="C95" t="s">
        <v>525</v>
      </c>
      <c r="D95" t="s">
        <v>526</v>
      </c>
      <c r="E95" t="s">
        <v>527</v>
      </c>
      <c r="F95" s="3">
        <v>28089</v>
      </c>
      <c r="G95" t="s">
        <v>528</v>
      </c>
      <c r="H95" t="s">
        <v>305</v>
      </c>
      <c r="I95" t="s">
        <v>26</v>
      </c>
      <c r="J95" t="s">
        <v>529</v>
      </c>
      <c r="M95" s="3">
        <v>45750</v>
      </c>
    </row>
    <row r="96" spans="1:14" x14ac:dyDescent="0.4">
      <c r="A96" t="s">
        <v>703</v>
      </c>
      <c r="B96" s="2">
        <v>45743.40865740741</v>
      </c>
      <c r="C96" t="s">
        <v>545</v>
      </c>
      <c r="D96" t="s">
        <v>546</v>
      </c>
      <c r="E96" t="s">
        <v>547</v>
      </c>
      <c r="F96" s="3">
        <v>29246</v>
      </c>
      <c r="G96" t="s">
        <v>548</v>
      </c>
      <c r="H96" t="s">
        <v>328</v>
      </c>
      <c r="I96" t="s">
        <v>26</v>
      </c>
      <c r="J96" t="s">
        <v>549</v>
      </c>
      <c r="M96" s="3">
        <v>45750</v>
      </c>
    </row>
    <row r="97" spans="1:14" x14ac:dyDescent="0.4">
      <c r="A97" t="s">
        <v>703</v>
      </c>
      <c r="B97" s="2">
        <v>45742.437962962962</v>
      </c>
      <c r="C97" t="s">
        <v>474</v>
      </c>
      <c r="D97" t="s">
        <v>207</v>
      </c>
      <c r="E97" t="s">
        <v>208</v>
      </c>
      <c r="F97" s="3">
        <v>29858</v>
      </c>
      <c r="G97" t="s">
        <v>475</v>
      </c>
      <c r="H97" t="s">
        <v>209</v>
      </c>
      <c r="I97" t="s">
        <v>26</v>
      </c>
      <c r="J97" t="s">
        <v>476</v>
      </c>
      <c r="M97" s="3">
        <v>45750</v>
      </c>
    </row>
    <row r="98" spans="1:14" x14ac:dyDescent="0.4">
      <c r="A98" t="s">
        <v>703</v>
      </c>
      <c r="B98" s="2">
        <v>45748.454884259256</v>
      </c>
      <c r="C98" t="s">
        <v>48</v>
      </c>
      <c r="D98" t="s">
        <v>49</v>
      </c>
      <c r="E98" t="s">
        <v>50</v>
      </c>
      <c r="F98" s="3">
        <v>29554</v>
      </c>
      <c r="G98" t="s">
        <v>400</v>
      </c>
      <c r="H98" t="s">
        <v>47</v>
      </c>
      <c r="I98" t="s">
        <v>26</v>
      </c>
      <c r="J98" t="s">
        <v>401</v>
      </c>
      <c r="M98" s="3">
        <v>45749</v>
      </c>
    </row>
    <row r="99" spans="1:14" x14ac:dyDescent="0.4">
      <c r="A99" t="s">
        <v>703</v>
      </c>
      <c r="B99" s="2">
        <v>45748.967488425929</v>
      </c>
      <c r="C99" t="s">
        <v>306</v>
      </c>
      <c r="D99" t="s">
        <v>307</v>
      </c>
      <c r="E99" t="s">
        <v>308</v>
      </c>
      <c r="F99" s="3">
        <v>23638</v>
      </c>
      <c r="G99" t="s">
        <v>687</v>
      </c>
      <c r="H99" t="s">
        <v>305</v>
      </c>
      <c r="I99" t="s">
        <v>19</v>
      </c>
      <c r="L99" t="s">
        <v>688</v>
      </c>
      <c r="M99" s="3">
        <v>45750</v>
      </c>
    </row>
    <row r="100" spans="1:14" x14ac:dyDescent="0.4">
      <c r="A100" t="s">
        <v>703</v>
      </c>
      <c r="B100" s="2">
        <v>45740.818958333337</v>
      </c>
      <c r="C100" t="s">
        <v>354</v>
      </c>
      <c r="D100" t="s">
        <v>355</v>
      </c>
      <c r="E100" t="s">
        <v>356</v>
      </c>
      <c r="F100" s="3">
        <v>29058</v>
      </c>
      <c r="G100" t="s">
        <v>679</v>
      </c>
      <c r="H100" t="s">
        <v>357</v>
      </c>
      <c r="I100" t="s">
        <v>19</v>
      </c>
      <c r="L100" t="s">
        <v>680</v>
      </c>
      <c r="M100" s="3">
        <v>45750</v>
      </c>
    </row>
    <row r="101" spans="1:14" x14ac:dyDescent="0.4">
      <c r="A101" t="s">
        <v>703</v>
      </c>
      <c r="B101" s="2">
        <v>45747.474259259259</v>
      </c>
      <c r="C101" t="s">
        <v>493</v>
      </c>
      <c r="D101" t="s">
        <v>494</v>
      </c>
      <c r="E101" t="s">
        <v>495</v>
      </c>
      <c r="F101" s="3">
        <v>30195</v>
      </c>
      <c r="G101" t="s">
        <v>496</v>
      </c>
      <c r="H101" t="s">
        <v>252</v>
      </c>
      <c r="I101" t="s">
        <v>26</v>
      </c>
      <c r="J101" t="s">
        <v>497</v>
      </c>
      <c r="K101" t="s">
        <v>498</v>
      </c>
      <c r="M101" s="3">
        <v>45750</v>
      </c>
    </row>
    <row r="102" spans="1:14" x14ac:dyDescent="0.4">
      <c r="A102" t="s">
        <v>703</v>
      </c>
      <c r="B102" s="2">
        <v>45737.472974537035</v>
      </c>
      <c r="C102" t="s">
        <v>372</v>
      </c>
      <c r="D102" t="s">
        <v>373</v>
      </c>
      <c r="E102" t="s">
        <v>374</v>
      </c>
      <c r="F102" s="3">
        <v>29703</v>
      </c>
      <c r="G102" t="s">
        <v>375</v>
      </c>
      <c r="H102" t="s">
        <v>18</v>
      </c>
      <c r="I102" t="s">
        <v>26</v>
      </c>
      <c r="J102" t="s">
        <v>376</v>
      </c>
      <c r="K102" t="s">
        <v>377</v>
      </c>
      <c r="M102" s="3">
        <v>45749</v>
      </c>
    </row>
    <row r="103" spans="1:14" x14ac:dyDescent="0.4">
      <c r="A103" t="s">
        <v>703</v>
      </c>
      <c r="B103" s="2">
        <v>45735.742986111109</v>
      </c>
      <c r="C103" t="s">
        <v>253</v>
      </c>
      <c r="D103" t="s">
        <v>254</v>
      </c>
      <c r="E103" t="s">
        <v>255</v>
      </c>
      <c r="F103" s="3">
        <v>30017</v>
      </c>
      <c r="G103" t="s">
        <v>499</v>
      </c>
      <c r="H103" t="s">
        <v>252</v>
      </c>
      <c r="I103" t="s">
        <v>26</v>
      </c>
      <c r="J103" t="s">
        <v>500</v>
      </c>
      <c r="M103" s="3">
        <v>45750</v>
      </c>
    </row>
    <row r="104" spans="1:14" x14ac:dyDescent="0.4">
      <c r="A104" t="s">
        <v>703</v>
      </c>
      <c r="B104" s="2">
        <v>45733.695856481485</v>
      </c>
      <c r="C104" t="s">
        <v>681</v>
      </c>
      <c r="D104" t="s">
        <v>682</v>
      </c>
      <c r="E104" t="s">
        <v>683</v>
      </c>
      <c r="F104" s="3">
        <v>30068</v>
      </c>
      <c r="G104" t="s">
        <v>684</v>
      </c>
      <c r="H104" t="s">
        <v>298</v>
      </c>
      <c r="I104" t="s">
        <v>19</v>
      </c>
      <c r="L104" t="s">
        <v>685</v>
      </c>
      <c r="M104" s="3">
        <v>45750</v>
      </c>
    </row>
    <row r="105" spans="1:14" x14ac:dyDescent="0.4">
      <c r="A105" t="s">
        <v>704</v>
      </c>
      <c r="B105" s="8">
        <v>45750.545057870368</v>
      </c>
      <c r="C105" s="9" t="s">
        <v>358</v>
      </c>
      <c r="D105" s="9" t="s">
        <v>366</v>
      </c>
      <c r="E105" s="9" t="s">
        <v>367</v>
      </c>
      <c r="F105" s="10">
        <v>28811</v>
      </c>
      <c r="G105" s="9" t="s">
        <v>368</v>
      </c>
      <c r="H105" s="9" t="s">
        <v>357</v>
      </c>
      <c r="I105" s="9" t="s">
        <v>26</v>
      </c>
      <c r="J105" s="9" t="s">
        <v>369</v>
      </c>
      <c r="K105" s="9"/>
      <c r="L105" s="9"/>
      <c r="M105" s="3">
        <f>+B105</f>
        <v>45750.545057870368</v>
      </c>
      <c r="N105" s="9" t="s">
        <v>26</v>
      </c>
    </row>
    <row r="106" spans="1:14" x14ac:dyDescent="0.4">
      <c r="A106" t="s">
        <v>704</v>
      </c>
      <c r="B106" s="8">
        <v>45749.420960648145</v>
      </c>
      <c r="C106" s="9" t="s">
        <v>278</v>
      </c>
      <c r="D106" s="9" t="s">
        <v>279</v>
      </c>
      <c r="E106" s="9" t="s">
        <v>280</v>
      </c>
      <c r="F106" s="10">
        <v>30211</v>
      </c>
      <c r="G106" s="9" t="s">
        <v>281</v>
      </c>
      <c r="H106" s="9" t="s">
        <v>282</v>
      </c>
      <c r="I106" s="9" t="s">
        <v>26</v>
      </c>
      <c r="J106" s="9" t="s">
        <v>283</v>
      </c>
      <c r="K106" s="9" t="s">
        <v>284</v>
      </c>
      <c r="L106" s="9"/>
      <c r="M106" s="3">
        <f>+B106</f>
        <v>45749.420960648145</v>
      </c>
      <c r="N106" s="9" t="s">
        <v>26</v>
      </c>
    </row>
    <row r="107" spans="1:14" x14ac:dyDescent="0.4">
      <c r="A107" t="s">
        <v>703</v>
      </c>
      <c r="B107" s="2">
        <v>45735.863229166665</v>
      </c>
      <c r="C107" t="s">
        <v>674</v>
      </c>
      <c r="D107" t="s">
        <v>675</v>
      </c>
      <c r="E107" t="s">
        <v>676</v>
      </c>
      <c r="F107" s="3">
        <v>30230</v>
      </c>
      <c r="G107" t="s">
        <v>677</v>
      </c>
      <c r="H107" t="s">
        <v>271</v>
      </c>
      <c r="I107" t="s">
        <v>19</v>
      </c>
      <c r="L107" t="s">
        <v>678</v>
      </c>
      <c r="M107" s="3">
        <v>45750</v>
      </c>
    </row>
    <row r="108" spans="1:14" x14ac:dyDescent="0.4">
      <c r="A108" t="s">
        <v>703</v>
      </c>
      <c r="B108" s="2">
        <v>45747.40829861111</v>
      </c>
      <c r="C108" t="s">
        <v>626</v>
      </c>
      <c r="D108" t="s">
        <v>15</v>
      </c>
      <c r="E108" t="s">
        <v>16</v>
      </c>
      <c r="F108" s="3">
        <v>29614</v>
      </c>
      <c r="G108" t="s">
        <v>627</v>
      </c>
      <c r="H108" t="s">
        <v>18</v>
      </c>
      <c r="I108" t="s">
        <v>19</v>
      </c>
      <c r="L108" t="s">
        <v>507</v>
      </c>
      <c r="M108" s="3">
        <v>45749</v>
      </c>
    </row>
    <row r="109" spans="1:14" x14ac:dyDescent="0.4">
      <c r="A109" t="s">
        <v>703</v>
      </c>
      <c r="B109" s="2">
        <v>45747.413784722223</v>
      </c>
      <c r="C109" t="s">
        <v>106</v>
      </c>
      <c r="D109" t="s">
        <v>107</v>
      </c>
      <c r="E109" t="s">
        <v>108</v>
      </c>
      <c r="F109" s="3">
        <v>30821</v>
      </c>
      <c r="G109" t="s">
        <v>423</v>
      </c>
      <c r="H109" t="s">
        <v>109</v>
      </c>
      <c r="I109" t="s">
        <v>26</v>
      </c>
      <c r="J109" t="s">
        <v>424</v>
      </c>
      <c r="M109" s="3">
        <v>45749</v>
      </c>
    </row>
    <row r="110" spans="1:14" x14ac:dyDescent="0.4">
      <c r="A110" t="s">
        <v>703</v>
      </c>
      <c r="B110" s="2">
        <v>45749.69153935185</v>
      </c>
      <c r="C110" t="s">
        <v>693</v>
      </c>
      <c r="D110" t="s">
        <v>694</v>
      </c>
      <c r="E110" t="s">
        <v>350</v>
      </c>
      <c r="F110" s="3">
        <v>30330</v>
      </c>
      <c r="G110" t="s">
        <v>695</v>
      </c>
      <c r="H110" t="s">
        <v>346</v>
      </c>
      <c r="I110" t="s">
        <v>19</v>
      </c>
      <c r="L110" t="s">
        <v>680</v>
      </c>
      <c r="M110" s="3">
        <v>45750</v>
      </c>
    </row>
  </sheetData>
  <sortState xmlns:xlrd2="http://schemas.microsoft.com/office/spreadsheetml/2017/richdata2" ref="A2:N110">
    <sortCondition ref="E2:E110"/>
  </sortState>
  <conditionalFormatting sqref="A2:A110">
    <cfRule type="cellIs" dxfId="0" priority="1" operator="equal">
      <formula>1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8025-4E22-4E4B-B6AD-10301E722275}">
  <dimension ref="B1:Q49"/>
  <sheetViews>
    <sheetView topLeftCell="A19" zoomScaleNormal="100" workbookViewId="0">
      <selection activeCell="Q47" sqref="Q47"/>
    </sheetView>
  </sheetViews>
  <sheetFormatPr defaultRowHeight="21.75" customHeight="1" x14ac:dyDescent="0.2"/>
  <cols>
    <col min="1" max="1" width="9" style="12"/>
    <col min="2" max="2" width="4.125" style="12" customWidth="1"/>
    <col min="3" max="3" width="13.5" style="12" bestFit="1" customWidth="1"/>
    <col min="4" max="4" width="9.125" style="12" customWidth="1"/>
    <col min="5" max="5" width="20.625" style="15" bestFit="1" customWidth="1"/>
    <col min="6" max="6" width="9.375" style="13" customWidth="1"/>
    <col min="7" max="12" width="7.75" style="12" customWidth="1"/>
    <col min="13" max="16384" width="9" style="12"/>
  </cols>
  <sheetData>
    <row r="1" spans="2:16" ht="21.75" customHeight="1" x14ac:dyDescent="0.2">
      <c r="G1" s="34" t="s">
        <v>19</v>
      </c>
      <c r="H1" s="34" t="s">
        <v>26</v>
      </c>
      <c r="I1" s="35" t="s">
        <v>707</v>
      </c>
      <c r="J1" s="34" t="s">
        <v>19</v>
      </c>
      <c r="K1" s="34" t="s">
        <v>26</v>
      </c>
      <c r="L1" s="35" t="s">
        <v>707</v>
      </c>
    </row>
    <row r="2" spans="2:16" ht="21.75" customHeight="1" x14ac:dyDescent="0.2">
      <c r="N2" s="11">
        <f>COUNTIF(J5:J41,0)</f>
        <v>16</v>
      </c>
      <c r="O2" s="11">
        <f>COUNTIF(K5:K41,0)</f>
        <v>3</v>
      </c>
      <c r="P2" s="11">
        <f>COUNTIF(L5:L41,0)</f>
        <v>2</v>
      </c>
    </row>
    <row r="3" spans="2:16" s="11" customFormat="1" ht="21.75" customHeight="1" x14ac:dyDescent="0.4">
      <c r="C3" s="49" t="s">
        <v>551</v>
      </c>
      <c r="D3" s="47" t="s">
        <v>706</v>
      </c>
      <c r="E3" s="49" t="s">
        <v>550</v>
      </c>
      <c r="F3" s="47" t="s">
        <v>558</v>
      </c>
      <c r="G3" s="44" t="s">
        <v>552</v>
      </c>
      <c r="H3" s="44"/>
      <c r="I3" s="44"/>
      <c r="J3" s="45" t="s">
        <v>555</v>
      </c>
      <c r="K3" s="45"/>
      <c r="L3" s="45"/>
      <c r="N3" s="11">
        <f>37-N2</f>
        <v>21</v>
      </c>
      <c r="O3" s="11">
        <f>37-O2</f>
        <v>34</v>
      </c>
      <c r="P3" s="11">
        <f>37-P2</f>
        <v>35</v>
      </c>
    </row>
    <row r="4" spans="2:16" s="11" customFormat="1" ht="21.75" customHeight="1" x14ac:dyDescent="0.4">
      <c r="C4" s="50"/>
      <c r="D4" s="48"/>
      <c r="E4" s="50"/>
      <c r="F4" s="48"/>
      <c r="G4" s="36" t="s">
        <v>556</v>
      </c>
      <c r="H4" s="36" t="s">
        <v>708</v>
      </c>
      <c r="I4" s="36" t="s">
        <v>707</v>
      </c>
      <c r="J4" s="37" t="s">
        <v>556</v>
      </c>
      <c r="K4" s="37" t="s">
        <v>708</v>
      </c>
      <c r="L4" s="37" t="s">
        <v>707</v>
      </c>
    </row>
    <row r="5" spans="2:16" s="11" customFormat="1" ht="21.75" customHeight="1" x14ac:dyDescent="0.4">
      <c r="B5" s="11">
        <v>1</v>
      </c>
      <c r="C5" s="31">
        <v>45749</v>
      </c>
      <c r="D5" s="32" t="s">
        <v>559</v>
      </c>
      <c r="E5" s="33" t="s">
        <v>18</v>
      </c>
      <c r="F5" s="32" t="s">
        <v>560</v>
      </c>
      <c r="G5" s="17">
        <f>COUNTIFS(Presentes!$H$2:$H$93,'Resumo '!G$1,Presentes!$G$2:$G$93,'Resumo '!$E5)</f>
        <v>3</v>
      </c>
      <c r="H5" s="17">
        <f>COUNTIFS(Presentes!$H$2:$H$93,'Resumo '!H$1,Presentes!$G$2:$G$93,'Resumo '!$E5)</f>
        <v>1</v>
      </c>
      <c r="I5" s="18">
        <f t="shared" ref="I5:I41" si="0">+G5+H5</f>
        <v>4</v>
      </c>
      <c r="J5" s="16">
        <f>COUNTIFS(Inscritos!$I$2:$I$110,'Resumo '!J$1,Inscritos!$H$2:$H$110,'Resumo '!$E5)</f>
        <v>3</v>
      </c>
      <c r="K5" s="16">
        <f>COUNTIFS(Inscritos!$I$2:$I$110,'Resumo '!K$1,Inscritos!$H$2:$H$110,'Resumo '!$E5)</f>
        <v>3</v>
      </c>
      <c r="L5" s="19">
        <f>+J5+K5</f>
        <v>6</v>
      </c>
      <c r="M5" s="11">
        <f>IF(AND(J5&gt;0,K5=0),1,0)</f>
        <v>0</v>
      </c>
      <c r="N5" s="38" t="str">
        <f t="shared" ref="N5:N41" si="1">+_xlfn.CONCAT(G5,"/",J5)</f>
        <v>3/3</v>
      </c>
      <c r="O5" s="38" t="str">
        <f t="shared" ref="O5:O41" si="2">+_xlfn.CONCAT(H5,"/",K5)</f>
        <v>1/3</v>
      </c>
      <c r="P5" s="38" t="str">
        <f t="shared" ref="P5:P41" si="3">+_xlfn.CONCAT(I5,"/",L5)</f>
        <v>4/6</v>
      </c>
    </row>
    <row r="6" spans="2:16" s="11" customFormat="1" ht="21.75" customHeight="1" x14ac:dyDescent="0.4">
      <c r="B6" s="11">
        <v>2</v>
      </c>
      <c r="C6" s="31">
        <v>45749</v>
      </c>
      <c r="D6" s="32" t="s">
        <v>563</v>
      </c>
      <c r="E6" s="33" t="s">
        <v>33</v>
      </c>
      <c r="F6" s="32" t="s">
        <v>564</v>
      </c>
      <c r="G6" s="17">
        <f>COUNTIFS(Presentes!$H$2:$H$93,'Resumo '!G$1,Presentes!$G$2:$G$93,'Resumo '!$E6)</f>
        <v>0</v>
      </c>
      <c r="H6" s="17">
        <f>COUNTIFS(Presentes!$H$2:$H$93,'Resumo '!H$1,Presentes!$G$2:$G$93,'Resumo '!$E6)</f>
        <v>2</v>
      </c>
      <c r="I6" s="18">
        <f t="shared" si="0"/>
        <v>2</v>
      </c>
      <c r="J6" s="16">
        <f>COUNTIFS(Inscritos!$I$2:$I$110,'Resumo '!J$1,Inscritos!$H$2:$H$110,'Resumo '!$E6)</f>
        <v>0</v>
      </c>
      <c r="K6" s="16">
        <f>COUNTIFS(Inscritos!$I$2:$I$110,'Resumo '!K$1,Inscritos!$H$2:$H$110,'Resumo '!$E6)</f>
        <v>2</v>
      </c>
      <c r="L6" s="19">
        <f t="shared" ref="L6:L41" si="4">+J6+K6</f>
        <v>2</v>
      </c>
      <c r="M6" s="11">
        <f t="shared" ref="M6:M41" si="5">IF(AND(J6&gt;0,K6=0),1,0)</f>
        <v>0</v>
      </c>
      <c r="N6" s="38" t="str">
        <f t="shared" si="1"/>
        <v>0/0</v>
      </c>
      <c r="O6" s="38" t="str">
        <f t="shared" si="2"/>
        <v>2/2</v>
      </c>
      <c r="P6" s="38" t="str">
        <f t="shared" si="3"/>
        <v>2/2</v>
      </c>
    </row>
    <row r="7" spans="2:16" s="11" customFormat="1" ht="21.75" customHeight="1" x14ac:dyDescent="0.4">
      <c r="B7" s="11">
        <v>3</v>
      </c>
      <c r="C7" s="31">
        <v>45749</v>
      </c>
      <c r="D7" s="32" t="s">
        <v>567</v>
      </c>
      <c r="E7" s="33" t="s">
        <v>40</v>
      </c>
      <c r="F7" s="32" t="s">
        <v>568</v>
      </c>
      <c r="G7" s="17">
        <f>COUNTIFS(Presentes!$H$2:$H$93,'Resumo '!G$1,Presentes!$G$2:$G$93,'Resumo '!$E7)</f>
        <v>0</v>
      </c>
      <c r="H7" s="17">
        <f>COUNTIFS(Presentes!$H$2:$H$93,'Resumo '!H$1,Presentes!$G$2:$G$93,'Resumo '!$E7)</f>
        <v>2</v>
      </c>
      <c r="I7" s="18">
        <f t="shared" si="0"/>
        <v>2</v>
      </c>
      <c r="J7" s="16">
        <f>COUNTIFS(Inscritos!$I$2:$I$110,'Resumo '!J$1,Inscritos!$H$2:$H$110,'Resumo '!$E7)</f>
        <v>0</v>
      </c>
      <c r="K7" s="16">
        <f>COUNTIFS(Inscritos!$I$2:$I$110,'Resumo '!K$1,Inscritos!$H$2:$H$110,'Resumo '!$E7)</f>
        <v>2</v>
      </c>
      <c r="L7" s="19">
        <f t="shared" si="4"/>
        <v>2</v>
      </c>
      <c r="M7" s="11">
        <f t="shared" si="5"/>
        <v>0</v>
      </c>
      <c r="N7" s="38" t="str">
        <f t="shared" si="1"/>
        <v>0/0</v>
      </c>
      <c r="O7" s="38" t="str">
        <f t="shared" si="2"/>
        <v>2/2</v>
      </c>
      <c r="P7" s="38" t="str">
        <f t="shared" si="3"/>
        <v>2/2</v>
      </c>
    </row>
    <row r="8" spans="2:16" s="11" customFormat="1" ht="21.75" customHeight="1" x14ac:dyDescent="0.4">
      <c r="B8" s="11">
        <v>4</v>
      </c>
      <c r="C8" s="31">
        <v>45749</v>
      </c>
      <c r="D8" s="32" t="s">
        <v>571</v>
      </c>
      <c r="E8" s="33" t="s">
        <v>47</v>
      </c>
      <c r="F8" s="32" t="s">
        <v>572</v>
      </c>
      <c r="G8" s="17">
        <f>COUNTIFS(Presentes!$H$2:$H$93,'Resumo '!G$1,Presentes!$G$2:$G$93,'Resumo '!$E8)</f>
        <v>0</v>
      </c>
      <c r="H8" s="17">
        <f>COUNTIFS(Presentes!$H$2:$H$93,'Resumo '!H$1,Presentes!$G$2:$G$93,'Resumo '!$E8)</f>
        <v>2</v>
      </c>
      <c r="I8" s="18">
        <f t="shared" si="0"/>
        <v>2</v>
      </c>
      <c r="J8" s="16">
        <f>COUNTIFS(Inscritos!$I$2:$I$110,'Resumo '!J$1,Inscritos!$H$2:$H$110,'Resumo '!$E8)</f>
        <v>0</v>
      </c>
      <c r="K8" s="16">
        <f>COUNTIFS(Inscritos!$I$2:$I$110,'Resumo '!K$1,Inscritos!$H$2:$H$110,'Resumo '!$E8)</f>
        <v>2</v>
      </c>
      <c r="L8" s="19">
        <f t="shared" si="4"/>
        <v>2</v>
      </c>
      <c r="M8" s="11">
        <f t="shared" si="5"/>
        <v>0</v>
      </c>
      <c r="N8" s="38" t="str">
        <f t="shared" si="1"/>
        <v>0/0</v>
      </c>
      <c r="O8" s="38" t="str">
        <f t="shared" si="2"/>
        <v>2/2</v>
      </c>
      <c r="P8" s="38" t="str">
        <f t="shared" si="3"/>
        <v>2/2</v>
      </c>
    </row>
    <row r="9" spans="2:16" s="11" customFormat="1" ht="21.75" customHeight="1" x14ac:dyDescent="0.4">
      <c r="B9" s="11">
        <v>5</v>
      </c>
      <c r="C9" s="31">
        <v>45749</v>
      </c>
      <c r="D9" s="32" t="s">
        <v>574</v>
      </c>
      <c r="E9" s="33" t="s">
        <v>56</v>
      </c>
      <c r="F9" s="32" t="s">
        <v>575</v>
      </c>
      <c r="G9" s="17">
        <f>COUNTIFS(Presentes!$H$2:$H$93,'Resumo '!G$1,Presentes!$G$2:$G$93,'Resumo '!$E9)</f>
        <v>0</v>
      </c>
      <c r="H9" s="17">
        <f>COUNTIFS(Presentes!$H$2:$H$93,'Resumo '!H$1,Presentes!$G$2:$G$93,'Resumo '!$E9)</f>
        <v>2</v>
      </c>
      <c r="I9" s="18">
        <f t="shared" si="0"/>
        <v>2</v>
      </c>
      <c r="J9" s="16">
        <f>COUNTIFS(Inscritos!$I$2:$I$110,'Resumo '!J$1,Inscritos!$H$2:$H$110,'Resumo '!$E9)</f>
        <v>0</v>
      </c>
      <c r="K9" s="16">
        <f>COUNTIFS(Inscritos!$I$2:$I$110,'Resumo '!K$1,Inscritos!$H$2:$H$110,'Resumo '!$E9)</f>
        <v>2</v>
      </c>
      <c r="L9" s="19">
        <f t="shared" si="4"/>
        <v>2</v>
      </c>
      <c r="M9" s="11">
        <f t="shared" si="5"/>
        <v>0</v>
      </c>
      <c r="N9" s="38" t="str">
        <f t="shared" si="1"/>
        <v>0/0</v>
      </c>
      <c r="O9" s="38" t="str">
        <f t="shared" si="2"/>
        <v>2/2</v>
      </c>
      <c r="P9" s="38" t="str">
        <f t="shared" si="3"/>
        <v>2/2</v>
      </c>
    </row>
    <row r="10" spans="2:16" s="11" customFormat="1" ht="21.75" customHeight="1" x14ac:dyDescent="0.4">
      <c r="B10" s="11">
        <v>6</v>
      </c>
      <c r="C10" s="31">
        <v>45749</v>
      </c>
      <c r="D10" s="32" t="s">
        <v>578</v>
      </c>
      <c r="E10" s="33" t="s">
        <v>64</v>
      </c>
      <c r="F10" s="32" t="s">
        <v>579</v>
      </c>
      <c r="G10" s="17">
        <f>COUNTIFS(Presentes!$H$2:$H$93,'Resumo '!G$1,Presentes!$G$2:$G$93,'Resumo '!$E10)</f>
        <v>2</v>
      </c>
      <c r="H10" s="17">
        <f>COUNTIFS(Presentes!$H$2:$H$93,'Resumo '!H$1,Presentes!$G$2:$G$93,'Resumo '!$E10)</f>
        <v>2</v>
      </c>
      <c r="I10" s="18">
        <f t="shared" si="0"/>
        <v>4</v>
      </c>
      <c r="J10" s="16">
        <f>COUNTIFS(Inscritos!$I$2:$I$110,'Resumo '!J$1,Inscritos!$H$2:$H$110,'Resumo '!$E10)</f>
        <v>2</v>
      </c>
      <c r="K10" s="16">
        <f>COUNTIFS(Inscritos!$I$2:$I$110,'Resumo '!K$1,Inscritos!$H$2:$H$110,'Resumo '!$E10)</f>
        <v>2</v>
      </c>
      <c r="L10" s="19">
        <f t="shared" si="4"/>
        <v>4</v>
      </c>
      <c r="M10" s="11">
        <f t="shared" si="5"/>
        <v>0</v>
      </c>
      <c r="N10" s="38" t="str">
        <f t="shared" si="1"/>
        <v>2/2</v>
      </c>
      <c r="O10" s="38" t="str">
        <f t="shared" si="2"/>
        <v>2/2</v>
      </c>
      <c r="P10" s="38" t="str">
        <f t="shared" si="3"/>
        <v>4/4</v>
      </c>
    </row>
    <row r="11" spans="2:16" s="11" customFormat="1" ht="21.75" customHeight="1" x14ac:dyDescent="0.4">
      <c r="B11" s="11">
        <v>7</v>
      </c>
      <c r="C11" s="31">
        <v>45749</v>
      </c>
      <c r="D11" s="32" t="s">
        <v>582</v>
      </c>
      <c r="E11" s="33" t="s">
        <v>77</v>
      </c>
      <c r="F11" s="32" t="s">
        <v>583</v>
      </c>
      <c r="G11" s="17">
        <f>COUNTIFS(Presentes!$H$2:$H$93,'Resumo '!G$1,Presentes!$G$2:$G$93,'Resumo '!$E11)</f>
        <v>1</v>
      </c>
      <c r="H11" s="17">
        <f>COUNTIFS(Presentes!$H$2:$H$93,'Resumo '!H$1,Presentes!$G$2:$G$93,'Resumo '!$E11)</f>
        <v>3</v>
      </c>
      <c r="I11" s="18">
        <f t="shared" si="0"/>
        <v>4</v>
      </c>
      <c r="J11" s="16">
        <f>COUNTIFS(Inscritos!$I$2:$I$110,'Resumo '!J$1,Inscritos!$H$2:$H$110,'Resumo '!$E11)</f>
        <v>1</v>
      </c>
      <c r="K11" s="16">
        <f>COUNTIFS(Inscritos!$I$2:$I$110,'Resumo '!K$1,Inscritos!$H$2:$H$110,'Resumo '!$E11)</f>
        <v>3</v>
      </c>
      <c r="L11" s="19">
        <f t="shared" si="4"/>
        <v>4</v>
      </c>
      <c r="M11" s="11">
        <f t="shared" si="5"/>
        <v>0</v>
      </c>
      <c r="N11" s="38" t="str">
        <f t="shared" si="1"/>
        <v>1/1</v>
      </c>
      <c r="O11" s="38" t="str">
        <f t="shared" si="2"/>
        <v>3/3</v>
      </c>
      <c r="P11" s="38" t="str">
        <f t="shared" si="3"/>
        <v>4/4</v>
      </c>
    </row>
    <row r="12" spans="2:16" s="11" customFormat="1" ht="21.75" customHeight="1" x14ac:dyDescent="0.4">
      <c r="B12" s="11">
        <v>8</v>
      </c>
      <c r="C12" s="31">
        <v>45749</v>
      </c>
      <c r="D12" s="32" t="s">
        <v>586</v>
      </c>
      <c r="E12" s="33" t="s">
        <v>99</v>
      </c>
      <c r="F12" s="32" t="s">
        <v>587</v>
      </c>
      <c r="G12" s="17">
        <f>COUNTIFS(Presentes!$H$2:$H$93,'Resumo '!G$1,Presentes!$G$2:$G$93,'Resumo '!$E12)</f>
        <v>1</v>
      </c>
      <c r="H12" s="17">
        <f>COUNTIFS(Presentes!$H$2:$H$93,'Resumo '!H$1,Presentes!$G$2:$G$93,'Resumo '!$E12)</f>
        <v>1</v>
      </c>
      <c r="I12" s="18">
        <f t="shared" si="0"/>
        <v>2</v>
      </c>
      <c r="J12" s="16">
        <f>COUNTIFS(Inscritos!$I$2:$I$110,'Resumo '!J$1,Inscritos!$H$2:$H$110,'Resumo '!$E12)</f>
        <v>1</v>
      </c>
      <c r="K12" s="16">
        <f>COUNTIFS(Inscritos!$I$2:$I$110,'Resumo '!K$1,Inscritos!$H$2:$H$110,'Resumo '!$E12)</f>
        <v>2</v>
      </c>
      <c r="L12" s="19">
        <f t="shared" si="4"/>
        <v>3</v>
      </c>
      <c r="M12" s="11">
        <f t="shared" si="5"/>
        <v>0</v>
      </c>
      <c r="N12" s="38" t="str">
        <f t="shared" si="1"/>
        <v>1/1</v>
      </c>
      <c r="O12" s="38" t="str">
        <f t="shared" si="2"/>
        <v>1/2</v>
      </c>
      <c r="P12" s="38" t="str">
        <f t="shared" si="3"/>
        <v>2/3</v>
      </c>
    </row>
    <row r="13" spans="2:16" s="11" customFormat="1" ht="21.75" customHeight="1" x14ac:dyDescent="0.4">
      <c r="B13" s="11">
        <v>9</v>
      </c>
      <c r="C13" s="31">
        <v>45749</v>
      </c>
      <c r="D13" s="32" t="s">
        <v>590</v>
      </c>
      <c r="E13" s="33" t="s">
        <v>109</v>
      </c>
      <c r="F13" s="32" t="s">
        <v>591</v>
      </c>
      <c r="G13" s="17">
        <f>COUNTIFS(Presentes!$H$2:$H$93,'Resumo '!G$1,Presentes!$G$2:$G$93,'Resumo '!$E13)</f>
        <v>0</v>
      </c>
      <c r="H13" s="17">
        <f>COUNTIFS(Presentes!$H$2:$H$93,'Resumo '!H$1,Presentes!$G$2:$G$93,'Resumo '!$E13)</f>
        <v>1</v>
      </c>
      <c r="I13" s="18">
        <f t="shared" si="0"/>
        <v>1</v>
      </c>
      <c r="J13" s="16">
        <f>COUNTIFS(Inscritos!$I$2:$I$110,'Resumo '!J$1,Inscritos!$H$2:$H$110,'Resumo '!$E13)</f>
        <v>0</v>
      </c>
      <c r="K13" s="16">
        <f>COUNTIFS(Inscritos!$I$2:$I$110,'Resumo '!K$1,Inscritos!$H$2:$H$110,'Resumo '!$E13)</f>
        <v>1</v>
      </c>
      <c r="L13" s="19">
        <f t="shared" si="4"/>
        <v>1</v>
      </c>
      <c r="M13" s="11">
        <f t="shared" si="5"/>
        <v>0</v>
      </c>
      <c r="N13" s="38" t="str">
        <f t="shared" si="1"/>
        <v>0/0</v>
      </c>
      <c r="O13" s="38" t="str">
        <f t="shared" si="2"/>
        <v>1/1</v>
      </c>
      <c r="P13" s="38" t="str">
        <f t="shared" si="3"/>
        <v>1/1</v>
      </c>
    </row>
    <row r="14" spans="2:16" s="11" customFormat="1" ht="21.75" customHeight="1" x14ac:dyDescent="0.4">
      <c r="B14" s="11">
        <v>10</v>
      </c>
      <c r="C14" s="31">
        <v>45749</v>
      </c>
      <c r="D14" s="32" t="s">
        <v>594</v>
      </c>
      <c r="E14" s="33" t="s">
        <v>113</v>
      </c>
      <c r="F14" s="32" t="s">
        <v>595</v>
      </c>
      <c r="G14" s="17">
        <f>COUNTIFS(Presentes!$H$2:$H$93,'Resumo '!G$1,Presentes!$G$2:$G$93,'Resumo '!$E14)</f>
        <v>0</v>
      </c>
      <c r="H14" s="17">
        <f>COUNTIFS(Presentes!$H$2:$H$93,'Resumo '!H$1,Presentes!$G$2:$G$93,'Resumo '!$E14)</f>
        <v>3</v>
      </c>
      <c r="I14" s="18">
        <f t="shared" si="0"/>
        <v>3</v>
      </c>
      <c r="J14" s="16">
        <f>COUNTIFS(Inscritos!$I$2:$I$110,'Resumo '!J$1,Inscritos!$H$2:$H$110,'Resumo '!$E14)</f>
        <v>0</v>
      </c>
      <c r="K14" s="16">
        <f>COUNTIFS(Inscritos!$I$2:$I$110,'Resumo '!K$1,Inscritos!$H$2:$H$110,'Resumo '!$E14)</f>
        <v>3</v>
      </c>
      <c r="L14" s="19">
        <f t="shared" si="4"/>
        <v>3</v>
      </c>
      <c r="M14" s="11">
        <f t="shared" si="5"/>
        <v>0</v>
      </c>
      <c r="N14" s="38" t="str">
        <f t="shared" si="1"/>
        <v>0/0</v>
      </c>
      <c r="O14" s="38" t="str">
        <f t="shared" si="2"/>
        <v>3/3</v>
      </c>
      <c r="P14" s="38" t="str">
        <f t="shared" si="3"/>
        <v>3/3</v>
      </c>
    </row>
    <row r="15" spans="2:16" s="11" customFormat="1" ht="21.75" customHeight="1" x14ac:dyDescent="0.4">
      <c r="B15" s="11">
        <v>11</v>
      </c>
      <c r="C15" s="31">
        <v>45749</v>
      </c>
      <c r="D15" s="32" t="s">
        <v>597</v>
      </c>
      <c r="E15" s="33" t="s">
        <v>127</v>
      </c>
      <c r="F15" s="32" t="s">
        <v>598</v>
      </c>
      <c r="G15" s="17">
        <f>COUNTIFS(Presentes!$H$2:$H$93,'Resumo '!G$1,Presentes!$G$2:$G$93,'Resumo '!$E15)</f>
        <v>2</v>
      </c>
      <c r="H15" s="17">
        <f>COUNTIFS(Presentes!$H$2:$H$93,'Resumo '!H$1,Presentes!$G$2:$G$93,'Resumo '!$E15)</f>
        <v>3</v>
      </c>
      <c r="I15" s="18">
        <f t="shared" si="0"/>
        <v>5</v>
      </c>
      <c r="J15" s="16">
        <f>COUNTIFS(Inscritos!$I$2:$I$110,'Resumo '!J$1,Inscritos!$H$2:$H$110,'Resumo '!$E15)</f>
        <v>2</v>
      </c>
      <c r="K15" s="16">
        <f>COUNTIFS(Inscritos!$I$2:$I$110,'Resumo '!K$1,Inscritos!$H$2:$H$110,'Resumo '!$E15)</f>
        <v>3</v>
      </c>
      <c r="L15" s="19">
        <f t="shared" si="4"/>
        <v>5</v>
      </c>
      <c r="M15" s="11">
        <f t="shared" si="5"/>
        <v>0</v>
      </c>
      <c r="N15" s="38" t="str">
        <f t="shared" si="1"/>
        <v>2/2</v>
      </c>
      <c r="O15" s="38" t="str">
        <f t="shared" si="2"/>
        <v>3/3</v>
      </c>
      <c r="P15" s="38" t="str">
        <f t="shared" si="3"/>
        <v>5/5</v>
      </c>
    </row>
    <row r="16" spans="2:16" s="11" customFormat="1" ht="21.75" customHeight="1" x14ac:dyDescent="0.4">
      <c r="B16" s="11">
        <v>12</v>
      </c>
      <c r="C16" s="31">
        <v>45749</v>
      </c>
      <c r="D16" s="32" t="s">
        <v>601</v>
      </c>
      <c r="E16" s="33" t="s">
        <v>146</v>
      </c>
      <c r="F16" s="32" t="s">
        <v>602</v>
      </c>
      <c r="G16" s="17">
        <f>COUNTIFS(Presentes!$H$2:$H$93,'Resumo '!G$1,Presentes!$G$2:$G$93,'Resumo '!$E16)</f>
        <v>1</v>
      </c>
      <c r="H16" s="17">
        <f>COUNTIFS(Presentes!$H$2:$H$93,'Resumo '!H$1,Presentes!$G$2:$G$93,'Resumo '!$E16)</f>
        <v>1</v>
      </c>
      <c r="I16" s="18">
        <f t="shared" si="0"/>
        <v>2</v>
      </c>
      <c r="J16" s="16">
        <f>COUNTIFS(Inscritos!$I$2:$I$110,'Resumo '!J$1,Inscritos!$H$2:$H$110,'Resumo '!$E16)</f>
        <v>1</v>
      </c>
      <c r="K16" s="16">
        <f>COUNTIFS(Inscritos!$I$2:$I$110,'Resumo '!K$1,Inscritos!$H$2:$H$110,'Resumo '!$E16)</f>
        <v>1</v>
      </c>
      <c r="L16" s="19">
        <f t="shared" si="4"/>
        <v>2</v>
      </c>
      <c r="M16" s="11">
        <f t="shared" si="5"/>
        <v>0</v>
      </c>
      <c r="N16" s="38" t="str">
        <f t="shared" si="1"/>
        <v>1/1</v>
      </c>
      <c r="O16" s="38" t="str">
        <f t="shared" si="2"/>
        <v>1/1</v>
      </c>
      <c r="P16" s="38" t="str">
        <f t="shared" si="3"/>
        <v>2/2</v>
      </c>
    </row>
    <row r="17" spans="2:16" s="11" customFormat="1" ht="21.75" customHeight="1" x14ac:dyDescent="0.4">
      <c r="B17" s="11">
        <v>13</v>
      </c>
      <c r="C17" s="31">
        <v>45749</v>
      </c>
      <c r="D17" s="32" t="s">
        <v>604</v>
      </c>
      <c r="E17" s="33" t="s">
        <v>553</v>
      </c>
      <c r="F17" s="32" t="s">
        <v>605</v>
      </c>
      <c r="G17" s="17">
        <f>COUNTIFS(Presentes!$H$2:$H$93,'Resumo '!G$1,Presentes!$G$2:$G$93,'Resumo '!$E17)</f>
        <v>0</v>
      </c>
      <c r="H17" s="17">
        <f>COUNTIFS(Presentes!$H$2:$H$93,'Resumo '!H$1,Presentes!$G$2:$G$93,'Resumo '!$E17)</f>
        <v>0</v>
      </c>
      <c r="I17" s="18">
        <f t="shared" si="0"/>
        <v>0</v>
      </c>
      <c r="J17" s="16">
        <f>COUNTIFS(Inscritos!$I$2:$I$110,'Resumo '!J$1,Inscritos!$H$2:$H$110,'Resumo '!$E17)</f>
        <v>0</v>
      </c>
      <c r="K17" s="16">
        <f>COUNTIFS(Inscritos!$I$2:$I$110,'Resumo '!K$1,Inscritos!$H$2:$H$110,'Resumo '!$E17)</f>
        <v>0</v>
      </c>
      <c r="L17" s="19">
        <f t="shared" si="4"/>
        <v>0</v>
      </c>
      <c r="M17" s="11">
        <f t="shared" si="5"/>
        <v>0</v>
      </c>
      <c r="N17" s="38" t="str">
        <f t="shared" si="1"/>
        <v>0/0</v>
      </c>
      <c r="O17" s="38" t="str">
        <f t="shared" si="2"/>
        <v>0/0</v>
      </c>
      <c r="P17" s="38" t="str">
        <f t="shared" si="3"/>
        <v>0/0</v>
      </c>
    </row>
    <row r="18" spans="2:16" s="11" customFormat="1" ht="21.75" customHeight="1" x14ac:dyDescent="0.4">
      <c r="B18" s="11">
        <v>14</v>
      </c>
      <c r="C18" s="31">
        <v>45749</v>
      </c>
      <c r="D18" s="32" t="s">
        <v>607</v>
      </c>
      <c r="E18" s="33" t="s">
        <v>153</v>
      </c>
      <c r="F18" s="32" t="s">
        <v>608</v>
      </c>
      <c r="G18" s="17">
        <f>COUNTIFS(Presentes!$H$2:$H$93,'Resumo '!G$1,Presentes!$G$2:$G$93,'Resumo '!$E18)</f>
        <v>1</v>
      </c>
      <c r="H18" s="17">
        <f>COUNTIFS(Presentes!$H$2:$H$93,'Resumo '!H$1,Presentes!$G$2:$G$93,'Resumo '!$E18)</f>
        <v>1</v>
      </c>
      <c r="I18" s="18">
        <f t="shared" si="0"/>
        <v>2</v>
      </c>
      <c r="J18" s="16">
        <f>COUNTIFS(Inscritos!$I$2:$I$110,'Resumo '!J$1,Inscritos!$H$2:$H$110,'Resumo '!$E18)</f>
        <v>1</v>
      </c>
      <c r="K18" s="16">
        <f>COUNTIFS(Inscritos!$I$2:$I$110,'Resumo '!K$1,Inscritos!$H$2:$H$110,'Resumo '!$E18)</f>
        <v>1</v>
      </c>
      <c r="L18" s="19">
        <f t="shared" si="4"/>
        <v>2</v>
      </c>
      <c r="M18" s="11">
        <f t="shared" si="5"/>
        <v>0</v>
      </c>
      <c r="N18" s="38" t="str">
        <f t="shared" si="1"/>
        <v>1/1</v>
      </c>
      <c r="O18" s="38" t="str">
        <f t="shared" si="2"/>
        <v>1/1</v>
      </c>
      <c r="P18" s="38" t="str">
        <f t="shared" si="3"/>
        <v>2/2</v>
      </c>
    </row>
    <row r="19" spans="2:16" s="11" customFormat="1" ht="21.75" customHeight="1" x14ac:dyDescent="0.4">
      <c r="B19" s="11">
        <v>15</v>
      </c>
      <c r="C19" s="31">
        <v>45749</v>
      </c>
      <c r="D19" s="32" t="s">
        <v>561</v>
      </c>
      <c r="E19" s="33" t="s">
        <v>162</v>
      </c>
      <c r="F19" s="32" t="s">
        <v>562</v>
      </c>
      <c r="G19" s="17">
        <f>COUNTIFS(Presentes!$H$2:$H$93,'Resumo '!G$1,Presentes!$G$2:$G$93,'Resumo '!$E19)</f>
        <v>0</v>
      </c>
      <c r="H19" s="17">
        <f>COUNTIFS(Presentes!$H$2:$H$93,'Resumo '!H$1,Presentes!$G$2:$G$93,'Resumo '!$E19)</f>
        <v>1</v>
      </c>
      <c r="I19" s="18">
        <f t="shared" si="0"/>
        <v>1</v>
      </c>
      <c r="J19" s="16">
        <f>COUNTIFS(Inscritos!$I$2:$I$110,'Resumo '!J$1,Inscritos!$H$2:$H$110,'Resumo '!$E19)</f>
        <v>0</v>
      </c>
      <c r="K19" s="16">
        <f>COUNTIFS(Inscritos!$I$2:$I$110,'Resumo '!K$1,Inscritos!$H$2:$H$110,'Resumo '!$E19)</f>
        <v>1</v>
      </c>
      <c r="L19" s="19">
        <f t="shared" si="4"/>
        <v>1</v>
      </c>
      <c r="M19" s="11">
        <f t="shared" si="5"/>
        <v>0</v>
      </c>
      <c r="N19" s="38" t="str">
        <f t="shared" si="1"/>
        <v>0/0</v>
      </c>
      <c r="O19" s="38" t="str">
        <f t="shared" si="2"/>
        <v>1/1</v>
      </c>
      <c r="P19" s="38" t="str">
        <f t="shared" si="3"/>
        <v>1/1</v>
      </c>
    </row>
    <row r="20" spans="2:16" s="11" customFormat="1" ht="21.75" customHeight="1" x14ac:dyDescent="0.4">
      <c r="B20" s="11">
        <v>16</v>
      </c>
      <c r="C20" s="31">
        <v>45749</v>
      </c>
      <c r="D20" s="32" t="s">
        <v>565</v>
      </c>
      <c r="E20" s="33" t="s">
        <v>166</v>
      </c>
      <c r="F20" s="32" t="s">
        <v>566</v>
      </c>
      <c r="G20" s="17">
        <f>COUNTIFS(Presentes!$H$2:$H$93,'Resumo '!G$1,Presentes!$G$2:$G$93,'Resumo '!$E20)</f>
        <v>1</v>
      </c>
      <c r="H20" s="17">
        <f>COUNTIFS(Presentes!$H$2:$H$93,'Resumo '!H$1,Presentes!$G$2:$G$93,'Resumo '!$E20)</f>
        <v>2</v>
      </c>
      <c r="I20" s="18">
        <f t="shared" si="0"/>
        <v>3</v>
      </c>
      <c r="J20" s="16">
        <f>COUNTIFS(Inscritos!$I$2:$I$110,'Resumo '!J$1,Inscritos!$H$2:$H$110,'Resumo '!$E20)</f>
        <v>2</v>
      </c>
      <c r="K20" s="16">
        <f>COUNTIFS(Inscritos!$I$2:$I$110,'Resumo '!K$1,Inscritos!$H$2:$H$110,'Resumo '!$E20)</f>
        <v>3</v>
      </c>
      <c r="L20" s="19">
        <f t="shared" si="4"/>
        <v>5</v>
      </c>
      <c r="M20" s="11">
        <f t="shared" si="5"/>
        <v>0</v>
      </c>
      <c r="N20" s="38" t="str">
        <f t="shared" si="1"/>
        <v>1/2</v>
      </c>
      <c r="O20" s="38" t="str">
        <f t="shared" si="2"/>
        <v>2/3</v>
      </c>
      <c r="P20" s="38" t="str">
        <f t="shared" si="3"/>
        <v>3/5</v>
      </c>
    </row>
    <row r="21" spans="2:16" s="11" customFormat="1" ht="21.75" customHeight="1" x14ac:dyDescent="0.4">
      <c r="B21" s="11">
        <v>17</v>
      </c>
      <c r="C21" s="31">
        <v>45749</v>
      </c>
      <c r="D21" s="32" t="s">
        <v>569</v>
      </c>
      <c r="E21" s="33" t="s">
        <v>179</v>
      </c>
      <c r="F21" s="32" t="s">
        <v>570</v>
      </c>
      <c r="G21" s="17">
        <f>COUNTIFS(Presentes!$H$2:$H$93,'Resumo '!G$1,Presentes!$G$2:$G$93,'Resumo '!$E21)</f>
        <v>0</v>
      </c>
      <c r="H21" s="17">
        <f>COUNTIFS(Presentes!$H$2:$H$93,'Resumo '!H$1,Presentes!$G$2:$G$93,'Resumo '!$E21)</f>
        <v>2</v>
      </c>
      <c r="I21" s="18">
        <f t="shared" si="0"/>
        <v>2</v>
      </c>
      <c r="J21" s="16">
        <f>COUNTIFS(Inscritos!$I$2:$I$110,'Resumo '!J$1,Inscritos!$H$2:$H$110,'Resumo '!$E21)</f>
        <v>0</v>
      </c>
      <c r="K21" s="16">
        <f>COUNTIFS(Inscritos!$I$2:$I$110,'Resumo '!K$1,Inscritos!$H$2:$H$110,'Resumo '!$E21)</f>
        <v>2</v>
      </c>
      <c r="L21" s="19">
        <f t="shared" si="4"/>
        <v>2</v>
      </c>
      <c r="M21" s="11">
        <f t="shared" si="5"/>
        <v>0</v>
      </c>
      <c r="N21" s="38" t="str">
        <f t="shared" si="1"/>
        <v>0/0</v>
      </c>
      <c r="O21" s="38" t="str">
        <f t="shared" si="2"/>
        <v>2/2</v>
      </c>
      <c r="P21" s="38" t="str">
        <f t="shared" si="3"/>
        <v>2/2</v>
      </c>
    </row>
    <row r="22" spans="2:16" s="11" customFormat="1" ht="21.75" customHeight="1" x14ac:dyDescent="0.4">
      <c r="B22" s="11">
        <v>18</v>
      </c>
      <c r="C22" s="31">
        <v>45749</v>
      </c>
      <c r="D22" s="32" t="s">
        <v>573</v>
      </c>
      <c r="E22" s="33" t="s">
        <v>186</v>
      </c>
      <c r="F22" s="32" t="s">
        <v>562</v>
      </c>
      <c r="G22" s="17">
        <f>COUNTIFS(Presentes!$H$2:$H$93,'Resumo '!G$1,Presentes!$G$2:$G$93,'Resumo '!$E22)</f>
        <v>0</v>
      </c>
      <c r="H22" s="17">
        <f>COUNTIFS(Presentes!$H$2:$H$93,'Resumo '!H$1,Presentes!$G$2:$G$93,'Resumo '!$E22)</f>
        <v>2</v>
      </c>
      <c r="I22" s="18">
        <f t="shared" si="0"/>
        <v>2</v>
      </c>
      <c r="J22" s="16">
        <f>COUNTIFS(Inscritos!$I$2:$I$110,'Resumo '!J$1,Inscritos!$H$2:$H$110,'Resumo '!$E22)</f>
        <v>0</v>
      </c>
      <c r="K22" s="16">
        <f>COUNTIFS(Inscritos!$I$2:$I$110,'Resumo '!K$1,Inscritos!$H$2:$H$110,'Resumo '!$E22)</f>
        <v>2</v>
      </c>
      <c r="L22" s="19">
        <f t="shared" si="4"/>
        <v>2</v>
      </c>
      <c r="M22" s="11">
        <f t="shared" si="5"/>
        <v>0</v>
      </c>
      <c r="N22" s="38" t="str">
        <f t="shared" si="1"/>
        <v>0/0</v>
      </c>
      <c r="O22" s="38" t="str">
        <f t="shared" si="2"/>
        <v>2/2</v>
      </c>
      <c r="P22" s="38" t="str">
        <f t="shared" si="3"/>
        <v>2/2</v>
      </c>
    </row>
    <row r="23" spans="2:16" s="11" customFormat="1" ht="21.75" customHeight="1" x14ac:dyDescent="0.4">
      <c r="B23" s="11">
        <v>19</v>
      </c>
      <c r="C23" s="31">
        <v>45750</v>
      </c>
      <c r="D23" s="32" t="s">
        <v>576</v>
      </c>
      <c r="E23" s="33" t="s">
        <v>193</v>
      </c>
      <c r="F23" s="32" t="s">
        <v>577</v>
      </c>
      <c r="G23" s="17">
        <f>COUNTIFS(Presentes!$H$2:$H$93,'Resumo '!G$1,Presentes!$G$2:$G$93,'Resumo '!$E23)</f>
        <v>1</v>
      </c>
      <c r="H23" s="17">
        <f>COUNTIFS(Presentes!$H$2:$H$93,'Resumo '!H$1,Presentes!$G$2:$G$93,'Resumo '!$E23)</f>
        <v>1</v>
      </c>
      <c r="I23" s="18">
        <f t="shared" si="0"/>
        <v>2</v>
      </c>
      <c r="J23" s="16">
        <f>COUNTIFS(Inscritos!$I$2:$I$110,'Resumo '!J$1,Inscritos!$H$2:$H$110,'Resumo '!$E23)</f>
        <v>1</v>
      </c>
      <c r="K23" s="16">
        <f>COUNTIFS(Inscritos!$I$2:$I$110,'Resumo '!K$1,Inscritos!$H$2:$H$110,'Resumo '!$E23)</f>
        <v>2</v>
      </c>
      <c r="L23" s="19">
        <f t="shared" si="4"/>
        <v>3</v>
      </c>
      <c r="M23" s="11">
        <f t="shared" si="5"/>
        <v>0</v>
      </c>
      <c r="N23" s="38" t="str">
        <f t="shared" si="1"/>
        <v>1/1</v>
      </c>
      <c r="O23" s="38" t="str">
        <f t="shared" si="2"/>
        <v>1/2</v>
      </c>
      <c r="P23" s="38" t="str">
        <f t="shared" si="3"/>
        <v>2/3</v>
      </c>
    </row>
    <row r="24" spans="2:16" s="11" customFormat="1" ht="21.75" customHeight="1" x14ac:dyDescent="0.4">
      <c r="B24" s="11">
        <v>20</v>
      </c>
      <c r="C24" s="31">
        <v>45750</v>
      </c>
      <c r="D24" s="32" t="s">
        <v>580</v>
      </c>
      <c r="E24" s="33" t="s">
        <v>202</v>
      </c>
      <c r="F24" s="32" t="s">
        <v>581</v>
      </c>
      <c r="G24" s="17">
        <f>COUNTIFS(Presentes!$H$2:$H$93,'Resumo '!G$1,Presentes!$G$2:$G$93,'Resumo '!$E24)</f>
        <v>1</v>
      </c>
      <c r="H24" s="17">
        <f>COUNTIFS(Presentes!$H$2:$H$93,'Resumo '!H$1,Presentes!$G$2:$G$93,'Resumo '!$E24)</f>
        <v>1</v>
      </c>
      <c r="I24" s="18">
        <f t="shared" si="0"/>
        <v>2</v>
      </c>
      <c r="J24" s="16">
        <f>COUNTIFS(Inscritos!$I$2:$I$110,'Resumo '!J$1,Inscritos!$H$2:$H$110,'Resumo '!$E24)</f>
        <v>2</v>
      </c>
      <c r="K24" s="16">
        <f>COUNTIFS(Inscritos!$I$2:$I$110,'Resumo '!K$1,Inscritos!$H$2:$H$110,'Resumo '!$E24)</f>
        <v>1</v>
      </c>
      <c r="L24" s="19">
        <f t="shared" si="4"/>
        <v>3</v>
      </c>
      <c r="M24" s="11">
        <f t="shared" si="5"/>
        <v>0</v>
      </c>
      <c r="N24" s="38" t="str">
        <f t="shared" si="1"/>
        <v>1/2</v>
      </c>
      <c r="O24" s="38" t="str">
        <f t="shared" si="2"/>
        <v>1/1</v>
      </c>
      <c r="P24" s="38" t="str">
        <f t="shared" si="3"/>
        <v>2/3</v>
      </c>
    </row>
    <row r="25" spans="2:16" s="11" customFormat="1" ht="21.75" customHeight="1" x14ac:dyDescent="0.4">
      <c r="B25" s="11">
        <v>21</v>
      </c>
      <c r="C25" s="31">
        <v>45750</v>
      </c>
      <c r="D25" s="32" t="s">
        <v>584</v>
      </c>
      <c r="E25" s="33" t="s">
        <v>209</v>
      </c>
      <c r="F25" s="32" t="s">
        <v>585</v>
      </c>
      <c r="G25" s="17">
        <f>COUNTIFS(Presentes!$H$2:$H$93,'Resumo '!G$1,Presentes!$G$2:$G$93,'Resumo '!$E25)</f>
        <v>0</v>
      </c>
      <c r="H25" s="17">
        <f>COUNTIFS(Presentes!$H$2:$H$93,'Resumo '!H$1,Presentes!$G$2:$G$93,'Resumo '!$E25)</f>
        <v>2</v>
      </c>
      <c r="I25" s="18">
        <f t="shared" si="0"/>
        <v>2</v>
      </c>
      <c r="J25" s="16">
        <f>COUNTIFS(Inscritos!$I$2:$I$110,'Resumo '!J$1,Inscritos!$H$2:$H$110,'Resumo '!$E25)</f>
        <v>0</v>
      </c>
      <c r="K25" s="16">
        <f>COUNTIFS(Inscritos!$I$2:$I$110,'Resumo '!K$1,Inscritos!$H$2:$H$110,'Resumo '!$E25)</f>
        <v>2</v>
      </c>
      <c r="L25" s="19">
        <f t="shared" si="4"/>
        <v>2</v>
      </c>
      <c r="M25" s="11">
        <f t="shared" si="5"/>
        <v>0</v>
      </c>
      <c r="N25" s="38" t="str">
        <f t="shared" si="1"/>
        <v>0/0</v>
      </c>
      <c r="O25" s="38" t="str">
        <f t="shared" si="2"/>
        <v>2/2</v>
      </c>
      <c r="P25" s="38" t="str">
        <f t="shared" si="3"/>
        <v>2/2</v>
      </c>
    </row>
    <row r="26" spans="2:16" s="11" customFormat="1" ht="21.75" customHeight="1" x14ac:dyDescent="0.4">
      <c r="B26" s="11">
        <v>22</v>
      </c>
      <c r="C26" s="31">
        <v>45750</v>
      </c>
      <c r="D26" s="32" t="s">
        <v>588</v>
      </c>
      <c r="E26" s="33" t="s">
        <v>216</v>
      </c>
      <c r="F26" s="32" t="s">
        <v>589</v>
      </c>
      <c r="G26" s="17">
        <f>COUNTIFS(Presentes!$H$2:$H$93,'Resumo '!G$1,Presentes!$G$2:$G$93,'Resumo '!$E26)</f>
        <v>3</v>
      </c>
      <c r="H26" s="17">
        <f>COUNTIFS(Presentes!$H$2:$H$93,'Resumo '!H$1,Presentes!$G$2:$G$93,'Resumo '!$E26)</f>
        <v>1</v>
      </c>
      <c r="I26" s="18">
        <f t="shared" si="0"/>
        <v>4</v>
      </c>
      <c r="J26" s="16">
        <f>COUNTIFS(Inscritos!$I$2:$I$110,'Resumo '!J$1,Inscritos!$H$2:$H$110,'Resumo '!$E26)</f>
        <v>3</v>
      </c>
      <c r="K26" s="16">
        <f>COUNTIFS(Inscritos!$I$2:$I$110,'Resumo '!K$1,Inscritos!$H$2:$H$110,'Resumo '!$E26)</f>
        <v>3</v>
      </c>
      <c r="L26" s="19">
        <f t="shared" si="4"/>
        <v>6</v>
      </c>
      <c r="M26" s="11">
        <f t="shared" si="5"/>
        <v>0</v>
      </c>
      <c r="N26" s="38" t="str">
        <f t="shared" si="1"/>
        <v>3/3</v>
      </c>
      <c r="O26" s="38" t="str">
        <f t="shared" si="2"/>
        <v>1/3</v>
      </c>
      <c r="P26" s="38" t="str">
        <f t="shared" si="3"/>
        <v>4/6</v>
      </c>
    </row>
    <row r="27" spans="2:16" s="11" customFormat="1" ht="21.75" customHeight="1" x14ac:dyDescent="0.4">
      <c r="B27" s="11">
        <v>23</v>
      </c>
      <c r="C27" s="31">
        <v>45750</v>
      </c>
      <c r="D27" s="32" t="s">
        <v>592</v>
      </c>
      <c r="E27" s="33" t="s">
        <v>233</v>
      </c>
      <c r="F27" s="32" t="s">
        <v>593</v>
      </c>
      <c r="G27" s="17">
        <f>COUNTIFS(Presentes!$H$2:$H$93,'Resumo '!G$1,Presentes!$G$2:$G$93,'Resumo '!$E27)</f>
        <v>1</v>
      </c>
      <c r="H27" s="17">
        <f>COUNTIFS(Presentes!$H$2:$H$93,'Resumo '!H$1,Presentes!$G$2:$G$93,'Resumo '!$E27)</f>
        <v>3</v>
      </c>
      <c r="I27" s="18">
        <f t="shared" si="0"/>
        <v>4</v>
      </c>
      <c r="J27" s="16">
        <f>COUNTIFS(Inscritos!$I$2:$I$110,'Resumo '!J$1,Inscritos!$H$2:$H$110,'Resumo '!$E27)</f>
        <v>2</v>
      </c>
      <c r="K27" s="16">
        <f>COUNTIFS(Inscritos!$I$2:$I$110,'Resumo '!K$1,Inscritos!$H$2:$H$110,'Resumo '!$E27)</f>
        <v>3</v>
      </c>
      <c r="L27" s="19">
        <f t="shared" si="4"/>
        <v>5</v>
      </c>
      <c r="M27" s="11">
        <f t="shared" si="5"/>
        <v>0</v>
      </c>
      <c r="N27" s="38" t="str">
        <f t="shared" si="1"/>
        <v>1/2</v>
      </c>
      <c r="O27" s="38" t="str">
        <f t="shared" si="2"/>
        <v>3/3</v>
      </c>
      <c r="P27" s="38" t="str">
        <f t="shared" si="3"/>
        <v>4/5</v>
      </c>
    </row>
    <row r="28" spans="2:16" s="11" customFormat="1" ht="21.75" customHeight="1" x14ac:dyDescent="0.4">
      <c r="B28" s="11">
        <v>24</v>
      </c>
      <c r="C28" s="31">
        <v>45750</v>
      </c>
      <c r="D28" s="32" t="s">
        <v>596</v>
      </c>
      <c r="E28" s="33" t="s">
        <v>248</v>
      </c>
      <c r="F28" s="32" t="s">
        <v>579</v>
      </c>
      <c r="G28" s="17">
        <f>COUNTIFS(Presentes!$H$2:$H$93,'Resumo '!G$1,Presentes!$G$2:$G$93,'Resumo '!$E28)</f>
        <v>0</v>
      </c>
      <c r="H28" s="17">
        <f>COUNTIFS(Presentes!$H$2:$H$93,'Resumo '!H$1,Presentes!$G$2:$G$93,'Resumo '!$E28)</f>
        <v>1</v>
      </c>
      <c r="I28" s="18">
        <f t="shared" si="0"/>
        <v>1</v>
      </c>
      <c r="J28" s="16">
        <f>COUNTIFS(Inscritos!$I$2:$I$110,'Resumo '!J$1,Inscritos!$H$2:$H$110,'Resumo '!$E28)</f>
        <v>0</v>
      </c>
      <c r="K28" s="16">
        <f>COUNTIFS(Inscritos!$I$2:$I$110,'Resumo '!K$1,Inscritos!$H$2:$H$110,'Resumo '!$E28)</f>
        <v>1</v>
      </c>
      <c r="L28" s="19">
        <f t="shared" si="4"/>
        <v>1</v>
      </c>
      <c r="M28" s="11">
        <f t="shared" si="5"/>
        <v>0</v>
      </c>
      <c r="N28" s="38" t="str">
        <f t="shared" si="1"/>
        <v>0/0</v>
      </c>
      <c r="O28" s="38" t="str">
        <f t="shared" si="2"/>
        <v>1/1</v>
      </c>
      <c r="P28" s="38" t="str">
        <f t="shared" si="3"/>
        <v>1/1</v>
      </c>
    </row>
    <row r="29" spans="2:16" s="11" customFormat="1" ht="21.75" customHeight="1" x14ac:dyDescent="0.4">
      <c r="B29" s="11">
        <v>25</v>
      </c>
      <c r="C29" s="31">
        <v>45750</v>
      </c>
      <c r="D29" s="32" t="s">
        <v>599</v>
      </c>
      <c r="E29" s="33" t="s">
        <v>252</v>
      </c>
      <c r="F29" s="32" t="s">
        <v>600</v>
      </c>
      <c r="G29" s="17">
        <f>COUNTIFS(Presentes!$H$2:$H$93,'Resumo '!G$1,Presentes!$G$2:$G$93,'Resumo '!$E29)</f>
        <v>2</v>
      </c>
      <c r="H29" s="17">
        <f>COUNTIFS(Presentes!$H$2:$H$93,'Resumo '!H$1,Presentes!$G$2:$G$93,'Resumo '!$E29)</f>
        <v>1</v>
      </c>
      <c r="I29" s="18">
        <f t="shared" si="0"/>
        <v>3</v>
      </c>
      <c r="J29" s="16">
        <f>COUNTIFS(Inscritos!$I$2:$I$110,'Resumo '!J$1,Inscritos!$H$2:$H$110,'Resumo '!$E29)</f>
        <v>2</v>
      </c>
      <c r="K29" s="16">
        <f>COUNTIFS(Inscritos!$I$2:$I$110,'Resumo '!K$1,Inscritos!$H$2:$H$110,'Resumo '!$E29)</f>
        <v>3</v>
      </c>
      <c r="L29" s="19">
        <f t="shared" si="4"/>
        <v>5</v>
      </c>
      <c r="M29" s="11">
        <f t="shared" si="5"/>
        <v>0</v>
      </c>
      <c r="N29" s="38" t="str">
        <f t="shared" si="1"/>
        <v>2/2</v>
      </c>
      <c r="O29" s="38" t="str">
        <f t="shared" si="2"/>
        <v>1/3</v>
      </c>
      <c r="P29" s="38" t="str">
        <f t="shared" si="3"/>
        <v>3/5</v>
      </c>
    </row>
    <row r="30" spans="2:16" s="11" customFormat="1" ht="21.75" customHeight="1" x14ac:dyDescent="0.4">
      <c r="B30" s="11">
        <v>26</v>
      </c>
      <c r="C30" s="31">
        <v>45750</v>
      </c>
      <c r="D30" s="32" t="s">
        <v>603</v>
      </c>
      <c r="E30" s="33" t="s">
        <v>262</v>
      </c>
      <c r="F30" s="32" t="s">
        <v>581</v>
      </c>
      <c r="G30" s="17">
        <f>COUNTIFS(Presentes!$H$2:$H$93,'Resumo '!G$1,Presentes!$G$2:$G$93,'Resumo '!$E30)</f>
        <v>1</v>
      </c>
      <c r="H30" s="17">
        <f>COUNTIFS(Presentes!$H$2:$H$93,'Resumo '!H$1,Presentes!$G$2:$G$93,'Resumo '!$E30)</f>
        <v>1</v>
      </c>
      <c r="I30" s="18">
        <f t="shared" si="0"/>
        <v>2</v>
      </c>
      <c r="J30" s="16">
        <f>COUNTIFS(Inscritos!$I$2:$I$110,'Resumo '!J$1,Inscritos!$H$2:$H$110,'Resumo '!$E30)</f>
        <v>1</v>
      </c>
      <c r="K30" s="16">
        <f>COUNTIFS(Inscritos!$I$2:$I$110,'Resumo '!K$1,Inscritos!$H$2:$H$110,'Resumo '!$E30)</f>
        <v>1</v>
      </c>
      <c r="L30" s="19">
        <f t="shared" si="4"/>
        <v>2</v>
      </c>
      <c r="M30" s="11">
        <f t="shared" si="5"/>
        <v>0</v>
      </c>
      <c r="N30" s="38" t="str">
        <f t="shared" si="1"/>
        <v>1/1</v>
      </c>
      <c r="O30" s="38" t="str">
        <f t="shared" si="2"/>
        <v>1/1</v>
      </c>
      <c r="P30" s="38" t="str">
        <f t="shared" si="3"/>
        <v>2/2</v>
      </c>
    </row>
    <row r="31" spans="2:16" s="11" customFormat="1" ht="21.75" customHeight="1" x14ac:dyDescent="0.4">
      <c r="B31" s="11">
        <v>27</v>
      </c>
      <c r="C31" s="31">
        <v>45750</v>
      </c>
      <c r="D31" s="32" t="s">
        <v>606</v>
      </c>
      <c r="E31" s="33" t="s">
        <v>271</v>
      </c>
      <c r="F31" s="32" t="s">
        <v>579</v>
      </c>
      <c r="G31" s="17">
        <f>COUNTIFS(Presentes!$H$2:$H$93,'Resumo '!G$1,Presentes!$G$2:$G$93,'Resumo '!$E31)</f>
        <v>2</v>
      </c>
      <c r="H31" s="17">
        <f>COUNTIFS(Presentes!$H$2:$H$93,'Resumo '!H$1,Presentes!$G$2:$G$93,'Resumo '!$E31)</f>
        <v>1</v>
      </c>
      <c r="I31" s="18">
        <f t="shared" si="0"/>
        <v>3</v>
      </c>
      <c r="J31" s="16">
        <f>COUNTIFS(Inscritos!$I$2:$I$110,'Resumo '!J$1,Inscritos!$H$2:$H$110,'Resumo '!$E31)</f>
        <v>3</v>
      </c>
      <c r="K31" s="16">
        <f>COUNTIFS(Inscritos!$I$2:$I$110,'Resumo '!K$1,Inscritos!$H$2:$H$110,'Resumo '!$E31)</f>
        <v>2</v>
      </c>
      <c r="L31" s="19">
        <f t="shared" si="4"/>
        <v>5</v>
      </c>
      <c r="M31" s="11">
        <f t="shared" si="5"/>
        <v>0</v>
      </c>
      <c r="N31" s="38" t="str">
        <f t="shared" si="1"/>
        <v>2/3</v>
      </c>
      <c r="O31" s="38" t="str">
        <f t="shared" si="2"/>
        <v>1/2</v>
      </c>
      <c r="P31" s="38" t="str">
        <f t="shared" si="3"/>
        <v>3/5</v>
      </c>
    </row>
    <row r="32" spans="2:16" s="11" customFormat="1" ht="21.75" customHeight="1" x14ac:dyDescent="0.4">
      <c r="B32" s="11">
        <v>28</v>
      </c>
      <c r="C32" s="31">
        <v>45750</v>
      </c>
      <c r="D32" s="32" t="s">
        <v>609</v>
      </c>
      <c r="E32" s="33" t="s">
        <v>357</v>
      </c>
      <c r="F32" s="32" t="s">
        <v>610</v>
      </c>
      <c r="G32" s="17">
        <f>COUNTIFS(Presentes!$H$2:$H$93,'Resumo '!G$1,Presentes!$G$2:$G$93,'Resumo '!$E32)</f>
        <v>2</v>
      </c>
      <c r="H32" s="17">
        <f>COUNTIFS(Presentes!$H$2:$H$93,'Resumo '!H$1,Presentes!$G$2:$G$93,'Resumo '!$E32)</f>
        <v>2</v>
      </c>
      <c r="I32" s="18">
        <f t="shared" si="0"/>
        <v>4</v>
      </c>
      <c r="J32" s="16">
        <f>COUNTIFS(Inscritos!$I$2:$I$110,'Resumo '!J$1,Inscritos!$H$2:$H$110,'Resumo '!$E32)</f>
        <v>2</v>
      </c>
      <c r="K32" s="16">
        <f>COUNTIFS(Inscritos!$I$2:$I$110,'Resumo '!K$1,Inscritos!$H$2:$H$110,'Resumo '!$E32)</f>
        <v>2</v>
      </c>
      <c r="L32" s="19">
        <f t="shared" si="4"/>
        <v>4</v>
      </c>
      <c r="M32" s="11">
        <f t="shared" si="5"/>
        <v>0</v>
      </c>
      <c r="N32" s="38" t="str">
        <f t="shared" si="1"/>
        <v>2/2</v>
      </c>
      <c r="O32" s="38" t="str">
        <f t="shared" si="2"/>
        <v>2/2</v>
      </c>
      <c r="P32" s="38" t="str">
        <f t="shared" si="3"/>
        <v>4/4</v>
      </c>
    </row>
    <row r="33" spans="2:17" s="11" customFormat="1" ht="21.75" customHeight="1" x14ac:dyDescent="0.4">
      <c r="B33" s="11">
        <v>29</v>
      </c>
      <c r="C33" s="31">
        <v>45750</v>
      </c>
      <c r="D33" s="32" t="s">
        <v>611</v>
      </c>
      <c r="E33" s="33" t="s">
        <v>298</v>
      </c>
      <c r="F33" s="32" t="s">
        <v>577</v>
      </c>
      <c r="G33" s="17">
        <f>COUNTIFS(Presentes!$H$2:$H$93,'Resumo '!G$1,Presentes!$G$2:$G$93,'Resumo '!$E33)</f>
        <v>0</v>
      </c>
      <c r="H33" s="17">
        <f>COUNTIFS(Presentes!$H$2:$H$93,'Resumo '!H$1,Presentes!$G$2:$G$93,'Resumo '!$E33)</f>
        <v>2</v>
      </c>
      <c r="I33" s="18">
        <f t="shared" si="0"/>
        <v>2</v>
      </c>
      <c r="J33" s="16">
        <f>COUNTIFS(Inscritos!$I$2:$I$110,'Resumo '!J$1,Inscritos!$H$2:$H$110,'Resumo '!$E33)</f>
        <v>1</v>
      </c>
      <c r="K33" s="16">
        <f>COUNTIFS(Inscritos!$I$2:$I$110,'Resumo '!K$1,Inscritos!$H$2:$H$110,'Resumo '!$E33)</f>
        <v>2</v>
      </c>
      <c r="L33" s="19">
        <f t="shared" si="4"/>
        <v>3</v>
      </c>
      <c r="M33" s="11">
        <f t="shared" si="5"/>
        <v>0</v>
      </c>
      <c r="N33" s="38" t="str">
        <f t="shared" si="1"/>
        <v>0/1</v>
      </c>
      <c r="O33" s="38" t="str">
        <f t="shared" si="2"/>
        <v>2/2</v>
      </c>
      <c r="P33" s="38" t="str">
        <f t="shared" si="3"/>
        <v>2/3</v>
      </c>
    </row>
    <row r="34" spans="2:17" s="11" customFormat="1" ht="21.75" customHeight="1" x14ac:dyDescent="0.4">
      <c r="B34" s="11">
        <v>30</v>
      </c>
      <c r="C34" s="31">
        <v>45750</v>
      </c>
      <c r="D34" s="32" t="s">
        <v>613</v>
      </c>
      <c r="E34" s="33" t="s">
        <v>305</v>
      </c>
      <c r="F34" s="32" t="s">
        <v>600</v>
      </c>
      <c r="G34" s="17">
        <f>COUNTIFS(Presentes!$H$2:$H$93,'Resumo '!G$1,Presentes!$G$2:$G$93,'Resumo '!$E34)</f>
        <v>2</v>
      </c>
      <c r="H34" s="17">
        <f>COUNTIFS(Presentes!$H$2:$H$93,'Resumo '!H$1,Presentes!$G$2:$G$93,'Resumo '!$E34)</f>
        <v>1</v>
      </c>
      <c r="I34" s="18">
        <f t="shared" si="0"/>
        <v>3</v>
      </c>
      <c r="J34" s="16">
        <f>COUNTIFS(Inscritos!$I$2:$I$110,'Resumo '!J$1,Inscritos!$H$2:$H$110,'Resumo '!$E34)</f>
        <v>2</v>
      </c>
      <c r="K34" s="16">
        <f>COUNTIFS(Inscritos!$I$2:$I$110,'Resumo '!K$1,Inscritos!$H$2:$H$110,'Resumo '!$E34)</f>
        <v>2</v>
      </c>
      <c r="L34" s="19">
        <f t="shared" si="4"/>
        <v>4</v>
      </c>
      <c r="M34" s="11">
        <f t="shared" si="5"/>
        <v>0</v>
      </c>
      <c r="N34" s="38" t="str">
        <f t="shared" si="1"/>
        <v>2/2</v>
      </c>
      <c r="O34" s="38" t="str">
        <f t="shared" si="2"/>
        <v>1/2</v>
      </c>
      <c r="P34" s="38" t="str">
        <f t="shared" si="3"/>
        <v>3/4</v>
      </c>
    </row>
    <row r="35" spans="2:17" s="11" customFormat="1" ht="21.75" customHeight="1" x14ac:dyDescent="0.4">
      <c r="B35" s="11">
        <v>31</v>
      </c>
      <c r="C35" s="31">
        <v>45750</v>
      </c>
      <c r="D35" s="32" t="s">
        <v>615</v>
      </c>
      <c r="E35" s="33" t="s">
        <v>315</v>
      </c>
      <c r="F35" s="32" t="s">
        <v>585</v>
      </c>
      <c r="G35" s="17">
        <f>COUNTIFS(Presentes!$H$2:$H$93,'Resumo '!G$1,Presentes!$G$2:$G$93,'Resumo '!$E35)</f>
        <v>2</v>
      </c>
      <c r="H35" s="17">
        <f>COUNTIFS(Presentes!$H$2:$H$93,'Resumo '!H$1,Presentes!$G$2:$G$93,'Resumo '!$E35)</f>
        <v>2</v>
      </c>
      <c r="I35" s="18">
        <f t="shared" si="0"/>
        <v>4</v>
      </c>
      <c r="J35" s="16">
        <f>COUNTIFS(Inscritos!$I$2:$I$110,'Resumo '!J$1,Inscritos!$H$2:$H$110,'Resumo '!$E35)</f>
        <v>2</v>
      </c>
      <c r="K35" s="16">
        <f>COUNTIFS(Inscritos!$I$2:$I$110,'Resumo '!K$1,Inscritos!$H$2:$H$110,'Resumo '!$E35)</f>
        <v>2</v>
      </c>
      <c r="L35" s="19">
        <f t="shared" si="4"/>
        <v>4</v>
      </c>
      <c r="M35" s="11">
        <f t="shared" si="5"/>
        <v>0</v>
      </c>
      <c r="N35" s="38" t="str">
        <f t="shared" si="1"/>
        <v>2/2</v>
      </c>
      <c r="O35" s="38" t="str">
        <f t="shared" si="2"/>
        <v>2/2</v>
      </c>
      <c r="P35" s="38" t="str">
        <f t="shared" si="3"/>
        <v>4/4</v>
      </c>
    </row>
    <row r="36" spans="2:17" s="11" customFormat="1" ht="21.75" customHeight="1" x14ac:dyDescent="0.4">
      <c r="B36" s="11">
        <v>32</v>
      </c>
      <c r="C36" s="31">
        <v>45750</v>
      </c>
      <c r="D36" s="32" t="s">
        <v>612</v>
      </c>
      <c r="E36" s="33" t="s">
        <v>346</v>
      </c>
      <c r="F36" s="32" t="s">
        <v>579</v>
      </c>
      <c r="G36" s="17">
        <f>COUNTIFS(Presentes!$H$2:$H$93,'Resumo '!G$1,Presentes!$G$2:$G$93,'Resumo '!$E36)</f>
        <v>2</v>
      </c>
      <c r="H36" s="17">
        <f>COUNTIFS(Presentes!$H$2:$H$93,'Resumo '!H$1,Presentes!$G$2:$G$93,'Resumo '!$E36)</f>
        <v>2</v>
      </c>
      <c r="I36" s="18">
        <f t="shared" si="0"/>
        <v>4</v>
      </c>
      <c r="J36" s="16">
        <f>COUNTIFS(Inscritos!$I$2:$I$110,'Resumo '!J$1,Inscritos!$H$2:$H$110,'Resumo '!$E36)</f>
        <v>2</v>
      </c>
      <c r="K36" s="16">
        <f>COUNTIFS(Inscritos!$I$2:$I$110,'Resumo '!K$1,Inscritos!$H$2:$H$110,'Resumo '!$E36)</f>
        <v>2</v>
      </c>
      <c r="L36" s="19">
        <f t="shared" si="4"/>
        <v>4</v>
      </c>
      <c r="M36" s="11">
        <f t="shared" si="5"/>
        <v>0</v>
      </c>
      <c r="N36" s="38" t="str">
        <f t="shared" si="1"/>
        <v>2/2</v>
      </c>
      <c r="O36" s="38" t="str">
        <f t="shared" si="2"/>
        <v>2/2</v>
      </c>
      <c r="P36" s="38" t="str">
        <f t="shared" si="3"/>
        <v>4/4</v>
      </c>
    </row>
    <row r="37" spans="2:17" s="11" customFormat="1" ht="21.75" customHeight="1" x14ac:dyDescent="0.4">
      <c r="B37" s="11">
        <v>33</v>
      </c>
      <c r="C37" s="31">
        <v>45750</v>
      </c>
      <c r="D37" s="32" t="s">
        <v>614</v>
      </c>
      <c r="E37" s="33" t="s">
        <v>554</v>
      </c>
      <c r="F37" s="32" t="s">
        <v>570</v>
      </c>
      <c r="G37" s="17">
        <f>COUNTIFS(Presentes!$H$2:$H$93,'Resumo '!G$1,Presentes!$G$2:$G$93,'Resumo '!$E37)</f>
        <v>0</v>
      </c>
      <c r="H37" s="17">
        <f>COUNTIFS(Presentes!$H$2:$H$93,'Resumo '!H$1,Presentes!$G$2:$G$93,'Resumo '!$E37)</f>
        <v>0</v>
      </c>
      <c r="I37" s="18">
        <f t="shared" si="0"/>
        <v>0</v>
      </c>
      <c r="J37" s="16">
        <f>COUNTIFS(Inscritos!$I$2:$I$110,'Resumo '!J$1,Inscritos!$H$2:$H$110,'Resumo '!$E37)</f>
        <v>0</v>
      </c>
      <c r="K37" s="16">
        <f>COUNTIFS(Inscritos!$I$2:$I$110,'Resumo '!K$1,Inscritos!$H$2:$H$110,'Resumo '!$E37)</f>
        <v>0</v>
      </c>
      <c r="L37" s="19">
        <f t="shared" si="4"/>
        <v>0</v>
      </c>
      <c r="M37" s="11">
        <f t="shared" si="5"/>
        <v>0</v>
      </c>
      <c r="N37" s="38" t="str">
        <f t="shared" si="1"/>
        <v>0/0</v>
      </c>
      <c r="O37" s="38" t="str">
        <f t="shared" si="2"/>
        <v>0/0</v>
      </c>
      <c r="P37" s="38" t="str">
        <f t="shared" si="3"/>
        <v>0/0</v>
      </c>
    </row>
    <row r="38" spans="2:17" s="11" customFormat="1" ht="21.75" customHeight="1" x14ac:dyDescent="0.4">
      <c r="B38" s="11">
        <v>34</v>
      </c>
      <c r="C38" s="31">
        <v>45750</v>
      </c>
      <c r="D38" s="32" t="s">
        <v>616</v>
      </c>
      <c r="E38" s="33" t="s">
        <v>328</v>
      </c>
      <c r="F38" s="32" t="s">
        <v>577</v>
      </c>
      <c r="G38" s="17">
        <f>COUNTIFS(Presentes!$H$2:$H$93,'Resumo '!G$1,Presentes!$G$2:$G$93,'Resumo '!$E38)</f>
        <v>0</v>
      </c>
      <c r="H38" s="17">
        <f>COUNTIFS(Presentes!$H$2:$H$93,'Resumo '!H$1,Presentes!$G$2:$G$93,'Resumo '!$E38)</f>
        <v>3</v>
      </c>
      <c r="I38" s="18">
        <f t="shared" si="0"/>
        <v>3</v>
      </c>
      <c r="J38" s="16">
        <f>COUNTIFS(Inscritos!$I$2:$I$110,'Resumo '!J$1,Inscritos!$H$2:$H$110,'Resumo '!$E38)</f>
        <v>0</v>
      </c>
      <c r="K38" s="16">
        <f>COUNTIFS(Inscritos!$I$2:$I$110,'Resumo '!K$1,Inscritos!$H$2:$H$110,'Resumo '!$E38)</f>
        <v>4</v>
      </c>
      <c r="L38" s="19">
        <f t="shared" si="4"/>
        <v>4</v>
      </c>
      <c r="M38" s="11">
        <f t="shared" si="5"/>
        <v>0</v>
      </c>
      <c r="N38" s="38" t="str">
        <f t="shared" si="1"/>
        <v>0/0</v>
      </c>
      <c r="O38" s="38" t="str">
        <f t="shared" si="2"/>
        <v>3/4</v>
      </c>
      <c r="P38" s="38" t="str">
        <f t="shared" si="3"/>
        <v>3/4</v>
      </c>
    </row>
    <row r="39" spans="2:17" s="11" customFormat="1" ht="21.75" customHeight="1" x14ac:dyDescent="0.4">
      <c r="B39" s="11">
        <v>35</v>
      </c>
      <c r="C39" s="31">
        <v>45750</v>
      </c>
      <c r="D39" s="32" t="s">
        <v>617</v>
      </c>
      <c r="E39" s="33" t="s">
        <v>335</v>
      </c>
      <c r="F39" s="32" t="s">
        <v>618</v>
      </c>
      <c r="G39" s="17">
        <f>COUNTIFS(Presentes!$H$2:$H$93,'Resumo '!G$1,Presentes!$G$2:$G$93,'Resumo '!$E39)</f>
        <v>1</v>
      </c>
      <c r="H39" s="17">
        <f>COUNTIFS(Presentes!$H$2:$H$93,'Resumo '!H$1,Presentes!$G$2:$G$93,'Resumo '!$E39)</f>
        <v>0</v>
      </c>
      <c r="I39" s="18">
        <f t="shared" si="0"/>
        <v>1</v>
      </c>
      <c r="J39" s="16">
        <f>COUNTIFS(Inscritos!$I$2:$I$110,'Resumo '!J$1,Inscritos!$H$2:$H$110,'Resumo '!$E39)</f>
        <v>1</v>
      </c>
      <c r="K39" s="16">
        <f>COUNTIFS(Inscritos!$I$2:$I$110,'Resumo '!K$1,Inscritos!$H$2:$H$110,'Resumo '!$E39)</f>
        <v>0</v>
      </c>
      <c r="L39" s="19">
        <f t="shared" si="4"/>
        <v>1</v>
      </c>
      <c r="M39" s="11">
        <f t="shared" si="5"/>
        <v>1</v>
      </c>
      <c r="N39" s="38" t="str">
        <f t="shared" si="1"/>
        <v>1/1</v>
      </c>
      <c r="O39" s="38" t="str">
        <f t="shared" si="2"/>
        <v>0/0</v>
      </c>
      <c r="P39" s="38" t="str">
        <f t="shared" si="3"/>
        <v>1/1</v>
      </c>
    </row>
    <row r="40" spans="2:17" s="11" customFormat="1" ht="21.75" customHeight="1" x14ac:dyDescent="0.4">
      <c r="B40" s="11">
        <v>36</v>
      </c>
      <c r="C40" s="31">
        <v>45749</v>
      </c>
      <c r="D40" s="32"/>
      <c r="E40" s="33" t="s">
        <v>282</v>
      </c>
      <c r="F40" s="32"/>
      <c r="G40" s="17">
        <f>COUNTIFS(Presentes!$H$2:$H$93,'Resumo '!G$1,Presentes!$G$2:$G$93,'Resumo '!$E40)</f>
        <v>0</v>
      </c>
      <c r="H40" s="17">
        <f>COUNTIFS(Presentes!$H$2:$H$93,'Resumo '!H$1,Presentes!$G$2:$G$93,'Resumo '!$E40)</f>
        <v>3</v>
      </c>
      <c r="I40" s="18">
        <f>+G40+H40</f>
        <v>3</v>
      </c>
      <c r="J40" s="16">
        <f>COUNTIFS(Inscritos!$I$2:$I$110,'Resumo '!J$1,Inscritos!$H$2:$H$110,'Resumo '!$E40)</f>
        <v>0</v>
      </c>
      <c r="K40" s="16">
        <f>COUNTIFS(Inscritos!$I$2:$I$110,'Resumo '!K$1,Inscritos!$H$2:$H$110,'Resumo '!$E40)</f>
        <v>3</v>
      </c>
      <c r="L40" s="19">
        <f t="shared" si="4"/>
        <v>3</v>
      </c>
      <c r="M40" s="11">
        <f t="shared" si="5"/>
        <v>0</v>
      </c>
      <c r="N40" s="38" t="str">
        <f t="shared" si="1"/>
        <v>0/0</v>
      </c>
      <c r="O40" s="38" t="str">
        <f t="shared" si="2"/>
        <v>3/3</v>
      </c>
      <c r="P40" s="38" t="str">
        <f t="shared" si="3"/>
        <v>3/3</v>
      </c>
    </row>
    <row r="41" spans="2:17" s="11" customFormat="1" ht="21.75" customHeight="1" thickBot="1" x14ac:dyDescent="0.45">
      <c r="B41" s="11">
        <v>37</v>
      </c>
      <c r="C41" s="31">
        <v>45750</v>
      </c>
      <c r="D41" s="32"/>
      <c r="E41" s="33" t="s">
        <v>92</v>
      </c>
      <c r="F41" s="32"/>
      <c r="G41" s="17">
        <f>COUNTIFS(Presentes!$H$2:$H$93,'Resumo '!G$1,Presentes!$G$2:$G$93,'Resumo '!$E41)</f>
        <v>0</v>
      </c>
      <c r="H41" s="17">
        <f>COUNTIFS(Presentes!$H$2:$H$93,'Resumo '!H$1,Presentes!$G$2:$G$93,'Resumo '!$E41)</f>
        <v>2</v>
      </c>
      <c r="I41" s="18">
        <f t="shared" si="0"/>
        <v>2</v>
      </c>
      <c r="J41" s="16">
        <f>COUNTIFS(Inscritos!$I$2:$I$110,'Resumo '!J$1,Inscritos!$H$2:$H$110,'Resumo '!$E41)</f>
        <v>0</v>
      </c>
      <c r="K41" s="16">
        <f>COUNTIFS(Inscritos!$I$2:$I$110,'Resumo '!K$1,Inscritos!$H$2:$H$110,'Resumo '!$E41)</f>
        <v>2</v>
      </c>
      <c r="L41" s="19">
        <f t="shared" si="4"/>
        <v>2</v>
      </c>
      <c r="M41" s="11">
        <f t="shared" si="5"/>
        <v>0</v>
      </c>
      <c r="N41" s="38" t="str">
        <f t="shared" si="1"/>
        <v>0/0</v>
      </c>
      <c r="O41" s="38" t="str">
        <f t="shared" si="2"/>
        <v>2/2</v>
      </c>
      <c r="P41" s="38" t="str">
        <f t="shared" si="3"/>
        <v>2/2</v>
      </c>
    </row>
    <row r="42" spans="2:17" s="11" customFormat="1" ht="21.75" customHeight="1" x14ac:dyDescent="0.4">
      <c r="C42" s="46" t="s">
        <v>557</v>
      </c>
      <c r="D42" s="46"/>
      <c r="E42" s="46"/>
      <c r="F42" s="46"/>
      <c r="G42" s="21">
        <f t="shared" ref="G42:L42" si="6">SUM(G5:G41)</f>
        <v>32</v>
      </c>
      <c r="H42" s="21">
        <f t="shared" si="6"/>
        <v>60</v>
      </c>
      <c r="I42" s="22">
        <f t="shared" si="6"/>
        <v>92</v>
      </c>
      <c r="J42" s="29">
        <f t="shared" si="6"/>
        <v>37</v>
      </c>
      <c r="K42" s="23">
        <f t="shared" si="6"/>
        <v>72</v>
      </c>
      <c r="L42" s="24">
        <f t="shared" si="6"/>
        <v>109</v>
      </c>
      <c r="N42" s="38" t="str">
        <f t="shared" ref="N42:P43" si="7">+_xlfn.CONCAT(G42,"/",J42)</f>
        <v>32/37</v>
      </c>
      <c r="O42" s="38" t="str">
        <f t="shared" si="7"/>
        <v>60/72</v>
      </c>
      <c r="P42" s="38" t="str">
        <f t="shared" si="7"/>
        <v>92/109</v>
      </c>
      <c r="Q42" s="11">
        <f>92/109</f>
        <v>0.84403669724770647</v>
      </c>
    </row>
    <row r="43" spans="2:17" s="11" customFormat="1" ht="21.75" customHeight="1" thickBot="1" x14ac:dyDescent="0.45">
      <c r="B43" s="20"/>
      <c r="C43" s="46" t="s">
        <v>705</v>
      </c>
      <c r="D43" s="46"/>
      <c r="E43" s="46"/>
      <c r="F43" s="46"/>
      <c r="G43" s="25">
        <f t="shared" ref="G43:L43" si="8">COUNTIF(G5:G41,"&lt;&gt;0")</f>
        <v>20</v>
      </c>
      <c r="H43" s="25">
        <f t="shared" si="8"/>
        <v>34</v>
      </c>
      <c r="I43" s="26">
        <f t="shared" si="8"/>
        <v>35</v>
      </c>
      <c r="J43" s="30">
        <f t="shared" si="8"/>
        <v>21</v>
      </c>
      <c r="K43" s="27">
        <f t="shared" si="8"/>
        <v>34</v>
      </c>
      <c r="L43" s="28">
        <f t="shared" si="8"/>
        <v>35</v>
      </c>
      <c r="N43" s="38" t="str">
        <f t="shared" si="7"/>
        <v>20/21</v>
      </c>
      <c r="O43" s="38" t="str">
        <f t="shared" si="7"/>
        <v>34/34</v>
      </c>
      <c r="P43" s="38" t="str">
        <f t="shared" si="7"/>
        <v>35/35</v>
      </c>
    </row>
    <row r="44" spans="2:17" s="11" customFormat="1" ht="21.75" customHeight="1" x14ac:dyDescent="0.4">
      <c r="E44" s="14"/>
      <c r="N44" s="37" t="s">
        <v>556</v>
      </c>
      <c r="O44" s="37" t="s">
        <v>708</v>
      </c>
      <c r="P44" s="37" t="s">
        <v>707</v>
      </c>
    </row>
    <row r="45" spans="2:17" s="11" customFormat="1" ht="21.75" customHeight="1" x14ac:dyDescent="0.4">
      <c r="E45" s="14"/>
      <c r="Q45" s="11">
        <f>32/37</f>
        <v>0.86486486486486491</v>
      </c>
    </row>
    <row r="46" spans="2:17" ht="21.75" customHeight="1" x14ac:dyDescent="0.2">
      <c r="J46" s="11"/>
      <c r="K46" s="11"/>
      <c r="L46" s="11"/>
      <c r="M46" s="11"/>
      <c r="Q46" s="12">
        <f>60/72</f>
        <v>0.83333333333333337</v>
      </c>
    </row>
    <row r="47" spans="2:17" ht="21.75" customHeight="1" x14ac:dyDescent="0.2">
      <c r="J47" s="11"/>
      <c r="K47" s="11"/>
      <c r="L47" s="11"/>
      <c r="M47" s="11"/>
    </row>
    <row r="48" spans="2:17" ht="21.75" customHeight="1" x14ac:dyDescent="0.2">
      <c r="G48" s="11"/>
      <c r="H48" s="11"/>
      <c r="I48" s="11"/>
      <c r="J48" s="11"/>
      <c r="K48" s="11"/>
      <c r="L48" s="11"/>
      <c r="M48" s="11"/>
    </row>
    <row r="49" spans="7:13" ht="21.75" customHeight="1" x14ac:dyDescent="0.2">
      <c r="G49" s="11"/>
      <c r="H49" s="11"/>
      <c r="I49" s="11"/>
      <c r="J49" s="11"/>
      <c r="K49" s="11"/>
      <c r="L49" s="11"/>
      <c r="M49" s="11"/>
    </row>
  </sheetData>
  <sortState xmlns:xlrd2="http://schemas.microsoft.com/office/spreadsheetml/2017/richdata2" ref="A19:C38">
    <sortCondition ref="B19:B38"/>
  </sortState>
  <mergeCells count="8">
    <mergeCell ref="G3:I3"/>
    <mergeCell ref="J3:L3"/>
    <mergeCell ref="C42:F42"/>
    <mergeCell ref="C43:F43"/>
    <mergeCell ref="F3:F4"/>
    <mergeCell ref="E3:E4"/>
    <mergeCell ref="D3:D4"/>
    <mergeCell ref="C3:C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</vt:lpstr>
      <vt:lpstr>Certificado</vt:lpstr>
      <vt:lpstr>Presentes</vt:lpstr>
      <vt:lpstr>INS</vt:lpstr>
      <vt:lpstr>Inscritos</vt:lpstr>
      <vt:lpstr>Resumo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 Zuluaga</dc:creator>
  <cp:lastModifiedBy>Robinson Zuluaga</cp:lastModifiedBy>
  <dcterms:created xsi:type="dcterms:W3CDTF">2025-04-09T16:52:22Z</dcterms:created>
  <dcterms:modified xsi:type="dcterms:W3CDTF">2025-04-11T13:21:06Z</dcterms:modified>
</cp:coreProperties>
</file>