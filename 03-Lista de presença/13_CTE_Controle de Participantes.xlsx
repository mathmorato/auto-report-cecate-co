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ropbox\090_UFG\08_PTE - FAPPTE\32_13CTE\"/>
    </mc:Choice>
  </mc:AlternateContent>
  <xr:revisionPtr revIDLastSave="0" documentId="13_ncr:1_{39F6D052-B969-4E8D-9769-164DB54CEB22}" xr6:coauthVersionLast="47" xr6:coauthVersionMax="47" xr10:uidLastSave="{00000000-0000-0000-0000-000000000000}"/>
  <bookViews>
    <workbookView xWindow="-120" yWindow="-120" windowWidth="29040" windowHeight="15840" xr2:uid="{09A18529-8BB2-4E81-9270-6FBBB49538D0}"/>
  </bookViews>
  <sheets>
    <sheet name="Inscritos" sheetId="1" r:id="rId1"/>
    <sheet name="Resumo de inscrições" sheetId="2" r:id="rId2"/>
  </sheets>
  <definedNames>
    <definedName name="_xlnm._FilterDatabase" localSheetId="0" hidden="1">Inscritos!$A$1:$O$31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O31" i="1"/>
  <c r="C9" i="2"/>
  <c r="C10" i="2"/>
  <c r="B7" i="2"/>
  <c r="B9" i="2"/>
  <c r="B10" i="2"/>
  <c r="O3" i="1"/>
  <c r="O4" i="1"/>
  <c r="O5" i="1"/>
  <c r="B6" i="2" s="1"/>
  <c r="O6" i="1"/>
  <c r="O7" i="1"/>
  <c r="B8" i="2" s="1"/>
  <c r="O8" i="1"/>
  <c r="C2" i="2" s="1"/>
  <c r="O9" i="1"/>
  <c r="O10" i="1"/>
  <c r="O11" i="1"/>
  <c r="O12" i="1"/>
  <c r="O13" i="1"/>
  <c r="O14" i="1"/>
  <c r="O15" i="1"/>
  <c r="C5" i="2" s="1"/>
  <c r="O16" i="1"/>
  <c r="B5" i="2" s="1"/>
  <c r="O17" i="1"/>
  <c r="C4" i="2" s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D10" i="2" l="1"/>
  <c r="B3" i="2"/>
  <c r="C8" i="2"/>
  <c r="D8" i="2" s="1"/>
  <c r="D9" i="2"/>
  <c r="D5" i="2"/>
  <c r="B2" i="2"/>
  <c r="D2" i="2" s="1"/>
  <c r="C7" i="2"/>
  <c r="D7" i="2" s="1"/>
  <c r="C6" i="2"/>
  <c r="D6" i="2" s="1"/>
  <c r="B4" i="2"/>
  <c r="C3" i="2"/>
  <c r="O1" i="1"/>
  <c r="C11" i="2" l="1"/>
  <c r="B11" i="2"/>
  <c r="D3" i="2"/>
  <c r="D4" i="2"/>
  <c r="D11" i="2" l="1"/>
</calcChain>
</file>

<file path=xl/sharedStrings.xml><?xml version="1.0" encoding="utf-8"?>
<sst xmlns="http://schemas.openxmlformats.org/spreadsheetml/2006/main" count="303" uniqueCount="174">
  <si>
    <t>Carimbo de data/hora</t>
  </si>
  <si>
    <t>Endereço de e-mail</t>
  </si>
  <si>
    <t>Nome Completo:</t>
  </si>
  <si>
    <t>Confirme o E-mail</t>
  </si>
  <si>
    <t>CPF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</si>
  <si>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</si>
  <si>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</si>
  <si>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</si>
  <si>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</si>
  <si>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</si>
  <si>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</si>
  <si>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</si>
  <si>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</si>
  <si>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josidaluz201@gmail.com</t>
  </si>
  <si>
    <t>Josimeire da luz</t>
  </si>
  <si>
    <t>028.495.521-35</t>
  </si>
  <si>
    <t>(66)98421-2529</t>
  </si>
  <si>
    <t>ALTA FLORESTA</t>
  </si>
  <si>
    <t>Gestão municipal</t>
  </si>
  <si>
    <t>Técnico Administrativo Educacional</t>
  </si>
  <si>
    <t>Declaro que revisei e confirmo a veracidade de todas as informações prestadas neste formulário.</t>
  </si>
  <si>
    <t>valdineimakohi1984@gmail.com</t>
  </si>
  <si>
    <t>Valdinei Makohin do Nascimento</t>
  </si>
  <si>
    <t>011.149.971-29</t>
  </si>
  <si>
    <t>(66)99919-6873</t>
  </si>
  <si>
    <t>PARANAÍTA</t>
  </si>
  <si>
    <t>Motorista escolar, e gestor veículo escolar</t>
  </si>
  <si>
    <t>Transporte escolar sistematizado e organizado</t>
  </si>
  <si>
    <t>elisandrosilva12@hotmail.com</t>
  </si>
  <si>
    <t>Elisandro da Silva</t>
  </si>
  <si>
    <t>794.483.211-04</t>
  </si>
  <si>
    <t>(66)98457-2467</t>
  </si>
  <si>
    <t>CARLINDA</t>
  </si>
  <si>
    <t>CACS-FUNDEB</t>
  </si>
  <si>
    <t>Presidente</t>
  </si>
  <si>
    <t>irineusantana814@gmail.com</t>
  </si>
  <si>
    <t>IRINEU SANTANA RAUSCHKOLB</t>
  </si>
  <si>
    <t>040.738.891-50</t>
  </si>
  <si>
    <t>(66)99939-9893</t>
  </si>
  <si>
    <t>APIACÁS</t>
  </si>
  <si>
    <t>TECNICO ADMINISTRATIVO E FINANCEIRO</t>
  </si>
  <si>
    <t>secretaria@novacanaadonorte.mt.gov.br</t>
  </si>
  <si>
    <t>Genize Luna de Carvalho</t>
  </si>
  <si>
    <t>650.632.441-49</t>
  </si>
  <si>
    <t>(66)99995-7128</t>
  </si>
  <si>
    <t>NOVA CANAÃ DO NORTE</t>
  </si>
  <si>
    <t>Coordenador de Transporte Escolar</t>
  </si>
  <si>
    <t>Pela primeira vez, foi editado no município a Resolução com normas para o uso e disponibilidade do Transporte Escolar, pois até o ano de 2025, seguiamos regras e normas federais e estadual. RESOLUÇÃO Nº001/2026/CME/NCN
Regulamenta as normas e procedimentos para gerenciamento e controle do Transporte Escolar em atendimento aos estudantes devidamente matriculados nas escolas da rede pública de ensino do Município de Nova Canaã do Norte-MT
https://drive.google.com/file/d/1hzQz0YCXjcTmaDJR9XEqc5BdF7UStnaK/view?usp=sharing</t>
  </si>
  <si>
    <t>luanasenaaraujjo@gmail.com</t>
  </si>
  <si>
    <t>LUANA DE SENA DE ARAÚJO</t>
  </si>
  <si>
    <t>090.833.181-92</t>
  </si>
  <si>
    <t>(66)98412-4076</t>
  </si>
  <si>
    <t>VICE - PRESIDENTE</t>
  </si>
  <si>
    <t>zeapiacas@hotmail.com</t>
  </si>
  <si>
    <t>JOSÉ ROBERTO PEREIRA DA SILVA</t>
  </si>
  <si>
    <t>176.154.818-21</t>
  </si>
  <si>
    <t>(66)98422-9843</t>
  </si>
  <si>
    <t>SECRETÁRIO MUNICIPAL DE EDUCAÇÃO</t>
  </si>
  <si>
    <t>elaine.souza@carlinda.edu.mt.gov.br</t>
  </si>
  <si>
    <t>Elaine Batista Costa de Souza</t>
  </si>
  <si>
    <t>998.947.421-49</t>
  </si>
  <si>
    <t>(66)98404-0221</t>
  </si>
  <si>
    <t>Secretária Municipal de Educação</t>
  </si>
  <si>
    <t>Utilizamos o Transcolar Rural, tem nos ajudado a mapear rotas, sendo este uma exigência do governo do estado.</t>
  </si>
  <si>
    <t>daianemariana@gmail.com</t>
  </si>
  <si>
    <t>Daiane Mariana da Silva Benfica</t>
  </si>
  <si>
    <t>731.237.221-04</t>
  </si>
  <si>
    <t>(66)98428-8628</t>
  </si>
  <si>
    <t>Coordenadora Administrativa</t>
  </si>
  <si>
    <t>altamiromizuc@gmail.com</t>
  </si>
  <si>
    <t>Altamiro Corrêa Leite Junior</t>
  </si>
  <si>
    <t>020.147.301-13</t>
  </si>
  <si>
    <t>(66)98432-1656</t>
  </si>
  <si>
    <t>SANTA CRUZ DO XINGU</t>
  </si>
  <si>
    <t>Secretario Municipal de Educação</t>
  </si>
  <si>
    <t>apoio com a DRE regional nos municipios, incentivo ao transporte.</t>
  </si>
  <si>
    <t>bianorodrigues85@gmail.com</t>
  </si>
  <si>
    <t>Fabiano Jose Rodrigues</t>
  </si>
  <si>
    <t>011.797.911-26</t>
  </si>
  <si>
    <t>(66)98408-1719</t>
  </si>
  <si>
    <t>Supervivão e controle de Frotas Municipal da Educação</t>
  </si>
  <si>
    <t>ildooliveiradasilva814@gmail.com</t>
  </si>
  <si>
    <t>Ildo Oliveira da Silva</t>
  </si>
  <si>
    <t>980.192.281-87</t>
  </si>
  <si>
    <t>(66)99915-6672</t>
  </si>
  <si>
    <t>diretor escolar</t>
  </si>
  <si>
    <t>alicebrito88@hotmail.com</t>
  </si>
  <si>
    <t>Alice Maria Santos Brito</t>
  </si>
  <si>
    <t>015.753.371-93</t>
  </si>
  <si>
    <t>(66)99669-8224</t>
  </si>
  <si>
    <t>Representante pais</t>
  </si>
  <si>
    <t>maria.cavichia@novacanaadonorte.edu.mt.gov.br</t>
  </si>
  <si>
    <t>MARIA HELENA CAVICHIA</t>
  </si>
  <si>
    <t>688.369.021-20</t>
  </si>
  <si>
    <t>(66)99959-3564</t>
  </si>
  <si>
    <t>PRESIDENTE</t>
  </si>
  <si>
    <t>joselaine.sanches@edu.mt.gov.br</t>
  </si>
  <si>
    <t>Joselaine Bezerra Sanches</t>
  </si>
  <si>
    <t>Joselaine.sanches@edu.mt.gov.br</t>
  </si>
  <si>
    <t>970.283.631-04</t>
  </si>
  <si>
    <t>(66)99923-6024</t>
  </si>
  <si>
    <t>Presidente do transporte</t>
  </si>
  <si>
    <t>rosildaeve@outlook.com</t>
  </si>
  <si>
    <t>ROSILDA RIBEIRO CHAGAS</t>
  </si>
  <si>
    <t>957.003.829-20</t>
  </si>
  <si>
    <t>(66)99685-5867</t>
  </si>
  <si>
    <t>REPRESENTANTE TITULAR DO EXECUTIVO</t>
  </si>
  <si>
    <t>andreoliveiralima@hotmail.com</t>
  </si>
  <si>
    <t>André Oliveira Lima</t>
  </si>
  <si>
    <t>857.649.141-91</t>
  </si>
  <si>
    <t>(94)98413-5970</t>
  </si>
  <si>
    <t>onolilian11@gmail.com</t>
  </si>
  <si>
    <t>Lilian Sayuri Ono</t>
  </si>
  <si>
    <t>830.654.741-15</t>
  </si>
  <si>
    <t>(66)99283-0493</t>
  </si>
  <si>
    <t>Conselheira CACS -FUNDEB</t>
  </si>
  <si>
    <t>rosangelacunhadasilva2@gmail.com</t>
  </si>
  <si>
    <t>Rosangela Cunha da Silva</t>
  </si>
  <si>
    <t>231.385.802-20</t>
  </si>
  <si>
    <t>(66)99220-1350</t>
  </si>
  <si>
    <t>Conselheiro</t>
  </si>
  <si>
    <t>conselhoaltafloresta@gmail.com</t>
  </si>
  <si>
    <t>JOUSE MARIA CONRADO</t>
  </si>
  <si>
    <t>894.809.451-34</t>
  </si>
  <si>
    <t>(66)99204-5216</t>
  </si>
  <si>
    <t>CONSELHEIRA</t>
  </si>
  <si>
    <t>marcelo.bruno@ifmt.edu.br</t>
  </si>
  <si>
    <t>Marcelo Alexandre Bruno</t>
  </si>
  <si>
    <t>090.050.678-45</t>
  </si>
  <si>
    <t>(66)98427-2859</t>
  </si>
  <si>
    <t>Suplente educação superior</t>
  </si>
  <si>
    <t>neu_caf@hotmail.com</t>
  </si>
  <si>
    <t>Neuzira Rosa de Brito</t>
  </si>
  <si>
    <t>848.226.941-00</t>
  </si>
  <si>
    <t>(66)99242-3526</t>
  </si>
  <si>
    <t>Conselheira titular</t>
  </si>
  <si>
    <t>Consslheira</t>
  </si>
  <si>
    <t>tiagobenficadeassis@gmail.com</t>
  </si>
  <si>
    <t>Tiago Benfica de Assis</t>
  </si>
  <si>
    <t>009.976.891-70</t>
  </si>
  <si>
    <t>(66)98429-9272</t>
  </si>
  <si>
    <t>CONSELHEIRO DA CÂMARA DO FUNDEB - REPRESENTANTE DO EXECUTIVO</t>
  </si>
  <si>
    <t>sasso.123@hotmail.com</t>
  </si>
  <si>
    <t>Rudnei Moraes Sasso</t>
  </si>
  <si>
    <t>991.302.971-68</t>
  </si>
  <si>
    <t>(66)99630-1179</t>
  </si>
  <si>
    <t>Motorista Escola</t>
  </si>
  <si>
    <t>roni_nx@hotmail.com</t>
  </si>
  <si>
    <t>Ronivaldo Marques Pinto</t>
  </si>
  <si>
    <t>969.569.331-87</t>
  </si>
  <si>
    <t>(66)99955-0748</t>
  </si>
  <si>
    <t>Condutor de Veículo Escolar</t>
  </si>
  <si>
    <t>.</t>
  </si>
  <si>
    <t>everson.wiechorek@novabandeirantes.edu.mt.gov.br</t>
  </si>
  <si>
    <t>Everson Wiechorek</t>
  </si>
  <si>
    <t>032.294.371-01</t>
  </si>
  <si>
    <t>(66)98459-2161</t>
  </si>
  <si>
    <t>NOVA BANDEIRANTES</t>
  </si>
  <si>
    <t>Técnico do Transporte Escolar</t>
  </si>
  <si>
    <t>elizeubaioco88@gmail.com</t>
  </si>
  <si>
    <t>Elizeu da Silva Baioco</t>
  </si>
  <si>
    <t>025.590.831-83</t>
  </si>
  <si>
    <t>(66)98436-4794</t>
  </si>
  <si>
    <t>NI</t>
  </si>
  <si>
    <t>Município</t>
  </si>
  <si>
    <t>NOVA MONTE VERDE</t>
  </si>
  <si>
    <t>SÃO JOSÉ DO XINGU</t>
  </si>
  <si>
    <t>Total</t>
  </si>
  <si>
    <t>INSCRITOS</t>
  </si>
  <si>
    <t>erdileneonofre@outlook.com</t>
  </si>
  <si>
    <t>Erdilene Bueno Onofre</t>
  </si>
  <si>
    <t>043.728.121-32</t>
  </si>
  <si>
    <t>(66)98419-2180</t>
  </si>
  <si>
    <t>Secretária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</si>
</sst>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Gill Sans MT"/>
      <family val="2"/>
    </font>
    <font>
      <b/>
      <sz val="12"/>
      <color theme="0"/>
      <name val="Gill Sans MT"/>
      <family val="2"/>
    </font>
    <font>
      <b/>
      <sz val="12"/>
      <color theme="1"/>
      <name val="Gill Sans MT"/>
      <family val="2"/>
    </font>
    <font>
      <sz val="12"/>
      <color theme="0"/>
      <name val="Gill Sans MT"/>
      <family val="2"/>
    </font>
    <font>
      <b/>
      <sz val="12"/>
      <color rgb="FF0070C0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22" fontId="0" fillId="0" borderId="1" xfId="0" applyNumberFormat="1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7" borderId="1" xfId="0" applyFill="1" applyBorder="1" applyAlignment="1"/>
  </cellXfs>
  <cellStyles count="1">
    <cellStyle name="Normal" xfId="0" builtinId="0"/>
  </cellStyles>
  <dxfs count="2"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5C36-74E7-4317-8B6D-8547C4F974E0}">
  <dimension ref="A1:O31"/>
  <sheetViews>
    <sheetView tabSelected="1" zoomScale="85" zoomScaleNormal="85" workbookViewId="0">
      <selection activeCell="D9" sqref="D9:I9"/>
    </sheetView>
  </sheetViews>
  <sheetFormatPr defaultRowHeight="19.5" x14ac:dyDescent="0.4"/>
  <cols>
    <col min="1" max="1" width="7.5" style="4" customWidth="1"/>
    <col min="2" max="2" width="19.375" style="1" bestFit="1" customWidth="1"/>
    <col min="3" max="3" width="45.625" style="1" bestFit="1" customWidth="1"/>
    <col min="4" max="4" width="31.875" style="1" bestFit="1" customWidth="1"/>
    <col min="5" max="5" width="45.625" style="1" bestFit="1" customWidth="1"/>
    <col min="6" max="6" width="13.625" style="1" bestFit="1" customWidth="1"/>
    <col min="7" max="7" width="18.25" style="1" bestFit="1" customWidth="1"/>
    <col min="8" max="8" width="26.375" style="1" bestFit="1" customWidth="1"/>
    <col min="9" max="9" width="25.75" style="1" bestFit="1" customWidth="1"/>
    <col min="10" max="10" width="16.125" style="1" bestFit="1" customWidth="1"/>
    <col min="11" max="11" width="47.375" style="1" bestFit="1" customWidth="1"/>
    <col min="12" max="14" width="35.375" style="1" customWidth="1"/>
    <col min="15" max="16384" width="9" style="1"/>
  </cols>
  <sheetData>
    <row r="1" spans="1:15" x14ac:dyDescent="0.4">
      <c r="A1" s="3" t="s">
        <v>163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>
        <f>+SUM(O2:O31)</f>
        <v>28</v>
      </c>
    </row>
    <row r="2" spans="1:15" x14ac:dyDescent="0.4">
      <c r="A2" s="5">
        <v>25</v>
      </c>
      <c r="B2" s="6">
        <v>46090.435034722221</v>
      </c>
      <c r="C2" s="7" t="s">
        <v>137</v>
      </c>
      <c r="D2" s="7" t="s">
        <v>138</v>
      </c>
      <c r="E2" s="7" t="s">
        <v>137</v>
      </c>
      <c r="F2" s="7" t="s">
        <v>139</v>
      </c>
      <c r="G2" s="8">
        <v>31391</v>
      </c>
      <c r="H2" s="7" t="s">
        <v>140</v>
      </c>
      <c r="I2" s="7" t="s">
        <v>17</v>
      </c>
      <c r="J2" s="7" t="s">
        <v>33</v>
      </c>
      <c r="K2" s="7"/>
      <c r="L2" s="7"/>
      <c r="M2" s="7" t="s">
        <v>141</v>
      </c>
      <c r="N2" s="7" t="s">
        <v>20</v>
      </c>
      <c r="O2" s="1">
        <f>IF(F2=F1,0,1)</f>
        <v>1</v>
      </c>
    </row>
    <row r="3" spans="1:15" x14ac:dyDescent="0.4">
      <c r="A3" s="5">
        <v>2</v>
      </c>
      <c r="B3" s="6">
        <v>46073.611331018517</v>
      </c>
      <c r="C3" s="7" t="s">
        <v>21</v>
      </c>
      <c r="D3" s="7" t="s">
        <v>22</v>
      </c>
      <c r="E3" s="7" t="s">
        <v>21</v>
      </c>
      <c r="F3" s="7" t="s">
        <v>23</v>
      </c>
      <c r="G3" s="8">
        <v>30705</v>
      </c>
      <c r="H3" s="7" t="s">
        <v>24</v>
      </c>
      <c r="I3" s="7" t="s">
        <v>25</v>
      </c>
      <c r="J3" s="7" t="s">
        <v>18</v>
      </c>
      <c r="K3" s="7" t="s">
        <v>26</v>
      </c>
      <c r="L3" s="7" t="s">
        <v>27</v>
      </c>
      <c r="M3" s="7"/>
      <c r="N3" s="7" t="s">
        <v>20</v>
      </c>
      <c r="O3" s="1">
        <f t="shared" ref="O3:O31" si="0">IF(F3=F2,0,1)</f>
        <v>1</v>
      </c>
    </row>
    <row r="4" spans="1:15" x14ac:dyDescent="0.4">
      <c r="A4" s="5">
        <v>12</v>
      </c>
      <c r="B4" s="6">
        <v>46080.363645833335</v>
      </c>
      <c r="C4" s="7" t="s">
        <v>76</v>
      </c>
      <c r="D4" s="7" t="s">
        <v>77</v>
      </c>
      <c r="E4" s="7" t="s">
        <v>76</v>
      </c>
      <c r="F4" s="7" t="s">
        <v>78</v>
      </c>
      <c r="G4" s="8">
        <v>31121</v>
      </c>
      <c r="H4" s="7" t="s">
        <v>79</v>
      </c>
      <c r="I4" s="7" t="s">
        <v>73</v>
      </c>
      <c r="J4" s="7" t="s">
        <v>18</v>
      </c>
      <c r="K4" s="7" t="s">
        <v>80</v>
      </c>
      <c r="L4" s="7"/>
      <c r="M4" s="7"/>
      <c r="N4" s="7" t="s">
        <v>20</v>
      </c>
      <c r="O4" s="1">
        <f t="shared" si="0"/>
        <v>1</v>
      </c>
    </row>
    <row r="5" spans="1:15" x14ac:dyDescent="0.4">
      <c r="A5" s="5">
        <v>14</v>
      </c>
      <c r="B5" s="6">
        <v>46083.611226851855</v>
      </c>
      <c r="C5" s="7" t="s">
        <v>86</v>
      </c>
      <c r="D5" s="7" t="s">
        <v>87</v>
      </c>
      <c r="E5" s="7" t="s">
        <v>86</v>
      </c>
      <c r="F5" s="7" t="s">
        <v>88</v>
      </c>
      <c r="G5" s="8">
        <v>31064</v>
      </c>
      <c r="H5" s="7" t="s">
        <v>89</v>
      </c>
      <c r="I5" s="7" t="s">
        <v>25</v>
      </c>
      <c r="J5" s="7" t="s">
        <v>33</v>
      </c>
      <c r="K5" s="7"/>
      <c r="L5" s="7"/>
      <c r="M5" s="7" t="s">
        <v>90</v>
      </c>
      <c r="N5" s="7" t="s">
        <v>20</v>
      </c>
      <c r="O5" s="1">
        <f t="shared" si="0"/>
        <v>1</v>
      </c>
    </row>
    <row r="6" spans="1:15" x14ac:dyDescent="0.4">
      <c r="A6" s="5">
        <v>11</v>
      </c>
      <c r="B6" s="6">
        <v>46080.361932870372</v>
      </c>
      <c r="C6" s="7" t="s">
        <v>69</v>
      </c>
      <c r="D6" s="19" t="s">
        <v>70</v>
      </c>
      <c r="E6" s="7" t="s">
        <v>69</v>
      </c>
      <c r="F6" s="7" t="s">
        <v>71</v>
      </c>
      <c r="G6" s="8">
        <v>31829</v>
      </c>
      <c r="H6" s="7" t="s">
        <v>72</v>
      </c>
      <c r="I6" s="7" t="s">
        <v>73</v>
      </c>
      <c r="J6" s="7" t="s">
        <v>18</v>
      </c>
      <c r="K6" s="7" t="s">
        <v>74</v>
      </c>
      <c r="L6" s="7" t="s">
        <v>75</v>
      </c>
      <c r="M6" s="7"/>
      <c r="N6" s="7" t="s">
        <v>20</v>
      </c>
      <c r="O6" s="1">
        <f t="shared" si="0"/>
        <v>1</v>
      </c>
    </row>
    <row r="7" spans="1:15" x14ac:dyDescent="0.4">
      <c r="A7" s="5">
        <v>29</v>
      </c>
      <c r="B7" s="6">
        <v>46091.719317129631</v>
      </c>
      <c r="C7" s="7" t="s">
        <v>159</v>
      </c>
      <c r="D7" s="7" t="s">
        <v>160</v>
      </c>
      <c r="E7" s="7" t="s">
        <v>159</v>
      </c>
      <c r="F7" s="7" t="s">
        <v>161</v>
      </c>
      <c r="G7" s="8">
        <v>32231</v>
      </c>
      <c r="H7" s="7" t="s">
        <v>162</v>
      </c>
      <c r="I7" s="7" t="s">
        <v>157</v>
      </c>
      <c r="J7" s="7" t="s">
        <v>33</v>
      </c>
      <c r="K7" s="7"/>
      <c r="L7" s="7"/>
      <c r="M7" s="7" t="s">
        <v>34</v>
      </c>
      <c r="N7" s="7" t="s">
        <v>20</v>
      </c>
      <c r="O7" s="1">
        <f t="shared" si="0"/>
        <v>1</v>
      </c>
    </row>
    <row r="8" spans="1:15" x14ac:dyDescent="0.4">
      <c r="A8" s="5">
        <v>1</v>
      </c>
      <c r="B8" s="6">
        <v>46073.598391203705</v>
      </c>
      <c r="C8" s="7" t="s">
        <v>13</v>
      </c>
      <c r="D8" s="7" t="s">
        <v>14</v>
      </c>
      <c r="E8" s="7" t="s">
        <v>13</v>
      </c>
      <c r="F8" s="7" t="s">
        <v>15</v>
      </c>
      <c r="G8" s="8">
        <v>32718</v>
      </c>
      <c r="H8" s="7" t="s">
        <v>16</v>
      </c>
      <c r="I8" s="7" t="s">
        <v>17</v>
      </c>
      <c r="J8" s="7" t="s">
        <v>18</v>
      </c>
      <c r="K8" s="7" t="s">
        <v>19</v>
      </c>
      <c r="L8" s="7"/>
      <c r="M8" s="7"/>
      <c r="N8" s="7" t="s">
        <v>20</v>
      </c>
      <c r="O8" s="1">
        <f t="shared" si="0"/>
        <v>1</v>
      </c>
    </row>
    <row r="9" spans="1:15" x14ac:dyDescent="0.4">
      <c r="A9" s="5">
        <v>28</v>
      </c>
      <c r="B9" s="6">
        <v>46091.714317129627</v>
      </c>
      <c r="C9" s="7" t="s">
        <v>153</v>
      </c>
      <c r="D9" s="7" t="s">
        <v>154</v>
      </c>
      <c r="E9" s="7" t="s">
        <v>153</v>
      </c>
      <c r="F9" s="7" t="s">
        <v>155</v>
      </c>
      <c r="G9" s="8">
        <v>32775</v>
      </c>
      <c r="H9" s="7" t="s">
        <v>156</v>
      </c>
      <c r="I9" s="7" t="s">
        <v>157</v>
      </c>
      <c r="J9" s="7" t="s">
        <v>18</v>
      </c>
      <c r="K9" s="7" t="s">
        <v>158</v>
      </c>
      <c r="L9" s="7"/>
      <c r="M9" s="7"/>
      <c r="N9" s="7" t="s">
        <v>20</v>
      </c>
      <c r="O9" s="1">
        <f t="shared" si="0"/>
        <v>1</v>
      </c>
    </row>
    <row r="10" spans="1:15" x14ac:dyDescent="0.4">
      <c r="A10" s="5">
        <v>4</v>
      </c>
      <c r="B10" s="6">
        <v>46073.647962962961</v>
      </c>
      <c r="C10" s="7" t="s">
        <v>35</v>
      </c>
      <c r="D10" s="7" t="s">
        <v>36</v>
      </c>
      <c r="E10" s="7" t="s">
        <v>35</v>
      </c>
      <c r="F10" s="7" t="s">
        <v>37</v>
      </c>
      <c r="G10" s="8">
        <v>33569</v>
      </c>
      <c r="H10" s="7" t="s">
        <v>38</v>
      </c>
      <c r="I10" s="7" t="s">
        <v>39</v>
      </c>
      <c r="J10" s="7" t="s">
        <v>18</v>
      </c>
      <c r="K10" s="7" t="s">
        <v>40</v>
      </c>
      <c r="L10" s="7"/>
      <c r="M10" s="7"/>
      <c r="N10" s="7" t="s">
        <v>20</v>
      </c>
      <c r="O10" s="1">
        <f t="shared" si="0"/>
        <v>1</v>
      </c>
    </row>
    <row r="11" spans="1:15" x14ac:dyDescent="0.4">
      <c r="A11" s="5">
        <v>30</v>
      </c>
      <c r="B11" s="6">
        <v>46093.51798611111</v>
      </c>
      <c r="C11" s="7" t="s">
        <v>169</v>
      </c>
      <c r="D11" s="7" t="s">
        <v>170</v>
      </c>
      <c r="E11" s="7" t="s">
        <v>169</v>
      </c>
      <c r="F11" s="7" t="s">
        <v>171</v>
      </c>
      <c r="G11" s="8">
        <v>33990</v>
      </c>
      <c r="H11" s="7" t="s">
        <v>172</v>
      </c>
      <c r="I11" s="7" t="s">
        <v>39</v>
      </c>
      <c r="J11" s="7" t="s">
        <v>33</v>
      </c>
      <c r="K11" s="7"/>
      <c r="L11" s="7"/>
      <c r="M11" s="7" t="s">
        <v>173</v>
      </c>
      <c r="N11" s="7" t="s">
        <v>20</v>
      </c>
      <c r="O11" s="1">
        <f t="shared" si="0"/>
        <v>1</v>
      </c>
    </row>
    <row r="12" spans="1:15" x14ac:dyDescent="0.4">
      <c r="A12" s="5">
        <v>22</v>
      </c>
      <c r="B12" s="6">
        <v>46087.674849537034</v>
      </c>
      <c r="C12" s="7" t="s">
        <v>126</v>
      </c>
      <c r="D12" s="7" t="s">
        <v>127</v>
      </c>
      <c r="E12" s="7" t="s">
        <v>126</v>
      </c>
      <c r="F12" s="7" t="s">
        <v>128</v>
      </c>
      <c r="G12" s="8">
        <v>25075</v>
      </c>
      <c r="H12" s="7" t="s">
        <v>129</v>
      </c>
      <c r="I12" s="7" t="s">
        <v>17</v>
      </c>
      <c r="J12" s="7" t="s">
        <v>33</v>
      </c>
      <c r="K12" s="7"/>
      <c r="L12" s="7"/>
      <c r="M12" s="7" t="s">
        <v>130</v>
      </c>
      <c r="N12" s="7" t="s">
        <v>20</v>
      </c>
      <c r="O12" s="1">
        <f t="shared" si="0"/>
        <v>1</v>
      </c>
    </row>
    <row r="13" spans="1:15" x14ac:dyDescent="0.4">
      <c r="A13" s="5">
        <v>6</v>
      </c>
      <c r="B13" s="6">
        <v>46073.76221064815</v>
      </c>
      <c r="C13" s="7" t="s">
        <v>48</v>
      </c>
      <c r="D13" s="7" t="s">
        <v>49</v>
      </c>
      <c r="E13" s="7" t="s">
        <v>48</v>
      </c>
      <c r="F13" s="7" t="s">
        <v>50</v>
      </c>
      <c r="G13" s="8">
        <v>37494</v>
      </c>
      <c r="H13" s="7" t="s">
        <v>51</v>
      </c>
      <c r="I13" s="7" t="s">
        <v>39</v>
      </c>
      <c r="J13" s="7" t="s">
        <v>33</v>
      </c>
      <c r="K13" s="7"/>
      <c r="L13" s="7"/>
      <c r="M13" s="7" t="s">
        <v>52</v>
      </c>
      <c r="N13" s="7" t="s">
        <v>20</v>
      </c>
      <c r="O13" s="1">
        <f t="shared" si="0"/>
        <v>1</v>
      </c>
    </row>
    <row r="14" spans="1:15" x14ac:dyDescent="0.4">
      <c r="A14" s="5">
        <v>7</v>
      </c>
      <c r="B14" s="6">
        <v>46073.764421296299</v>
      </c>
      <c r="C14" s="7" t="s">
        <v>53</v>
      </c>
      <c r="D14" s="7" t="s">
        <v>54</v>
      </c>
      <c r="E14" s="7" t="s">
        <v>53</v>
      </c>
      <c r="F14" s="7" t="s">
        <v>55</v>
      </c>
      <c r="G14" s="8">
        <v>26992</v>
      </c>
      <c r="H14" s="7" t="s">
        <v>56</v>
      </c>
      <c r="I14" s="7" t="s">
        <v>39</v>
      </c>
      <c r="J14" s="7" t="s">
        <v>18</v>
      </c>
      <c r="K14" s="7" t="s">
        <v>57</v>
      </c>
      <c r="L14" s="7"/>
      <c r="M14" s="7"/>
      <c r="N14" s="7" t="s">
        <v>20</v>
      </c>
      <c r="O14" s="1">
        <f t="shared" si="0"/>
        <v>1</v>
      </c>
    </row>
    <row r="15" spans="1:15" x14ac:dyDescent="0.4">
      <c r="A15" s="5">
        <v>20</v>
      </c>
      <c r="B15" s="6">
        <v>46087.671273148146</v>
      </c>
      <c r="C15" s="7" t="s">
        <v>116</v>
      </c>
      <c r="D15" s="7" t="s">
        <v>117</v>
      </c>
      <c r="E15" s="7" t="s">
        <v>116</v>
      </c>
      <c r="F15" s="7" t="s">
        <v>118</v>
      </c>
      <c r="G15" s="8">
        <v>25060</v>
      </c>
      <c r="H15" s="7" t="s">
        <v>119</v>
      </c>
      <c r="I15" s="7" t="s">
        <v>17</v>
      </c>
      <c r="J15" s="7" t="s">
        <v>33</v>
      </c>
      <c r="K15" s="7"/>
      <c r="L15" s="7"/>
      <c r="M15" s="7" t="s">
        <v>120</v>
      </c>
      <c r="N15" s="7" t="s">
        <v>20</v>
      </c>
      <c r="O15" s="1">
        <f t="shared" si="0"/>
        <v>1</v>
      </c>
    </row>
    <row r="16" spans="1:15" x14ac:dyDescent="0.4">
      <c r="A16" s="5">
        <v>5</v>
      </c>
      <c r="B16" s="6">
        <v>46073.658136574071</v>
      </c>
      <c r="C16" s="7" t="s">
        <v>41</v>
      </c>
      <c r="D16" s="7" t="s">
        <v>42</v>
      </c>
      <c r="E16" s="7" t="s">
        <v>41</v>
      </c>
      <c r="F16" s="7" t="s">
        <v>43</v>
      </c>
      <c r="G16" s="8">
        <v>25764</v>
      </c>
      <c r="H16" s="7" t="s">
        <v>44</v>
      </c>
      <c r="I16" s="7" t="s">
        <v>45</v>
      </c>
      <c r="J16" s="7" t="s">
        <v>18</v>
      </c>
      <c r="K16" s="7" t="s">
        <v>46</v>
      </c>
      <c r="L16" s="7" t="s">
        <v>47</v>
      </c>
      <c r="M16" s="7"/>
      <c r="N16" s="7" t="s">
        <v>20</v>
      </c>
      <c r="O16" s="1">
        <f t="shared" si="0"/>
        <v>1</v>
      </c>
    </row>
    <row r="17" spans="1:15" x14ac:dyDescent="0.4">
      <c r="A17" s="5">
        <v>15</v>
      </c>
      <c r="B17" s="6">
        <v>46084.507986111108</v>
      </c>
      <c r="C17" s="7" t="s">
        <v>91</v>
      </c>
      <c r="D17" s="7" t="s">
        <v>92</v>
      </c>
      <c r="E17" s="7" t="s">
        <v>91</v>
      </c>
      <c r="F17" s="7" t="s">
        <v>93</v>
      </c>
      <c r="G17" s="8">
        <v>26549</v>
      </c>
      <c r="H17" s="7" t="s">
        <v>94</v>
      </c>
      <c r="I17" s="7" t="s">
        <v>45</v>
      </c>
      <c r="J17" s="7" t="s">
        <v>33</v>
      </c>
      <c r="K17" s="7"/>
      <c r="L17" s="7"/>
      <c r="M17" s="7" t="s">
        <v>95</v>
      </c>
      <c r="N17" s="7" t="s">
        <v>20</v>
      </c>
      <c r="O17" s="1">
        <f t="shared" si="0"/>
        <v>1</v>
      </c>
    </row>
    <row r="18" spans="1:15" x14ac:dyDescent="0.4">
      <c r="A18" s="5">
        <v>10</v>
      </c>
      <c r="B18" s="6">
        <v>46079.484143518515</v>
      </c>
      <c r="C18" s="7" t="s">
        <v>64</v>
      </c>
      <c r="D18" s="7" t="s">
        <v>65</v>
      </c>
      <c r="E18" s="7" t="s">
        <v>64</v>
      </c>
      <c r="F18" s="7" t="s">
        <v>66</v>
      </c>
      <c r="G18" s="8">
        <v>31772</v>
      </c>
      <c r="H18" s="7" t="s">
        <v>67</v>
      </c>
      <c r="I18" s="7" t="s">
        <v>32</v>
      </c>
      <c r="J18" s="7" t="s">
        <v>18</v>
      </c>
      <c r="K18" s="7" t="s">
        <v>68</v>
      </c>
      <c r="L18" s="7"/>
      <c r="M18" s="7"/>
      <c r="N18" s="7" t="s">
        <v>20</v>
      </c>
      <c r="O18" s="1">
        <f t="shared" si="0"/>
        <v>1</v>
      </c>
    </row>
    <row r="19" spans="1:15" x14ac:dyDescent="0.4">
      <c r="A19" s="5">
        <v>3</v>
      </c>
      <c r="B19" s="6">
        <v>46073.642372685186</v>
      </c>
      <c r="C19" s="7" t="s">
        <v>28</v>
      </c>
      <c r="D19" s="7" t="s">
        <v>29</v>
      </c>
      <c r="E19" s="7" t="s">
        <v>28</v>
      </c>
      <c r="F19" s="7" t="s">
        <v>30</v>
      </c>
      <c r="G19" s="8">
        <v>27782</v>
      </c>
      <c r="H19" s="7" t="s">
        <v>31</v>
      </c>
      <c r="I19" s="7" t="s">
        <v>32</v>
      </c>
      <c r="J19" s="7" t="s">
        <v>33</v>
      </c>
      <c r="K19" s="7"/>
      <c r="L19" s="7"/>
      <c r="M19" s="7" t="s">
        <v>34</v>
      </c>
      <c r="N19" s="7" t="s">
        <v>20</v>
      </c>
      <c r="O19" s="1">
        <f t="shared" si="0"/>
        <v>1</v>
      </c>
    </row>
    <row r="20" spans="1:15" x14ac:dyDescent="0.4">
      <c r="A20" s="5">
        <v>9</v>
      </c>
      <c r="B20" s="6">
        <v>46077.359710648147</v>
      </c>
      <c r="C20" s="7" t="s">
        <v>28</v>
      </c>
      <c r="D20" s="7" t="s">
        <v>29</v>
      </c>
      <c r="E20" s="7" t="s">
        <v>28</v>
      </c>
      <c r="F20" s="7" t="s">
        <v>30</v>
      </c>
      <c r="G20" s="8">
        <v>27782</v>
      </c>
      <c r="H20" s="7" t="s">
        <v>31</v>
      </c>
      <c r="I20" s="7" t="s">
        <v>32</v>
      </c>
      <c r="J20" s="7" t="s">
        <v>33</v>
      </c>
      <c r="K20" s="7"/>
      <c r="L20" s="7"/>
      <c r="M20" s="7" t="s">
        <v>34</v>
      </c>
      <c r="N20" s="7" t="s">
        <v>20</v>
      </c>
      <c r="O20" s="1">
        <f t="shared" si="0"/>
        <v>0</v>
      </c>
    </row>
    <row r="21" spans="1:15" x14ac:dyDescent="0.4">
      <c r="A21" s="5">
        <v>19</v>
      </c>
      <c r="B21" s="6">
        <v>46087.66988425926</v>
      </c>
      <c r="C21" s="7" t="s">
        <v>111</v>
      </c>
      <c r="D21" s="7" t="s">
        <v>112</v>
      </c>
      <c r="E21" s="7" t="s">
        <v>111</v>
      </c>
      <c r="F21" s="7" t="s">
        <v>113</v>
      </c>
      <c r="G21" s="8">
        <v>29016</v>
      </c>
      <c r="H21" s="7" t="s">
        <v>114</v>
      </c>
      <c r="I21" s="7" t="s">
        <v>17</v>
      </c>
      <c r="J21" s="7" t="s">
        <v>33</v>
      </c>
      <c r="K21" s="7"/>
      <c r="L21" s="7"/>
      <c r="M21" s="7" t="s">
        <v>115</v>
      </c>
      <c r="N21" s="7" t="s">
        <v>20</v>
      </c>
      <c r="O21" s="1">
        <f t="shared" si="0"/>
        <v>1</v>
      </c>
    </row>
    <row r="22" spans="1:15" x14ac:dyDescent="0.4">
      <c r="A22" s="5">
        <v>24</v>
      </c>
      <c r="B22" s="6">
        <v>46087.787465277775</v>
      </c>
      <c r="C22" s="7" t="s">
        <v>111</v>
      </c>
      <c r="D22" s="7" t="s">
        <v>112</v>
      </c>
      <c r="E22" s="7" t="s">
        <v>111</v>
      </c>
      <c r="F22" s="7" t="s">
        <v>113</v>
      </c>
      <c r="G22" s="8">
        <v>29016</v>
      </c>
      <c r="H22" s="7" t="s">
        <v>114</v>
      </c>
      <c r="I22" s="7" t="s">
        <v>17</v>
      </c>
      <c r="J22" s="7" t="s">
        <v>33</v>
      </c>
      <c r="K22" s="7"/>
      <c r="L22" s="7"/>
      <c r="M22" s="7" t="s">
        <v>136</v>
      </c>
      <c r="N22" s="7" t="s">
        <v>20</v>
      </c>
      <c r="O22" s="1">
        <f t="shared" si="0"/>
        <v>0</v>
      </c>
    </row>
    <row r="23" spans="1:15" x14ac:dyDescent="0.4">
      <c r="A23" s="5">
        <v>23</v>
      </c>
      <c r="B23" s="6">
        <v>46087.756712962961</v>
      </c>
      <c r="C23" s="7" t="s">
        <v>131</v>
      </c>
      <c r="D23" s="7" t="s">
        <v>132</v>
      </c>
      <c r="E23" s="7" t="s">
        <v>131</v>
      </c>
      <c r="F23" s="7" t="s">
        <v>133</v>
      </c>
      <c r="G23" s="8">
        <v>28454</v>
      </c>
      <c r="H23" s="7" t="s">
        <v>134</v>
      </c>
      <c r="I23" s="7" t="s">
        <v>17</v>
      </c>
      <c r="J23" s="7" t="s">
        <v>33</v>
      </c>
      <c r="K23" s="7"/>
      <c r="L23" s="7"/>
      <c r="M23" s="7" t="s">
        <v>135</v>
      </c>
      <c r="N23" s="7" t="s">
        <v>20</v>
      </c>
      <c r="O23" s="1">
        <f t="shared" si="0"/>
        <v>1</v>
      </c>
    </row>
    <row r="24" spans="1:15" x14ac:dyDescent="0.4">
      <c r="A24" s="5">
        <v>18</v>
      </c>
      <c r="B24" s="6">
        <v>46087.601307870369</v>
      </c>
      <c r="C24" s="7" t="s">
        <v>107</v>
      </c>
      <c r="D24" s="7" t="s">
        <v>108</v>
      </c>
      <c r="E24" s="7" t="s">
        <v>107</v>
      </c>
      <c r="F24" s="7" t="s">
        <v>109</v>
      </c>
      <c r="G24" s="8">
        <v>28359</v>
      </c>
      <c r="H24" s="7" t="s">
        <v>110</v>
      </c>
      <c r="I24" s="7" t="s">
        <v>17</v>
      </c>
      <c r="J24" s="7" t="s">
        <v>33</v>
      </c>
      <c r="K24" s="7"/>
      <c r="L24" s="7"/>
      <c r="M24" s="7" t="s">
        <v>34</v>
      </c>
      <c r="N24" s="7" t="s">
        <v>20</v>
      </c>
      <c r="O24" s="1">
        <f t="shared" si="0"/>
        <v>1</v>
      </c>
    </row>
    <row r="25" spans="1:15" x14ac:dyDescent="0.4">
      <c r="A25" s="5">
        <v>21</v>
      </c>
      <c r="B25" s="6">
        <v>46087.672476851854</v>
      </c>
      <c r="C25" s="7" t="s">
        <v>121</v>
      </c>
      <c r="D25" s="7" t="s">
        <v>122</v>
      </c>
      <c r="E25" s="7" t="s">
        <v>121</v>
      </c>
      <c r="F25" s="7" t="s">
        <v>123</v>
      </c>
      <c r="G25" s="8">
        <v>28899</v>
      </c>
      <c r="H25" s="7" t="s">
        <v>124</v>
      </c>
      <c r="I25" s="7" t="s">
        <v>17</v>
      </c>
      <c r="J25" s="7" t="s">
        <v>33</v>
      </c>
      <c r="K25" s="7"/>
      <c r="L25" s="7"/>
      <c r="M25" s="7" t="s">
        <v>125</v>
      </c>
      <c r="N25" s="7" t="s">
        <v>20</v>
      </c>
      <c r="O25" s="1">
        <f t="shared" si="0"/>
        <v>1</v>
      </c>
    </row>
    <row r="26" spans="1:15" x14ac:dyDescent="0.4">
      <c r="A26" s="5">
        <v>17</v>
      </c>
      <c r="B26" s="6">
        <v>46085.668437499997</v>
      </c>
      <c r="C26" s="7" t="s">
        <v>102</v>
      </c>
      <c r="D26" s="7" t="s">
        <v>103</v>
      </c>
      <c r="E26" s="7" t="s">
        <v>102</v>
      </c>
      <c r="F26" s="7" t="s">
        <v>104</v>
      </c>
      <c r="G26" s="8">
        <v>27429</v>
      </c>
      <c r="H26" s="7" t="s">
        <v>105</v>
      </c>
      <c r="I26" s="7" t="s">
        <v>45</v>
      </c>
      <c r="J26" s="7" t="s">
        <v>33</v>
      </c>
      <c r="K26" s="7"/>
      <c r="L26" s="7"/>
      <c r="M26" s="7" t="s">
        <v>106</v>
      </c>
      <c r="N26" s="7" t="s">
        <v>20</v>
      </c>
      <c r="O26" s="1">
        <f t="shared" si="0"/>
        <v>1</v>
      </c>
    </row>
    <row r="27" spans="1:15" x14ac:dyDescent="0.4">
      <c r="A27" s="5">
        <v>27</v>
      </c>
      <c r="B27" s="6">
        <v>46090.933391203704</v>
      </c>
      <c r="C27" s="7" t="s">
        <v>147</v>
      </c>
      <c r="D27" s="7" t="s">
        <v>148</v>
      </c>
      <c r="E27" s="7" t="s">
        <v>147</v>
      </c>
      <c r="F27" s="7" t="s">
        <v>149</v>
      </c>
      <c r="G27" s="8">
        <v>30631</v>
      </c>
      <c r="H27" s="7" t="s">
        <v>150</v>
      </c>
      <c r="I27" s="7" t="s">
        <v>25</v>
      </c>
      <c r="J27" s="7" t="s">
        <v>18</v>
      </c>
      <c r="K27" s="7" t="s">
        <v>151</v>
      </c>
      <c r="L27" s="7" t="s">
        <v>152</v>
      </c>
      <c r="M27" s="7"/>
      <c r="N27" s="7" t="s">
        <v>20</v>
      </c>
      <c r="O27" s="1">
        <f t="shared" si="0"/>
        <v>1</v>
      </c>
    </row>
    <row r="28" spans="1:15" x14ac:dyDescent="0.4">
      <c r="A28" s="5">
        <v>16</v>
      </c>
      <c r="B28" s="6">
        <v>46084.55641203704</v>
      </c>
      <c r="C28" s="7" t="s">
        <v>96</v>
      </c>
      <c r="D28" s="7" t="s">
        <v>97</v>
      </c>
      <c r="E28" s="7" t="s">
        <v>98</v>
      </c>
      <c r="F28" s="7" t="s">
        <v>99</v>
      </c>
      <c r="G28" s="8">
        <v>30804</v>
      </c>
      <c r="H28" s="7" t="s">
        <v>100</v>
      </c>
      <c r="I28" s="7" t="s">
        <v>45</v>
      </c>
      <c r="J28" s="7" t="s">
        <v>33</v>
      </c>
      <c r="K28" s="7"/>
      <c r="L28" s="7"/>
      <c r="M28" s="7" t="s">
        <v>101</v>
      </c>
      <c r="N28" s="7" t="s">
        <v>20</v>
      </c>
      <c r="O28" s="1">
        <f t="shared" si="0"/>
        <v>1</v>
      </c>
    </row>
    <row r="29" spans="1:15" x14ac:dyDescent="0.4">
      <c r="A29" s="5">
        <v>13</v>
      </c>
      <c r="B29" s="6">
        <v>46083.610011574077</v>
      </c>
      <c r="C29" s="7" t="s">
        <v>81</v>
      </c>
      <c r="D29" s="7" t="s">
        <v>82</v>
      </c>
      <c r="E29" s="7" t="s">
        <v>81</v>
      </c>
      <c r="F29" s="7" t="s">
        <v>83</v>
      </c>
      <c r="G29" s="8">
        <v>30380</v>
      </c>
      <c r="H29" s="7" t="s">
        <v>84</v>
      </c>
      <c r="I29" s="7" t="s">
        <v>25</v>
      </c>
      <c r="J29" s="7" t="s">
        <v>18</v>
      </c>
      <c r="K29" s="7" t="s">
        <v>85</v>
      </c>
      <c r="L29" s="7"/>
      <c r="M29" s="7"/>
      <c r="N29" s="7" t="s">
        <v>20</v>
      </c>
      <c r="O29" s="1">
        <f t="shared" si="0"/>
        <v>1</v>
      </c>
    </row>
    <row r="30" spans="1:15" x14ac:dyDescent="0.4">
      <c r="A30" s="5">
        <v>26</v>
      </c>
      <c r="B30" s="6">
        <v>46090.626886574071</v>
      </c>
      <c r="C30" s="7" t="s">
        <v>142</v>
      </c>
      <c r="D30" s="7" t="s">
        <v>143</v>
      </c>
      <c r="E30" s="7" t="s">
        <v>142</v>
      </c>
      <c r="F30" s="7" t="s">
        <v>144</v>
      </c>
      <c r="G30" s="8">
        <v>29332</v>
      </c>
      <c r="H30" s="7" t="s">
        <v>145</v>
      </c>
      <c r="I30" s="7" t="s">
        <v>17</v>
      </c>
      <c r="J30" s="7" t="s">
        <v>18</v>
      </c>
      <c r="K30" s="7" t="s">
        <v>146</v>
      </c>
      <c r="L30" s="7"/>
      <c r="M30" s="7"/>
      <c r="N30" s="7" t="s">
        <v>20</v>
      </c>
      <c r="O30" s="1">
        <f t="shared" si="0"/>
        <v>1</v>
      </c>
    </row>
    <row r="31" spans="1:15" x14ac:dyDescent="0.4">
      <c r="A31" s="5">
        <v>8</v>
      </c>
      <c r="B31" s="6">
        <v>46077.351990740739</v>
      </c>
      <c r="C31" s="7" t="s">
        <v>58</v>
      </c>
      <c r="D31" s="7" t="s">
        <v>59</v>
      </c>
      <c r="E31" s="7" t="s">
        <v>58</v>
      </c>
      <c r="F31" s="7" t="s">
        <v>60</v>
      </c>
      <c r="G31" s="8">
        <v>30394</v>
      </c>
      <c r="H31" s="7" t="s">
        <v>61</v>
      </c>
      <c r="I31" s="7" t="s">
        <v>32</v>
      </c>
      <c r="J31" s="7" t="s">
        <v>18</v>
      </c>
      <c r="K31" s="7" t="s">
        <v>62</v>
      </c>
      <c r="L31" s="7" t="s">
        <v>63</v>
      </c>
      <c r="M31" s="7"/>
      <c r="N31" s="7" t="s">
        <v>20</v>
      </c>
      <c r="O31" s="1">
        <f t="shared" si="0"/>
        <v>1</v>
      </c>
    </row>
  </sheetData>
  <autoFilter ref="A1:O31" xr:uid="{574E5C36-74E7-4317-8B6D-8547C4F974E0}"/>
  <sortState xmlns:xlrd2="http://schemas.microsoft.com/office/spreadsheetml/2017/richdata2" ref="A2:N32">
    <sortCondition ref="F2:F3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0AC-BF7D-4650-A2EE-6A5DDDDB3793}">
  <dimension ref="A1:D11"/>
  <sheetViews>
    <sheetView workbookViewId="0">
      <selection activeCell="A7" sqref="A7:B7"/>
    </sheetView>
  </sheetViews>
  <sheetFormatPr defaultRowHeight="19.5" x14ac:dyDescent="0.4"/>
  <cols>
    <col min="1" max="1" width="26.375" customWidth="1"/>
    <col min="2" max="2" width="14.25" bestFit="1" customWidth="1"/>
    <col min="3" max="3" width="18.25" customWidth="1"/>
    <col min="4" max="4" width="14.375" customWidth="1"/>
  </cols>
  <sheetData>
    <row r="1" spans="1:4" x14ac:dyDescent="0.4">
      <c r="A1" s="9" t="s">
        <v>164</v>
      </c>
      <c r="B1" s="10" t="s">
        <v>33</v>
      </c>
      <c r="C1" s="18" t="s">
        <v>18</v>
      </c>
      <c r="D1" s="11" t="s">
        <v>168</v>
      </c>
    </row>
    <row r="2" spans="1:4" x14ac:dyDescent="0.4">
      <c r="A2" s="12" t="s">
        <v>17</v>
      </c>
      <c r="B2" s="13">
        <f>SUMIFS(Inscritos!$O$2:$O$51,Inscritos!$I$2:$I$51,'Resumo de inscrições'!$A2,Inscritos!$J$2:$J$51,'Resumo de inscrições'!B$1)</f>
        <v>7</v>
      </c>
      <c r="C2" s="13">
        <f>SUMIFS(Inscritos!$O$2:$O$51,Inscritos!$I$2:$I$51,'Resumo de inscrições'!$A2,Inscritos!$J$2:$J$51,'Resumo de inscrições'!C$1)</f>
        <v>2</v>
      </c>
      <c r="D2" s="14">
        <f>SUM(B2:C2)</f>
        <v>9</v>
      </c>
    </row>
    <row r="3" spans="1:4" x14ac:dyDescent="0.4">
      <c r="A3" s="12" t="s">
        <v>39</v>
      </c>
      <c r="B3" s="13">
        <f>SUMIFS(Inscritos!$O$2:$O$51,Inscritos!$I$2:$I$51,'Resumo de inscrições'!$A3,Inscritos!$J$2:$J$51,'Resumo de inscrições'!B$1)</f>
        <v>2</v>
      </c>
      <c r="C3" s="13">
        <f>SUMIFS(Inscritos!$O$2:$O$51,Inscritos!$I$2:$I$51,'Resumo de inscrições'!$A3,Inscritos!$J$2:$J$51,'Resumo de inscrições'!C$1)</f>
        <v>2</v>
      </c>
      <c r="D3" s="14">
        <f t="shared" ref="D3:D11" si="0">SUM(B3:C3)</f>
        <v>4</v>
      </c>
    </row>
    <row r="4" spans="1:4" x14ac:dyDescent="0.4">
      <c r="A4" s="12" t="s">
        <v>32</v>
      </c>
      <c r="B4" s="13">
        <f>SUMIFS(Inscritos!$O$2:$O$51,Inscritos!$I$2:$I$51,'Resumo de inscrições'!$A4,Inscritos!$J$2:$J$51,'Resumo de inscrições'!B$1)</f>
        <v>1</v>
      </c>
      <c r="C4" s="13">
        <f>SUMIFS(Inscritos!$O$2:$O$51,Inscritos!$I$2:$I$51,'Resumo de inscrições'!$A4,Inscritos!$J$2:$J$51,'Resumo de inscrições'!C$1)</f>
        <v>2</v>
      </c>
      <c r="D4" s="14">
        <f t="shared" si="0"/>
        <v>3</v>
      </c>
    </row>
    <row r="5" spans="1:4" x14ac:dyDescent="0.4">
      <c r="A5" s="12" t="s">
        <v>45</v>
      </c>
      <c r="B5" s="13">
        <f>SUMIFS(Inscritos!$O$2:$O$51,Inscritos!$I$2:$I$51,'Resumo de inscrições'!$A5,Inscritos!$J$2:$J$51,'Resumo de inscrições'!B$1)</f>
        <v>3</v>
      </c>
      <c r="C5" s="13">
        <f>SUMIFS(Inscritos!$O$2:$O$51,Inscritos!$I$2:$I$51,'Resumo de inscrições'!$A5,Inscritos!$J$2:$J$51,'Resumo de inscrições'!C$1)</f>
        <v>1</v>
      </c>
      <c r="D5" s="14">
        <f t="shared" si="0"/>
        <v>4</v>
      </c>
    </row>
    <row r="6" spans="1:4" x14ac:dyDescent="0.4">
      <c r="A6" s="12" t="s">
        <v>25</v>
      </c>
      <c r="B6" s="13">
        <f>SUMIFS(Inscritos!$O$2:$O$51,Inscritos!$I$2:$I$51,'Resumo de inscrições'!$A6,Inscritos!$J$2:$J$51,'Resumo de inscrições'!B$1)</f>
        <v>1</v>
      </c>
      <c r="C6" s="13">
        <f>SUMIFS(Inscritos!$O$2:$O$51,Inscritos!$I$2:$I$51,'Resumo de inscrições'!$A6,Inscritos!$J$2:$J$51,'Resumo de inscrições'!C$1)</f>
        <v>3</v>
      </c>
      <c r="D6" s="14">
        <f t="shared" si="0"/>
        <v>4</v>
      </c>
    </row>
    <row r="7" spans="1:4" x14ac:dyDescent="0.4">
      <c r="A7" s="12" t="s">
        <v>73</v>
      </c>
      <c r="B7" s="13">
        <f>SUMIFS(Inscritos!$O$2:$O$51,Inscritos!$I$2:$I$51,'Resumo de inscrições'!$A7,Inscritos!$J$2:$J$51,'Resumo de inscrições'!B$1)</f>
        <v>0</v>
      </c>
      <c r="C7" s="13">
        <f>SUMIFS(Inscritos!$O$2:$O$51,Inscritos!$I$2:$I$51,'Resumo de inscrições'!$A7,Inscritos!$J$2:$J$51,'Resumo de inscrições'!C$1)</f>
        <v>2</v>
      </c>
      <c r="D7" s="14">
        <f t="shared" si="0"/>
        <v>2</v>
      </c>
    </row>
    <row r="8" spans="1:4" x14ac:dyDescent="0.4">
      <c r="A8" s="12" t="s">
        <v>157</v>
      </c>
      <c r="B8" s="13">
        <f>SUMIFS(Inscritos!$O$2:$O$51,Inscritos!$I$2:$I$51,'Resumo de inscrições'!$A8,Inscritos!$J$2:$J$51,'Resumo de inscrições'!B$1)</f>
        <v>1</v>
      </c>
      <c r="C8" s="13">
        <f>SUMIFS(Inscritos!$O$2:$O$51,Inscritos!$I$2:$I$51,'Resumo de inscrições'!$A8,Inscritos!$J$2:$J$51,'Resumo de inscrições'!C$1)</f>
        <v>1</v>
      </c>
      <c r="D8" s="14">
        <f t="shared" si="0"/>
        <v>2</v>
      </c>
    </row>
    <row r="9" spans="1:4" x14ac:dyDescent="0.4">
      <c r="A9" s="12" t="s">
        <v>165</v>
      </c>
      <c r="B9" s="13">
        <f>SUMIFS(Inscritos!$O$2:$O$51,Inscritos!$I$2:$I$51,'Resumo de inscrições'!$A9,Inscritos!$J$2:$J$51,'Resumo de inscrições'!B$1)</f>
        <v>0</v>
      </c>
      <c r="C9" s="13">
        <f>SUMIFS(Inscritos!$O$2:$O$51,Inscritos!$I$2:$I$51,'Resumo de inscrições'!$A9,Inscritos!$J$2:$J$51,'Resumo de inscrições'!C$1)</f>
        <v>0</v>
      </c>
      <c r="D9" s="14">
        <f t="shared" si="0"/>
        <v>0</v>
      </c>
    </row>
    <row r="10" spans="1:4" x14ac:dyDescent="0.4">
      <c r="A10" s="12" t="s">
        <v>166</v>
      </c>
      <c r="B10" s="13">
        <f>SUMIFS(Inscritos!$O$2:$O$51,Inscritos!$I$2:$I$51,'Resumo de inscrições'!$A10,Inscritos!$J$2:$J$51,'Resumo de inscrições'!B$1)</f>
        <v>0</v>
      </c>
      <c r="C10" s="13">
        <f>SUMIFS(Inscritos!$O$2:$O$51,Inscritos!$I$2:$I$51,'Resumo de inscrições'!$A10,Inscritos!$J$2:$J$51,'Resumo de inscrições'!C$1)</f>
        <v>0</v>
      </c>
      <c r="D10" s="14">
        <f t="shared" si="0"/>
        <v>0</v>
      </c>
    </row>
    <row r="11" spans="1:4" x14ac:dyDescent="0.4">
      <c r="A11" s="15" t="s">
        <v>167</v>
      </c>
      <c r="B11" s="16">
        <f>SUM(B2:B10)</f>
        <v>15</v>
      </c>
      <c r="C11" s="16">
        <f>SUM(C2:C10)</f>
        <v>13</v>
      </c>
      <c r="D11" s="17">
        <f t="shared" si="0"/>
        <v>28</v>
      </c>
    </row>
  </sheetData>
  <conditionalFormatting sqref="B2:C10">
    <cfRule type="cellIs" dxfId="1" priority="2" operator="equal">
      <formula>0</formula>
    </cfRule>
  </conditionalFormatting>
  <conditionalFormatting sqref="B2:C10">
    <cfRule type="cellIs" dxfId="0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Inscritos</vt:lpstr>
      <vt:lpstr>Resumo de inscrições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2026-03-12T13:44:42Z</dcterms:created>
  <dcterms:modified xsi:type="dcterms:W3CDTF">2026-03-12T18:31:58Z</dcterms:modified>
</cp:coreProperties>
</file>