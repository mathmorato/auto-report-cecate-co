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ropbox\090_UFG\08_PTE - FAPPTE\23_10CTE\"/>
    </mc:Choice>
  </mc:AlternateContent>
  <xr:revisionPtr revIDLastSave="0" documentId="13_ncr:1_{935BF691-0257-467E-81E9-596A0855DE3C}" xr6:coauthVersionLast="47" xr6:coauthVersionMax="47" xr10:uidLastSave="{00000000-0000-0000-0000-000000000000}"/>
  <bookViews>
    <workbookView xWindow="-120" yWindow="-120" windowWidth="29040" windowHeight="15840" firstSheet="2" activeTab="2" xr2:uid="{0CEC2220-FFE1-4E35-8754-20F16A3C7985}"/>
  </bookViews>
  <sheets>
    <sheet name="Presença" sheetId="1" state="hidden" r:id="rId1"/>
    <sheet name="Incrições" sheetId="2" state="hidden" r:id="rId2"/>
    <sheet name="Presença OK" sheetId="3" r:id="rId3"/>
  </sheets>
  <definedNames>
    <definedName name="_xlnm._FilterDatabase" localSheetId="1" hidden="1">Incrições!$A$1:$L$1</definedName>
    <definedName name="_xlnm._FilterDatabase" localSheetId="0" hidden="1">Presença!$A$1:$AV$145</definedName>
    <definedName name="_xlnm._FilterDatabase" localSheetId="2" hidden="1">'Presença OK'!$A$1:$H$49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I26" i="1"/>
  <c r="J26" i="1"/>
  <c r="K26" i="1"/>
  <c r="L26" i="1"/>
  <c r="M26" i="1"/>
  <c r="N26" i="1"/>
  <c r="O26" i="1"/>
  <c r="P26" i="1"/>
  <c r="Q26" i="1"/>
  <c r="R26" i="1"/>
  <c r="G26" i="1"/>
  <c r="I17" i="1"/>
  <c r="J17" i="1"/>
  <c r="K17" i="1"/>
  <c r="L17" i="1"/>
  <c r="M17" i="1"/>
  <c r="N17" i="1"/>
  <c r="O17" i="1"/>
  <c r="P17" i="1"/>
  <c r="Q17" i="1"/>
  <c r="R17" i="1"/>
  <c r="S17" i="1"/>
  <c r="G17" i="1"/>
  <c r="H17" i="1"/>
  <c r="G8" i="1"/>
  <c r="H8" i="1"/>
  <c r="I8" i="1"/>
  <c r="J8" i="1"/>
  <c r="K8" i="1"/>
  <c r="L8" i="1"/>
  <c r="M8" i="1"/>
  <c r="N8" i="1"/>
  <c r="O8" i="1"/>
  <c r="P8" i="1"/>
  <c r="Q8" i="1"/>
  <c r="R8" i="1"/>
  <c r="G11" i="1"/>
  <c r="H11" i="1"/>
  <c r="I11" i="1"/>
  <c r="J11" i="1"/>
  <c r="K11" i="1"/>
  <c r="L11" i="1"/>
  <c r="M11" i="1"/>
  <c r="N11" i="1"/>
  <c r="O11" i="1"/>
  <c r="P11" i="1"/>
  <c r="Q11" i="1"/>
  <c r="R11" i="1"/>
  <c r="G49" i="1"/>
  <c r="G15" i="1"/>
  <c r="G18" i="1"/>
  <c r="G48" i="1"/>
  <c r="G47" i="1"/>
  <c r="G46" i="1"/>
  <c r="G45" i="1"/>
  <c r="H47" i="1"/>
  <c r="I47" i="1"/>
  <c r="J47" i="1"/>
  <c r="H48" i="1"/>
  <c r="I48" i="1"/>
  <c r="J48" i="1"/>
  <c r="H18" i="1"/>
  <c r="I18" i="1"/>
  <c r="J18" i="1"/>
  <c r="H15" i="1"/>
  <c r="I15" i="1"/>
  <c r="J15" i="1"/>
  <c r="H49" i="1"/>
  <c r="I49" i="1"/>
  <c r="J49" i="1"/>
  <c r="N18" i="1"/>
  <c r="O18" i="1"/>
  <c r="P18" i="1"/>
  <c r="Q18" i="1"/>
  <c r="R18" i="1"/>
  <c r="S18" i="1"/>
  <c r="N15" i="1"/>
  <c r="O15" i="1"/>
  <c r="P15" i="1"/>
  <c r="Q15" i="1"/>
  <c r="R15" i="1"/>
  <c r="S15" i="1"/>
  <c r="O49" i="1"/>
  <c r="P49" i="1"/>
  <c r="Q49" i="1"/>
  <c r="R49" i="1"/>
  <c r="K48" i="1"/>
  <c r="L48" i="1"/>
  <c r="K18" i="1"/>
  <c r="L18" i="1"/>
  <c r="K15" i="1"/>
  <c r="L15" i="1"/>
  <c r="K49" i="1"/>
  <c r="L49" i="1"/>
  <c r="G44" i="1"/>
  <c r="G21" i="1"/>
  <c r="H21" i="1"/>
  <c r="I21" i="1"/>
  <c r="J21" i="1"/>
  <c r="K21" i="1"/>
  <c r="L21" i="1"/>
  <c r="M21" i="1"/>
  <c r="N21" i="1"/>
  <c r="O21" i="1"/>
  <c r="P21" i="1"/>
  <c r="Q21" i="1"/>
  <c r="R21" i="1"/>
  <c r="G39" i="1"/>
  <c r="H39" i="1"/>
  <c r="I39" i="1"/>
  <c r="J39" i="1"/>
  <c r="K39" i="1"/>
  <c r="L39" i="1"/>
  <c r="M39" i="1"/>
  <c r="N39" i="1"/>
  <c r="O39" i="1"/>
  <c r="P39" i="1"/>
  <c r="Q39" i="1"/>
  <c r="R39" i="1"/>
  <c r="G6" i="1"/>
  <c r="H6" i="1"/>
  <c r="I6" i="1"/>
  <c r="J6" i="1"/>
  <c r="K6" i="1"/>
  <c r="L6" i="1"/>
  <c r="M6" i="1"/>
  <c r="N6" i="1"/>
  <c r="O6" i="1"/>
  <c r="P6" i="1"/>
  <c r="Q6" i="1"/>
  <c r="R6" i="1"/>
  <c r="G27" i="1"/>
  <c r="H27" i="1"/>
  <c r="I27" i="1"/>
  <c r="J27" i="1"/>
  <c r="K27" i="1"/>
  <c r="L27" i="1"/>
  <c r="M27" i="1"/>
  <c r="N27" i="1"/>
  <c r="O27" i="1"/>
  <c r="P27" i="1"/>
  <c r="Q27" i="1"/>
  <c r="R27" i="1"/>
  <c r="G5" i="1"/>
  <c r="H5" i="1"/>
  <c r="I5" i="1"/>
  <c r="J5" i="1"/>
  <c r="K5" i="1"/>
  <c r="L5" i="1"/>
  <c r="M5" i="1"/>
  <c r="N5" i="1"/>
  <c r="O5" i="1"/>
  <c r="P5" i="1"/>
  <c r="Q5" i="1"/>
  <c r="R5" i="1"/>
  <c r="G14" i="1"/>
  <c r="H14" i="1"/>
  <c r="I14" i="1"/>
  <c r="J14" i="1"/>
  <c r="K14" i="1"/>
  <c r="L14" i="1"/>
  <c r="M14" i="1"/>
  <c r="N14" i="1"/>
  <c r="O14" i="1"/>
  <c r="P14" i="1"/>
  <c r="Q14" i="1"/>
  <c r="R14" i="1"/>
  <c r="G29" i="1"/>
  <c r="H29" i="1"/>
  <c r="I29" i="1"/>
  <c r="J29" i="1"/>
  <c r="K29" i="1"/>
  <c r="L29" i="1"/>
  <c r="M29" i="1"/>
  <c r="N29" i="1"/>
  <c r="O29" i="1"/>
  <c r="P29" i="1"/>
  <c r="Q29" i="1"/>
  <c r="R29" i="1"/>
  <c r="G35" i="1"/>
  <c r="H35" i="1"/>
  <c r="I35" i="1"/>
  <c r="J35" i="1"/>
  <c r="K35" i="1"/>
  <c r="L35" i="1"/>
  <c r="M35" i="1"/>
  <c r="N35" i="1"/>
  <c r="O35" i="1"/>
  <c r="P35" i="1"/>
  <c r="Q35" i="1"/>
  <c r="R35" i="1"/>
  <c r="H44" i="1"/>
  <c r="I44" i="1"/>
  <c r="J44" i="1"/>
  <c r="K44" i="1"/>
  <c r="L44" i="1"/>
  <c r="O44" i="1"/>
  <c r="P44" i="1"/>
  <c r="Q44" i="1"/>
  <c r="R44" i="1"/>
  <c r="G3" i="1"/>
  <c r="H3" i="1"/>
  <c r="I3" i="1"/>
  <c r="J3" i="1"/>
  <c r="K3" i="1"/>
  <c r="L3" i="1"/>
  <c r="M3" i="1"/>
  <c r="N3" i="1"/>
  <c r="O3" i="1"/>
  <c r="P3" i="1"/>
  <c r="Q3" i="1"/>
  <c r="R3" i="1"/>
  <c r="G37" i="1"/>
  <c r="H37" i="1"/>
  <c r="I37" i="1"/>
  <c r="J37" i="1"/>
  <c r="K37" i="1"/>
  <c r="L37" i="1"/>
  <c r="M37" i="1"/>
  <c r="N37" i="1"/>
  <c r="O37" i="1"/>
  <c r="P37" i="1"/>
  <c r="Q37" i="1"/>
  <c r="R37" i="1"/>
  <c r="G25" i="1"/>
  <c r="H25" i="1"/>
  <c r="I25" i="1"/>
  <c r="J25" i="1"/>
  <c r="K25" i="1"/>
  <c r="L25" i="1"/>
  <c r="M25" i="1"/>
  <c r="N25" i="1"/>
  <c r="O25" i="1"/>
  <c r="P25" i="1"/>
  <c r="Q25" i="1"/>
  <c r="R25" i="1"/>
  <c r="G20" i="1"/>
  <c r="H20" i="1"/>
  <c r="I20" i="1"/>
  <c r="J20" i="1"/>
  <c r="K20" i="1"/>
  <c r="L20" i="1"/>
  <c r="M20" i="1"/>
  <c r="N20" i="1"/>
  <c r="O20" i="1"/>
  <c r="P20" i="1"/>
  <c r="Q20" i="1"/>
  <c r="R20" i="1"/>
  <c r="G9" i="1"/>
  <c r="H9" i="1"/>
  <c r="I9" i="1"/>
  <c r="J9" i="1"/>
  <c r="K9" i="1"/>
  <c r="L9" i="1"/>
  <c r="M9" i="1"/>
  <c r="N9" i="1"/>
  <c r="O9" i="1"/>
  <c r="P9" i="1"/>
  <c r="Q9" i="1"/>
  <c r="R9" i="1"/>
  <c r="G12" i="1"/>
  <c r="H12" i="1"/>
  <c r="I12" i="1"/>
  <c r="J12" i="1"/>
  <c r="K12" i="1"/>
  <c r="L12" i="1"/>
  <c r="M12" i="1"/>
  <c r="N12" i="1"/>
  <c r="O12" i="1"/>
  <c r="P12" i="1"/>
  <c r="Q12" i="1"/>
  <c r="R12" i="1"/>
  <c r="H45" i="1"/>
  <c r="I45" i="1"/>
  <c r="J45" i="1"/>
  <c r="K45" i="1"/>
  <c r="L45" i="1"/>
  <c r="O45" i="1"/>
  <c r="P45" i="1"/>
  <c r="Q45" i="1"/>
  <c r="R45" i="1"/>
  <c r="G36" i="1"/>
  <c r="H36" i="1"/>
  <c r="I36" i="1"/>
  <c r="J36" i="1"/>
  <c r="K36" i="1"/>
  <c r="L36" i="1"/>
  <c r="M36" i="1"/>
  <c r="N36" i="1"/>
  <c r="O36" i="1"/>
  <c r="P36" i="1"/>
  <c r="Q36" i="1"/>
  <c r="R36" i="1"/>
  <c r="G43" i="1"/>
  <c r="H43" i="1"/>
  <c r="I43" i="1"/>
  <c r="J43" i="1"/>
  <c r="K43" i="1"/>
  <c r="L43" i="1"/>
  <c r="M43" i="1"/>
  <c r="N43" i="1"/>
  <c r="O43" i="1"/>
  <c r="P43" i="1"/>
  <c r="Q43" i="1"/>
  <c r="R43" i="1"/>
  <c r="G19" i="1"/>
  <c r="H19" i="1"/>
  <c r="I19" i="1"/>
  <c r="J19" i="1"/>
  <c r="K19" i="1"/>
  <c r="L19" i="1"/>
  <c r="M19" i="1"/>
  <c r="N19" i="1"/>
  <c r="O19" i="1"/>
  <c r="P19" i="1"/>
  <c r="Q19" i="1"/>
  <c r="R19" i="1"/>
  <c r="H46" i="1"/>
  <c r="I46" i="1"/>
  <c r="J46" i="1"/>
  <c r="K46" i="1"/>
  <c r="L46" i="1"/>
  <c r="O46" i="1"/>
  <c r="P46" i="1"/>
  <c r="Q46" i="1"/>
  <c r="R46" i="1"/>
  <c r="G2" i="1"/>
  <c r="H2" i="1"/>
  <c r="I2" i="1"/>
  <c r="J2" i="1"/>
  <c r="K2" i="1"/>
  <c r="L2" i="1"/>
  <c r="M2" i="1"/>
  <c r="N2" i="1"/>
  <c r="O2" i="1"/>
  <c r="P2" i="1"/>
  <c r="Q2" i="1"/>
  <c r="R2" i="1"/>
  <c r="G30" i="1"/>
  <c r="H30" i="1"/>
  <c r="I30" i="1"/>
  <c r="J30" i="1"/>
  <c r="K30" i="1"/>
  <c r="L30" i="1"/>
  <c r="M30" i="1"/>
  <c r="N30" i="1"/>
  <c r="O30" i="1"/>
  <c r="P30" i="1"/>
  <c r="Q30" i="1"/>
  <c r="R30" i="1"/>
  <c r="G38" i="1"/>
  <c r="H38" i="1"/>
  <c r="I38" i="1"/>
  <c r="J38" i="1"/>
  <c r="K38" i="1"/>
  <c r="L38" i="1"/>
  <c r="M38" i="1"/>
  <c r="N38" i="1"/>
  <c r="O38" i="1"/>
  <c r="P38" i="1"/>
  <c r="Q38" i="1"/>
  <c r="R38" i="1"/>
  <c r="G33" i="1"/>
  <c r="H33" i="1"/>
  <c r="I33" i="1"/>
  <c r="J33" i="1"/>
  <c r="K33" i="1"/>
  <c r="L33" i="1"/>
  <c r="M33" i="1"/>
  <c r="N33" i="1"/>
  <c r="O33" i="1"/>
  <c r="P33" i="1"/>
  <c r="Q33" i="1"/>
  <c r="R33" i="1"/>
  <c r="G40" i="1"/>
  <c r="H40" i="1"/>
  <c r="I40" i="1"/>
  <c r="J40" i="1"/>
  <c r="K40" i="1"/>
  <c r="L40" i="1"/>
  <c r="M40" i="1"/>
  <c r="N40" i="1"/>
  <c r="O40" i="1"/>
  <c r="P40" i="1"/>
  <c r="Q40" i="1"/>
  <c r="R40" i="1"/>
  <c r="G4" i="1"/>
  <c r="H4" i="1"/>
  <c r="I4" i="1"/>
  <c r="J4" i="1"/>
  <c r="K4" i="1"/>
  <c r="L4" i="1"/>
  <c r="M4" i="1"/>
  <c r="N4" i="1"/>
  <c r="O4" i="1"/>
  <c r="P4" i="1"/>
  <c r="Q4" i="1"/>
  <c r="R4" i="1"/>
  <c r="G34" i="1"/>
  <c r="H34" i="1"/>
  <c r="I34" i="1"/>
  <c r="J34" i="1"/>
  <c r="K34" i="1"/>
  <c r="L34" i="1"/>
  <c r="M34" i="1"/>
  <c r="N34" i="1"/>
  <c r="O34" i="1"/>
  <c r="P34" i="1"/>
  <c r="Q34" i="1"/>
  <c r="R34" i="1"/>
  <c r="G42" i="1"/>
  <c r="H42" i="1"/>
  <c r="I42" i="1"/>
  <c r="J42" i="1"/>
  <c r="K42" i="1"/>
  <c r="L42" i="1"/>
  <c r="M42" i="1"/>
  <c r="N42" i="1"/>
  <c r="O42" i="1"/>
  <c r="P42" i="1"/>
  <c r="Q42" i="1"/>
  <c r="R42" i="1"/>
  <c r="G41" i="1"/>
  <c r="H41" i="1"/>
  <c r="I41" i="1"/>
  <c r="J41" i="1"/>
  <c r="K41" i="1"/>
  <c r="L41" i="1"/>
  <c r="M41" i="1"/>
  <c r="N41" i="1"/>
  <c r="O41" i="1"/>
  <c r="P41" i="1"/>
  <c r="Q41" i="1"/>
  <c r="R41" i="1"/>
  <c r="G24" i="1"/>
  <c r="H24" i="1"/>
  <c r="I24" i="1"/>
  <c r="J24" i="1"/>
  <c r="K24" i="1"/>
  <c r="L24" i="1"/>
  <c r="M24" i="1"/>
  <c r="N24" i="1"/>
  <c r="O24" i="1"/>
  <c r="P24" i="1"/>
  <c r="Q24" i="1"/>
  <c r="R24" i="1"/>
  <c r="G22" i="1"/>
  <c r="H22" i="1"/>
  <c r="I22" i="1"/>
  <c r="J22" i="1"/>
  <c r="K22" i="1"/>
  <c r="L22" i="1"/>
  <c r="M22" i="1"/>
  <c r="N22" i="1"/>
  <c r="O22" i="1"/>
  <c r="P22" i="1"/>
  <c r="Q22" i="1"/>
  <c r="R22" i="1"/>
  <c r="G16" i="1"/>
  <c r="H16" i="1"/>
  <c r="I16" i="1"/>
  <c r="J16" i="1"/>
  <c r="K16" i="1"/>
  <c r="L16" i="1"/>
  <c r="M16" i="1"/>
  <c r="N16" i="1"/>
  <c r="O16" i="1"/>
  <c r="P16" i="1"/>
  <c r="Q16" i="1"/>
  <c r="R16" i="1"/>
  <c r="G28" i="1"/>
  <c r="H28" i="1"/>
  <c r="I28" i="1"/>
  <c r="J28" i="1"/>
  <c r="K28" i="1"/>
  <c r="L28" i="1"/>
  <c r="M28" i="1"/>
  <c r="N28" i="1"/>
  <c r="O28" i="1"/>
  <c r="P28" i="1"/>
  <c r="Q28" i="1"/>
  <c r="R28" i="1"/>
  <c r="G7" i="1"/>
  <c r="H7" i="1"/>
  <c r="I7" i="1"/>
  <c r="J7" i="1"/>
  <c r="K7" i="1"/>
  <c r="L7" i="1"/>
  <c r="M7" i="1"/>
  <c r="N7" i="1"/>
  <c r="O7" i="1"/>
  <c r="P7" i="1"/>
  <c r="Q7" i="1"/>
  <c r="R7" i="1"/>
  <c r="K47" i="1"/>
  <c r="L47" i="1"/>
  <c r="O47" i="1"/>
  <c r="P47" i="1"/>
  <c r="Q47" i="1"/>
  <c r="R47" i="1"/>
  <c r="G23" i="1"/>
  <c r="H23" i="1"/>
  <c r="I23" i="1"/>
  <c r="J23" i="1"/>
  <c r="K23" i="1"/>
  <c r="L23" i="1"/>
  <c r="M23" i="1"/>
  <c r="N23" i="1"/>
  <c r="O23" i="1"/>
  <c r="P23" i="1"/>
  <c r="Q23" i="1"/>
  <c r="R23" i="1"/>
  <c r="O48" i="1"/>
  <c r="P48" i="1"/>
  <c r="Q48" i="1"/>
  <c r="R48" i="1"/>
  <c r="G32" i="1"/>
  <c r="H32" i="1"/>
  <c r="I32" i="1"/>
  <c r="J32" i="1"/>
  <c r="K32" i="1"/>
  <c r="L32" i="1"/>
  <c r="M32" i="1"/>
  <c r="N32" i="1"/>
  <c r="O32" i="1"/>
  <c r="P32" i="1"/>
  <c r="Q32" i="1"/>
  <c r="R32" i="1"/>
  <c r="G13" i="1"/>
  <c r="H13" i="1"/>
  <c r="I13" i="1"/>
  <c r="J13" i="1"/>
  <c r="K13" i="1"/>
  <c r="L13" i="1"/>
  <c r="M13" i="1"/>
  <c r="N13" i="1"/>
  <c r="O13" i="1"/>
  <c r="P13" i="1"/>
  <c r="Q13" i="1"/>
  <c r="R13" i="1"/>
  <c r="G10" i="1"/>
  <c r="H10" i="1"/>
  <c r="I10" i="1"/>
  <c r="J10" i="1"/>
  <c r="K10" i="1"/>
  <c r="L10" i="1"/>
  <c r="M10" i="1"/>
  <c r="N10" i="1"/>
  <c r="O10" i="1"/>
  <c r="P10" i="1"/>
  <c r="Q10" i="1"/>
  <c r="R10" i="1"/>
  <c r="H31" i="1"/>
  <c r="I31" i="1"/>
  <c r="J31" i="1"/>
  <c r="K31" i="1"/>
  <c r="L31" i="1"/>
  <c r="M31" i="1"/>
  <c r="N31" i="1"/>
  <c r="O31" i="1"/>
  <c r="P31" i="1"/>
  <c r="Q31" i="1"/>
  <c r="R31" i="1"/>
  <c r="G31" i="1"/>
</calcChain>
</file>

<file path=xl/sharedStrings.xml><?xml version="1.0" encoding="utf-8"?>
<sst xmlns="http://schemas.openxmlformats.org/spreadsheetml/2006/main" count="979" uniqueCount="362">
  <si>
    <t>Murilo Vieira Assis</t>
  </si>
  <si>
    <t>043.855.311-02</t>
  </si>
  <si>
    <t>(66)99664-4772</t>
  </si>
  <si>
    <t>murilovassis@hotmail.com</t>
  </si>
  <si>
    <t>Sim</t>
  </si>
  <si>
    <t>MARCIO UONDERSON RAIMUNDO</t>
  </si>
  <si>
    <t>956.523.701-06</t>
  </si>
  <si>
    <t>(66)99978-8010</t>
  </si>
  <si>
    <t>cintiaraimundo70@gmail.com</t>
  </si>
  <si>
    <t>Cristian Alex Lopes de Souza</t>
  </si>
  <si>
    <t>555.206.261-20</t>
  </si>
  <si>
    <t>(66)99975-7560</t>
  </si>
  <si>
    <t>alexcristian2312@gmail.com</t>
  </si>
  <si>
    <t>Elaine Cintia de Souza</t>
  </si>
  <si>
    <t>982.434.111-00</t>
  </si>
  <si>
    <t>(66)99204-2256</t>
  </si>
  <si>
    <t>elainecintia2015@gmail.com</t>
  </si>
  <si>
    <t>MARIA JOSE LEANDRO DE ALMEIDA OLIVEIRA</t>
  </si>
  <si>
    <t>987.429.811-15</t>
  </si>
  <si>
    <t>(66)98443-4363</t>
  </si>
  <si>
    <t>marialeandro@portoalegredonorte.mt.gov.br</t>
  </si>
  <si>
    <t>Rejane Evangelista Galvão</t>
  </si>
  <si>
    <t>978.403.941-91</t>
  </si>
  <si>
    <t>(66)99221-1130</t>
  </si>
  <si>
    <t>rejanebgd@hotmail.com</t>
  </si>
  <si>
    <t>LUCAS PEREIRA ASSIS</t>
  </si>
  <si>
    <t>041.356.531-97</t>
  </si>
  <si>
    <t>(66)99971-6956</t>
  </si>
  <si>
    <t>lucas_blz_@hotmail.com</t>
  </si>
  <si>
    <t>Gabriel Kasprczak da silva</t>
  </si>
  <si>
    <t>935.418.991-15</t>
  </si>
  <si>
    <t>(66)99982-2518</t>
  </si>
  <si>
    <t>gabrielksilva@hotmail.com</t>
  </si>
  <si>
    <t>Rosane Fries</t>
  </si>
  <si>
    <t>005.341.921-90</t>
  </si>
  <si>
    <t>(66)99611-2019</t>
  </si>
  <si>
    <t>rosane.fries@canarana.edu.mt.gov.br</t>
  </si>
  <si>
    <t>Alexandre Lanusse Pereira Dias</t>
  </si>
  <si>
    <t>617.215.221-15</t>
  </si>
  <si>
    <t>(66)99988-9196</t>
  </si>
  <si>
    <t>Lanusseblz@hotmail.com</t>
  </si>
  <si>
    <t>João Carlos Araújo Rodrigues</t>
  </si>
  <si>
    <t>048.318.311-31</t>
  </si>
  <si>
    <t>(66)99698-6788</t>
  </si>
  <si>
    <t>joaocarlos.ac621@gmail.com</t>
  </si>
  <si>
    <t>Celson Sousa da Silva</t>
  </si>
  <si>
    <t>951.230.831-20</t>
  </si>
  <si>
    <t>(66)98445-7805</t>
  </si>
  <si>
    <t>Celsonsousadasilva@hotmail.com</t>
  </si>
  <si>
    <t>Cássio Gomes Coelho</t>
  </si>
  <si>
    <t>550.868.881-15</t>
  </si>
  <si>
    <t>(66)99980-2994</t>
  </si>
  <si>
    <t>Coelhocassiogc@gmail.com</t>
  </si>
  <si>
    <t>Marcelo Nunes Oliveira</t>
  </si>
  <si>
    <t>362.568.541-87</t>
  </si>
  <si>
    <t>(66)99207-5555</t>
  </si>
  <si>
    <t>Marcelo.oliveira.consultor@gmail.com</t>
  </si>
  <si>
    <t>Ronivaldo Assis dos Santos</t>
  </si>
  <si>
    <t>713.542.636-34</t>
  </si>
  <si>
    <t>(62)99804-9680</t>
  </si>
  <si>
    <t>ronnysantos4@hotmail.com</t>
  </si>
  <si>
    <t>Vânia Aparecida Neves Nogueira</t>
  </si>
  <si>
    <t>357.876.668-28</t>
  </si>
  <si>
    <t>(66)99931-2629</t>
  </si>
  <si>
    <t>Vanianevessilva@hotmail.com</t>
  </si>
  <si>
    <t>Ketlenn Jaklynny Alves dos Santos</t>
  </si>
  <si>
    <t>053.782.371-90</t>
  </si>
  <si>
    <t>(66)99964-3865</t>
  </si>
  <si>
    <t>Jaklynny2009@hotmail.com</t>
  </si>
  <si>
    <t>Denis Rodrigues de Souza</t>
  </si>
  <si>
    <t>828.172.351-34</t>
  </si>
  <si>
    <t>(66)98465-5624</t>
  </si>
  <si>
    <t>denisescolar@hotmail.com</t>
  </si>
  <si>
    <t>João Paulo de Sousa</t>
  </si>
  <si>
    <t>011.848.541-57</t>
  </si>
  <si>
    <t>(66)98432-9186</t>
  </si>
  <si>
    <t>999214662abc@gmail.com</t>
  </si>
  <si>
    <t>Fábio Pinto De Oliveira</t>
  </si>
  <si>
    <t>643.714.921-34</t>
  </si>
  <si>
    <t>(62)99987-2626</t>
  </si>
  <si>
    <t>Mcgfabio@gmail.com</t>
  </si>
  <si>
    <t>Mauro Machado dos Santos</t>
  </si>
  <si>
    <t>884.725.401-97</t>
  </si>
  <si>
    <t>(66)99977-1054</t>
  </si>
  <si>
    <t>santosmachado3@hotmail.com</t>
  </si>
  <si>
    <t>Leandra Roberta Brum Stefanello</t>
  </si>
  <si>
    <t>012.833.230-10</t>
  </si>
  <si>
    <t>(66)98410-9727</t>
  </si>
  <si>
    <t>leandra.r.b.s@hotmail.com</t>
  </si>
  <si>
    <t>Thaise Geovanna Pereira Sobrinho</t>
  </si>
  <si>
    <t>038.182.931-63</t>
  </si>
  <si>
    <t>(66)97400-5419</t>
  </si>
  <si>
    <t>thaisensj@hotmail.com</t>
  </si>
  <si>
    <t>Rosirene Alves Martins Aguiar</t>
  </si>
  <si>
    <t>921.708.031-49</t>
  </si>
  <si>
    <t>(66)98147-1011</t>
  </si>
  <si>
    <t>aguiarrosirene8@gmail.com</t>
  </si>
  <si>
    <t>Nilza Darc Rosa</t>
  </si>
  <si>
    <t>435.840.551-72</t>
  </si>
  <si>
    <t>(66)98129-2310</t>
  </si>
  <si>
    <t>Profanilza99@gmail.com</t>
  </si>
  <si>
    <t>Valfliene Aparecida de Melo Bética</t>
  </si>
  <si>
    <t>889.447.351-15</t>
  </si>
  <si>
    <t>(66)99984-4248</t>
  </si>
  <si>
    <t>valfliene@gmail.com</t>
  </si>
  <si>
    <t>Thiago de Macedo Figueira</t>
  </si>
  <si>
    <t>999.089.301-25</t>
  </si>
  <si>
    <t>(66)98140-9218</t>
  </si>
  <si>
    <t>thiagosmsnsj@gmail.com</t>
  </si>
  <si>
    <t>KELLEN MARINA KLEIN ROSSATO</t>
  </si>
  <si>
    <t>038.713.381-09</t>
  </si>
  <si>
    <t>(66)99714-0657</t>
  </si>
  <si>
    <t>kellenkleinrossato@gmail.com</t>
  </si>
  <si>
    <t>Kamili Alexandre</t>
  </si>
  <si>
    <t>060.440.811-09</t>
  </si>
  <si>
    <t>(66)99204-7193</t>
  </si>
  <si>
    <t>Kamilifitdance@gmail.com</t>
  </si>
  <si>
    <t>Elisabete Rosália Herrmann Brito</t>
  </si>
  <si>
    <t>009.756.161-45</t>
  </si>
  <si>
    <t>(66)98425-1993</t>
  </si>
  <si>
    <t>elisabeteherrmann@gmail.com</t>
  </si>
  <si>
    <t>Marcos Luiz de Jesus Silva Rachid</t>
  </si>
  <si>
    <t>002.145.951-70</t>
  </si>
  <si>
    <t>(66)99979-9371</t>
  </si>
  <si>
    <t>marcosrachid93@gmail.com</t>
  </si>
  <si>
    <t>Andréa Paciente Hora</t>
  </si>
  <si>
    <t>013.540.821-09</t>
  </si>
  <si>
    <t>(66)98425-6888</t>
  </si>
  <si>
    <t>andrea_hora21@hotmail.com</t>
  </si>
  <si>
    <t>Rosiane dos Santos Milhomem</t>
  </si>
  <si>
    <t>707.855.201-63</t>
  </si>
  <si>
    <t>(66)99688-7811</t>
  </si>
  <si>
    <t>rosianemilhomem@gmail.com</t>
  </si>
  <si>
    <t>Kate Regina Paulo da Silva</t>
  </si>
  <si>
    <t>762.162.171-00</t>
  </si>
  <si>
    <t>(66)98437-1064</t>
  </si>
  <si>
    <t>Katereginaps2@hotmail.com</t>
  </si>
  <si>
    <t>Luciano Carvalho da Silva</t>
  </si>
  <si>
    <t>051.765.051-77</t>
  </si>
  <si>
    <t>(66)99264-4006</t>
  </si>
  <si>
    <t>luciano.artros@gmail.com</t>
  </si>
  <si>
    <t>Adriane Hilario santos</t>
  </si>
  <si>
    <t>(66)98446-0280</t>
  </si>
  <si>
    <t>Adrianehilariosantos15@gmail.com</t>
  </si>
  <si>
    <t>Eliane Romualdo Gontijo Leite</t>
  </si>
  <si>
    <t>(66)98458-8018</t>
  </si>
  <si>
    <t>Eliane.rl.gontijo@gmail.com</t>
  </si>
  <si>
    <t>Ideman Celestino da Silva</t>
  </si>
  <si>
    <t>495.960.551-00</t>
  </si>
  <si>
    <t>(66)98424-5179</t>
  </si>
  <si>
    <t>idemarseletino@gmail.com</t>
  </si>
  <si>
    <t>Nelmi Rodrigues Quixabeira</t>
  </si>
  <si>
    <t>966.966.051-34</t>
  </si>
  <si>
    <t>(66)98449-1635</t>
  </si>
  <si>
    <t>nelmiquixabeira@hotmail.com</t>
  </si>
  <si>
    <t>Delcimar Vieira Lima</t>
  </si>
  <si>
    <t>474.491.361-04</t>
  </si>
  <si>
    <t>(66)98452-9107</t>
  </si>
  <si>
    <t>delcimarvieira2@hotmail.com</t>
  </si>
  <si>
    <t>Lorena Pereira de Souza</t>
  </si>
  <si>
    <t>042.254.611-90</t>
  </si>
  <si>
    <t>(66)99241-6958</t>
  </si>
  <si>
    <t>lorennasouza09.ls@gmail.com</t>
  </si>
  <si>
    <t>Andreia Arruda Américo</t>
  </si>
  <si>
    <t>009.151.451-70</t>
  </si>
  <si>
    <t>(66)98426-3841</t>
  </si>
  <si>
    <t>americoandreia48@gmail.com</t>
  </si>
  <si>
    <t>Não</t>
  </si>
  <si>
    <t>São Félix do Araguaia (MT)</t>
  </si>
  <si>
    <t>Gestão municipal</t>
  </si>
  <si>
    <t>Josimeire de Souza Ramos Resende</t>
  </si>
  <si>
    <t>004.763.191-02</t>
  </si>
  <si>
    <t>(66)98433-8186</t>
  </si>
  <si>
    <t>josimeire_quimica2011@hotmail.com</t>
  </si>
  <si>
    <t>Simone da Silva Rêgo de Souza</t>
  </si>
  <si>
    <t>767.007.393-49</t>
  </si>
  <si>
    <t>(66)98126-3476</t>
  </si>
  <si>
    <t>simonerego_cbn@hotmail.com</t>
  </si>
  <si>
    <t>Carimbo de data/hora</t>
  </si>
  <si>
    <t>Endereço de e-mail</t>
  </si>
  <si>
    <t>Nome Completo:</t>
  </si>
  <si>
    <t>CPF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</si>
  <si>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</si>
  <si>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</si>
  <si>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</si>
  <si>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</si>
  <si>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</si>
  <si>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</si>
  <si>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</si>
  <si>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Dia</t>
  </si>
  <si>
    <t>divinomaia13@hotmail.com</t>
  </si>
  <si>
    <t>Divino Francisco Martins Maia</t>
  </si>
  <si>
    <t>514.293.571-34</t>
  </si>
  <si>
    <t>(66)99603-3961</t>
  </si>
  <si>
    <t>Baliza (GO)</t>
  </si>
  <si>
    <t>CACS-FUNDEB</t>
  </si>
  <si>
    <t>Técnico da Assessoria pedagógica - membro do CACS Fundeb.</t>
  </si>
  <si>
    <t>Assiste Administrativo - Prestação de conta</t>
  </si>
  <si>
    <t>lanusseblz@hotmail.com</t>
  </si>
  <si>
    <t>Tecnico Operador: SETE Transporte escolar</t>
  </si>
  <si>
    <t>Cintia de Almeida Oliveira Raimundo</t>
  </si>
  <si>
    <t>Canarana (MT)</t>
  </si>
  <si>
    <t>Gestor Educacional (técnica do Transporte Escolar)</t>
  </si>
  <si>
    <t>admin.transporte@canarana.edu.mt.gov.br</t>
  </si>
  <si>
    <t>Gabriel Kasprczak da Silva</t>
  </si>
  <si>
    <t>Coordenador Transporte Escolar</t>
  </si>
  <si>
    <t>elenirafonso@portoalegredonorte.gov.br</t>
  </si>
  <si>
    <t>Elenir Afonso da Silva</t>
  </si>
  <si>
    <t>468.615.561-49</t>
  </si>
  <si>
    <t>(66)98429-0137</t>
  </si>
  <si>
    <t>Porto Alegre do Norte (MT)</t>
  </si>
  <si>
    <t>dirigente municipal</t>
  </si>
  <si>
    <t>Ronivaldo Assis Santos</t>
  </si>
  <si>
    <t>Montes Claros de Goiás (GO)</t>
  </si>
  <si>
    <t>Coordenador do Transporte Escolar</t>
  </si>
  <si>
    <t>Não tenho</t>
  </si>
  <si>
    <t>rosane.cacs@canarana.edu.mt.gov.br</t>
  </si>
  <si>
    <t>Secretaria</t>
  </si>
  <si>
    <t>Gestor Educacional (Técnico do Transporte Escolar)</t>
  </si>
  <si>
    <t>João Carlos Araujo Rodrigues</t>
  </si>
  <si>
    <t>Confresa (MT)</t>
  </si>
  <si>
    <t>Coordenador</t>
  </si>
  <si>
    <t>coelhocassiogc@gmail.com</t>
  </si>
  <si>
    <t>Diretor de transporte escolar</t>
  </si>
  <si>
    <t>Conselheiro</t>
  </si>
  <si>
    <t>celsonsousadasilva@hotmail.com</t>
  </si>
  <si>
    <t>profanilza99@gmail.com</t>
  </si>
  <si>
    <t>Novo São Joaquim (MT)</t>
  </si>
  <si>
    <t>Presidente</t>
  </si>
  <si>
    <t>THAISE GEOVANNA PEREIRA SOBRINHO</t>
  </si>
  <si>
    <t>RESPONSAVEL PRESTAÇÃO DE CONTAS</t>
  </si>
  <si>
    <t>thiagonsj@gmail.com</t>
  </si>
  <si>
    <t>THIAGO DE MACEDO FIGUEIRA</t>
  </si>
  <si>
    <t>SECRETARIO MUNICIPAL DE EDUCAÇÃO E CULTURA</t>
  </si>
  <si>
    <t>Responsavel pelo sistema do transporte escolar</t>
  </si>
  <si>
    <t>Ribeirão Cascalheira (MT)</t>
  </si>
  <si>
    <t>Técnica Administrativa Escolar</t>
  </si>
  <si>
    <t>Pontal do Araguaia (MT)</t>
  </si>
  <si>
    <t>Representante dos Técnicos Administrativos das Escolas Publicas</t>
  </si>
  <si>
    <t>mcgfabio@gmail.com</t>
  </si>
  <si>
    <t>Fábio Pinto de Oliveira</t>
  </si>
  <si>
    <t>vice presidente</t>
  </si>
  <si>
    <t>(66)98418-4363</t>
  </si>
  <si>
    <t>Representante de Servidor técnico administrativo</t>
  </si>
  <si>
    <t>Água Boa (MT)</t>
  </si>
  <si>
    <t>Gerente Transporte Escolar</t>
  </si>
  <si>
    <t>Fazer um transporte com qualidade mediante a lei</t>
  </si>
  <si>
    <t>vanianevessilva@hotmail.com</t>
  </si>
  <si>
    <t>Tecnica prestação de contas transporte escolar</t>
  </si>
  <si>
    <t>jaklynny2009@hotmail.com</t>
  </si>
  <si>
    <t>Ketlen Jaklynny Alves dos Santos</t>
  </si>
  <si>
    <t>Gerente de projetos e convênios da educação</t>
  </si>
  <si>
    <t>Assessora Pedagógica</t>
  </si>
  <si>
    <t>Wecton.gomes@gmail.com</t>
  </si>
  <si>
    <t>Wecton Ramos Gomes</t>
  </si>
  <si>
    <t>002.528.391-02</t>
  </si>
  <si>
    <t>(66)99654-9895</t>
  </si>
  <si>
    <t>Querência (MT)</t>
  </si>
  <si>
    <t>coordenador de transporte escolar</t>
  </si>
  <si>
    <t>prestacaocontas.semec@querencia.mt.gov.br</t>
  </si>
  <si>
    <t>Presidente CACS - FUNDEB</t>
  </si>
  <si>
    <t>kamilifitdance@gmail.com</t>
  </si>
  <si>
    <t>kamili alexandre</t>
  </si>
  <si>
    <t>técnico administrativo</t>
  </si>
  <si>
    <t>VICE PRESIDENTE</t>
  </si>
  <si>
    <t>Canabrava do Norte (MT)</t>
  </si>
  <si>
    <t>Responsavel pelo programa Geoter</t>
  </si>
  <si>
    <t>Simone da Silva Rêgo de Sousa</t>
  </si>
  <si>
    <t>Suplente</t>
  </si>
  <si>
    <t>lisianebionxx@gmail.com</t>
  </si>
  <si>
    <t>Lisiane Berghahn</t>
  </si>
  <si>
    <t>550.245.801-68</t>
  </si>
  <si>
    <t>(66)99998-9701</t>
  </si>
  <si>
    <t>Nova Xavantina (MT)</t>
  </si>
  <si>
    <t>Gerente de Transporte</t>
  </si>
  <si>
    <t>clayton.oliva@edu.mt.gov.br</t>
  </si>
  <si>
    <t>Clayton Gonçalves Oliva</t>
  </si>
  <si>
    <t>719.914.681-72</t>
  </si>
  <si>
    <t>(66)98447-3124</t>
  </si>
  <si>
    <t>Novo Santo Antônio (MT)</t>
  </si>
  <si>
    <t>Coordenador de Transporte Escolar</t>
  </si>
  <si>
    <t>Vice Presidente</t>
  </si>
  <si>
    <t>Vice presidente</t>
  </si>
  <si>
    <t>nilusawi@hotmail.com</t>
  </si>
  <si>
    <t>Nilson Barbosa da Silva</t>
  </si>
  <si>
    <t>487.041.561-53</t>
  </si>
  <si>
    <t>(66)99231-1210</t>
  </si>
  <si>
    <t>Santo Antônio do Leste (MT)</t>
  </si>
  <si>
    <t>Secretário Municipal de Educação</t>
  </si>
  <si>
    <t>Técnica Administrativa do Transporte Escolar</t>
  </si>
  <si>
    <t>ggaragemeducacao@gmail.com</t>
  </si>
  <si>
    <t>Adriane hilario santos</t>
  </si>
  <si>
    <t>822.671.541-53</t>
  </si>
  <si>
    <t>(66)98152-0154</t>
  </si>
  <si>
    <t>Vila Rica (MT)</t>
  </si>
  <si>
    <t>francileifonseca@gmail.com</t>
  </si>
  <si>
    <t>Francilei Marinho Fonseca</t>
  </si>
  <si>
    <t>933.170.691-04</t>
  </si>
  <si>
    <t>18/07/1880</t>
  </si>
  <si>
    <t>(66)98458-6450</t>
  </si>
  <si>
    <t>osmarilda.teixeira@vilarica.edu.mt.gov.br</t>
  </si>
  <si>
    <t>Osmarilda Souza Teixeira</t>
  </si>
  <si>
    <t>244.225.922-20</t>
  </si>
  <si>
    <t>(66)98448-5767</t>
  </si>
  <si>
    <t>Membro</t>
  </si>
  <si>
    <t>jamil.sales@luciara.mt.edu.gov.br</t>
  </si>
  <si>
    <t>Jamil Taverny Sales</t>
  </si>
  <si>
    <t>569.035.881-91</t>
  </si>
  <si>
    <t>(66)98458-0193</t>
  </si>
  <si>
    <t>Luciara (MT)</t>
  </si>
  <si>
    <t>O atendimento de todo o corpo dicente do bosso municipio através do transporte escolar.</t>
  </si>
  <si>
    <t>gleidiane.cruz@luciara.edu.mt.gov.br</t>
  </si>
  <si>
    <t>Gleidiane Ferreira da Cruz</t>
  </si>
  <si>
    <t>021.594.611-13</t>
  </si>
  <si>
    <t>(66)98427-5175</t>
  </si>
  <si>
    <t>Presidente do conselho do TRANSPORTE ESCOLAR</t>
  </si>
  <si>
    <t>moisesco2009@gmail.com</t>
  </si>
  <si>
    <t>Moises Correia de Oliveira</t>
  </si>
  <si>
    <t>001.805.551-62</t>
  </si>
  <si>
    <t>(66)98452-0550</t>
  </si>
  <si>
    <t>Divisão de Manutenção da Frota</t>
  </si>
  <si>
    <t>gerayneaquinocorrea@gmail.com</t>
  </si>
  <si>
    <t>Gerayne Aquino Corrêa</t>
  </si>
  <si>
    <t>024.883.761-32</t>
  </si>
  <si>
    <t>(66)98422-7979</t>
  </si>
  <si>
    <t>Araguaiana (MT)</t>
  </si>
  <si>
    <t>secretaria de educação</t>
  </si>
  <si>
    <t>daianagym20@hotmail.com</t>
  </si>
  <si>
    <t>DAIANA AMORIM CUNHA</t>
  </si>
  <si>
    <t>031.632.791-39</t>
  </si>
  <si>
    <t>(66)98439-1428</t>
  </si>
  <si>
    <t>Serra Nova Dourada (MT)</t>
  </si>
  <si>
    <t>TECNICA MUNICIPAL DA SME</t>
  </si>
  <si>
    <t>caiquematheussnd1@gmail.com</t>
  </si>
  <si>
    <t>CAIQUE MATHEUS DA SILVA</t>
  </si>
  <si>
    <t>055.960.981-75</t>
  </si>
  <si>
    <t>(66)98446-6322</t>
  </si>
  <si>
    <t>Bom Jesus do Araguaia (MT)</t>
  </si>
  <si>
    <t>Secretária Municipal de Educação</t>
  </si>
  <si>
    <t>lidiaarraes01@hotmail.com</t>
  </si>
  <si>
    <t>Lídia Arraes de Oliveira</t>
  </si>
  <si>
    <t>395.707.701-04</t>
  </si>
  <si>
    <t>(66)98422-5865</t>
  </si>
  <si>
    <t>lidiane.silva@vilarica.edu.mt.gov.br</t>
  </si>
  <si>
    <t>Lidiane Heimerdinger Silva</t>
  </si>
  <si>
    <t>021.210.741-04</t>
  </si>
  <si>
    <t>(66)98423-5177</t>
  </si>
  <si>
    <t>Técnica</t>
  </si>
  <si>
    <t>Técnico Administrativo</t>
  </si>
  <si>
    <t>eliane.edu.tae@bomjesusdoaraguaia.mt.gov.br</t>
  </si>
  <si>
    <t>ELIANE ROMUALDO GONTIJO LEITE</t>
  </si>
  <si>
    <t>817.939.601-00</t>
  </si>
  <si>
    <t>Técnico Administrativo Educacional</t>
  </si>
  <si>
    <t>Andrea Paciente Hora</t>
  </si>
  <si>
    <t>Barra do Garças (MT)</t>
  </si>
  <si>
    <t>setor de prestação de contas</t>
  </si>
  <si>
    <t>CPF: XXX.XXX.XXX-XX</t>
  </si>
  <si>
    <t>Telefone: (DD)XXXXX-XXXX</t>
  </si>
  <si>
    <t>E-mail: xxxxxxx@xxxmail.com</t>
  </si>
  <si>
    <t>inscrito</t>
  </si>
  <si>
    <t>olivanerd@hotmail.com</t>
  </si>
  <si>
    <t>Aragarças (GO)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</si>
</sst>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4" borderId="0" xfId="0" applyFill="1"/>
    <xf numFmtId="22" fontId="0" fillId="4" borderId="0" xfId="0" applyNumberFormat="1" applyFill="1"/>
    <xf numFmtId="14" fontId="0" fillId="4" borderId="0" xfId="0" applyNumberFormat="1" applyFill="1"/>
    <xf numFmtId="22" fontId="0" fillId="5" borderId="0" xfId="0" applyNumberFormat="1" applyFill="1"/>
    <xf numFmtId="0" fontId="0" fillId="5" borderId="0" xfId="0" applyFill="1"/>
    <xf numFmtId="14" fontId="0" fillId="5" borderId="0" xfId="0" applyNumberFormat="1" applyFill="1"/>
    <xf numFmtId="22" fontId="0" fillId="6" borderId="0" xfId="0" applyNumberFormat="1" applyFill="1"/>
    <xf numFmtId="0" fontId="0" fillId="6" borderId="0" xfId="0" applyFill="1"/>
    <xf numFmtId="14" fontId="0" fillId="6" borderId="0" xfId="0" applyNumberFormat="1" applyFill="1"/>
    <xf numFmtId="14" fontId="0" fillId="7" borderId="0" xfId="0" applyNumberFormat="1" applyFill="1"/>
    <xf numFmtId="0" fontId="1" fillId="3" borderId="0" xfId="0" applyFont="1" applyFill="1"/>
    <xf numFmtId="2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9DEB-AC28-4400-BDE6-788EB8F4B879}">
  <dimension ref="A1:S49"/>
  <sheetViews>
    <sheetView topLeftCell="A34" zoomScale="70" zoomScaleNormal="70" workbookViewId="0">
      <selection activeCell="G15" sqref="G15"/>
    </sheetView>
  </sheetViews>
  <sheetFormatPr defaultRowHeight="15" x14ac:dyDescent="0.25"/>
  <cols>
    <col min="1" max="1" width="20.7109375" style="8" bestFit="1" customWidth="1"/>
    <col min="2" max="2" width="39.85546875" style="8" bestFit="1" customWidth="1"/>
    <col min="3" max="3" width="20" style="8" bestFit="1" customWidth="1"/>
    <col min="4" max="4" width="14" style="8" bestFit="1" customWidth="1"/>
    <col min="5" max="5" width="41.7109375" style="8" bestFit="1" customWidth="1"/>
    <col min="6" max="6" width="7.7109375" style="8" bestFit="1" customWidth="1"/>
    <col min="7" max="7" width="12.42578125" style="8" bestFit="1" customWidth="1"/>
    <col min="8" max="8" width="26" style="8" bestFit="1" customWidth="1"/>
    <col min="9" max="9" width="17.7109375" style="8" bestFit="1" customWidth="1"/>
    <col min="10" max="10" width="14" style="8" bestFit="1" customWidth="1"/>
    <col min="11" max="11" width="19.140625" style="8" bestFit="1" customWidth="1"/>
    <col min="12" max="12" width="24" style="8" bestFit="1" customWidth="1"/>
    <col min="13" max="13" width="29.7109375" style="8" bestFit="1" customWidth="1"/>
    <col min="14" max="14" width="22" style="8" bestFit="1" customWidth="1"/>
    <col min="15" max="15" width="40.85546875" style="8" bestFit="1" customWidth="1"/>
    <col min="16" max="16" width="13.7109375" style="8" customWidth="1"/>
    <col min="17" max="17" width="37.7109375" style="8" bestFit="1" customWidth="1"/>
    <col min="18" max="18" width="12.42578125" style="8" bestFit="1" customWidth="1"/>
    <col min="19" max="16384" width="9.140625" style="8"/>
  </cols>
  <sheetData>
    <row r="1" spans="1:19" x14ac:dyDescent="0.25">
      <c r="A1" s="8" t="s">
        <v>178</v>
      </c>
      <c r="B1" s="9" t="s">
        <v>180</v>
      </c>
      <c r="C1" s="8" t="s">
        <v>356</v>
      </c>
      <c r="D1" s="8" t="s">
        <v>357</v>
      </c>
      <c r="E1" s="8" t="s">
        <v>358</v>
      </c>
      <c r="F1" s="8" t="s">
        <v>359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</row>
    <row r="2" spans="1:19" x14ac:dyDescent="0.25">
      <c r="A2" s="9">
        <v>45924.363229166665</v>
      </c>
      <c r="B2" s="9" t="s">
        <v>73</v>
      </c>
      <c r="C2" s="8" t="s">
        <v>74</v>
      </c>
      <c r="D2" s="8" t="s">
        <v>75</v>
      </c>
      <c r="E2" s="8" t="s">
        <v>76</v>
      </c>
      <c r="F2" s="8" t="s">
        <v>4</v>
      </c>
      <c r="G2" s="10">
        <f>IF(_xlfn.XLOOKUP($C2,Incrições!$D$2:$D$58,Incrições!A$2:A$58)=0,"",_xlfn.XLOOKUP($C2,Incrições!$D$2:$D$58,Incrições!A$2:A$58))</f>
        <v>45912.518078703702</v>
      </c>
      <c r="H2" s="10" t="str">
        <f>IF(_xlfn.XLOOKUP($C2,Incrições!$D$2:$D$58,Incrições!B$2:B$58)=0,"",_xlfn.XLOOKUP($C2,Incrições!$D$2:$D$58,Incrições!B$2:B$58))</f>
        <v>999214662abc@gmail.com</v>
      </c>
      <c r="I2" s="10" t="str">
        <f>IF(_xlfn.XLOOKUP($C2,Incrições!$D$2:$D$58,Incrições!C$2:C$58)=0,"",_xlfn.XLOOKUP($C2,Incrições!$D$2:$D$58,Incrições!C$2:C$58))</f>
        <v>João Paulo de Sousa</v>
      </c>
      <c r="J2" s="10" t="str">
        <f>IF(_xlfn.XLOOKUP($C2,Incrições!$D$2:$D$58,Incrições!D$2:D$58)=0,"",_xlfn.XLOOKUP($C2,Incrições!$D$2:$D$58,Incrições!D$2:D$58))</f>
        <v>011.848.541-57</v>
      </c>
      <c r="K2" s="10">
        <f>IF(_xlfn.XLOOKUP($C2,Incrições!$D$2:$D$58,Incrições!E$2:E$58)=0,"",_xlfn.XLOOKUP($C2,Incrições!$D$2:$D$58,Incrições!E$2:E$58))</f>
        <v>29917</v>
      </c>
      <c r="L2" s="10" t="str">
        <f>IF(_xlfn.XLOOKUP($C2,Incrições!$D$2:$D$58,Incrições!F$2:F$58)=0,"",_xlfn.XLOOKUP($C2,Incrições!$D$2:$D$58,Incrições!F$2:F$58))</f>
        <v>(66)98432-9186</v>
      </c>
      <c r="M2" s="10" t="str">
        <f>IF(_xlfn.XLOOKUP($C2,Incrições!$D$2:$D$58,Incrições!G$2:G$58)=0,"",_xlfn.XLOOKUP($C2,Incrições!$D$2:$D$58,Incrições!G$2:G$58))</f>
        <v>Água Boa (MT)</v>
      </c>
      <c r="N2" s="10" t="str">
        <f>IF(_xlfn.XLOOKUP($C2,Incrições!$D$2:$D$58,Incrições!H$2:H$58)=0,"",_xlfn.XLOOKUP($C2,Incrições!$D$2:$D$58,Incrições!H$2:H$58))</f>
        <v>Gestão municipal</v>
      </c>
      <c r="O2" s="10" t="str">
        <f>IF(_xlfn.XLOOKUP($C2,Incrições!$D$2:$D$58,Incrições!I$2:I$58)=0,"",_xlfn.XLOOKUP($C2,Incrições!$D$2:$D$58,Incrições!I$2:I$58))</f>
        <v>Gerente Transporte Escolar</v>
      </c>
      <c r="P2" s="10" t="str">
        <f>IF(_xlfn.XLOOKUP($C2,Incrições!$D$2:$D$58,Incrições!J$2:J$58)=0,"",_xlfn.XLOOKUP($C2,Incrições!$D$2:$D$58,Incrições!J$2:J$58))</f>
        <v>Fazer um transporte com qualidade mediante a lei</v>
      </c>
      <c r="Q2" s="10" t="str">
        <f>IF(_xlfn.XLOOKUP($C2,Incrições!$D$2:$D$58,Incrições!K$2:K$58)=0,"",_xlfn.XLOOKUP($C2,Incrições!$D$2:$D$58,Incrições!K$2:K$58))</f>
        <v/>
      </c>
      <c r="R2" s="10">
        <f>IF(_xlfn.XLOOKUP($C2,Incrições!$D$2:$D$58,Incrições!L$2:L$58)=0,"",_xlfn.XLOOKUP($C2,Incrições!$D$2:$D$58,Incrições!L$2:L$58))</f>
        <v>45924</v>
      </c>
    </row>
    <row r="3" spans="1:19" x14ac:dyDescent="0.25">
      <c r="A3" s="9">
        <v>45924.358541666668</v>
      </c>
      <c r="B3" s="9" t="s">
        <v>29</v>
      </c>
      <c r="C3" s="8" t="s">
        <v>30</v>
      </c>
      <c r="D3" s="8" t="s">
        <v>31</v>
      </c>
      <c r="E3" s="8" t="s">
        <v>32</v>
      </c>
      <c r="F3" s="8" t="s">
        <v>4</v>
      </c>
      <c r="G3" s="10">
        <f>IF(_xlfn.XLOOKUP($C3,Incrições!$D$2:$D$58,Incrições!A$2:A$58)=0,"",_xlfn.XLOOKUP($C3,Incrições!$D$2:$D$58,Incrições!A$2:A$58))</f>
        <v>45905.597314814811</v>
      </c>
      <c r="H3" s="10" t="str">
        <f>IF(_xlfn.XLOOKUP($C3,Incrições!$D$2:$D$58,Incrições!B$2:B$58)=0,"",_xlfn.XLOOKUP($C3,Incrições!$D$2:$D$58,Incrições!B$2:B$58))</f>
        <v>admin.transporte@canarana.edu.mt.gov.br</v>
      </c>
      <c r="I3" s="10" t="str">
        <f>IF(_xlfn.XLOOKUP($C3,Incrições!$D$2:$D$58,Incrições!C$2:C$58)=0,"",_xlfn.XLOOKUP($C3,Incrições!$D$2:$D$58,Incrições!C$2:C$58))</f>
        <v>Gabriel Kasprczak da Silva</v>
      </c>
      <c r="J3" s="10" t="str">
        <f>IF(_xlfn.XLOOKUP($C3,Incrições!$D$2:$D$58,Incrições!D$2:D$58)=0,"",_xlfn.XLOOKUP($C3,Incrições!$D$2:$D$58,Incrições!D$2:D$58))</f>
        <v>935.418.991-15</v>
      </c>
      <c r="K3" s="10">
        <f>IF(_xlfn.XLOOKUP($C3,Incrições!$D$2:$D$58,Incrições!E$2:E$58)=0,"",_xlfn.XLOOKUP($C3,Incrições!$D$2:$D$58,Incrições!E$2:E$58))</f>
        <v>30299</v>
      </c>
      <c r="L3" s="10" t="str">
        <f>IF(_xlfn.XLOOKUP($C3,Incrições!$D$2:$D$58,Incrições!F$2:F$58)=0,"",_xlfn.XLOOKUP($C3,Incrições!$D$2:$D$58,Incrições!F$2:F$58))</f>
        <v>(66)99982-2518</v>
      </c>
      <c r="M3" s="10" t="str">
        <f>IF(_xlfn.XLOOKUP($C3,Incrições!$D$2:$D$58,Incrições!G$2:G$58)=0,"",_xlfn.XLOOKUP($C3,Incrições!$D$2:$D$58,Incrições!G$2:G$58))</f>
        <v>Canarana (MT)</v>
      </c>
      <c r="N3" s="10" t="str">
        <f>IF(_xlfn.XLOOKUP($C3,Incrições!$D$2:$D$58,Incrições!H$2:H$58)=0,"",_xlfn.XLOOKUP($C3,Incrições!$D$2:$D$58,Incrições!H$2:H$58))</f>
        <v>Gestão municipal</v>
      </c>
      <c r="O3" s="10" t="str">
        <f>IF(_xlfn.XLOOKUP($C3,Incrições!$D$2:$D$58,Incrições!I$2:I$58)=0,"",_xlfn.XLOOKUP($C3,Incrições!$D$2:$D$58,Incrições!I$2:I$58))</f>
        <v>Coordenador Transporte Escolar</v>
      </c>
      <c r="P3" s="10" t="str">
        <f>IF(_xlfn.XLOOKUP($C3,Incrições!$D$2:$D$58,Incrições!J$2:J$58)=0,"",_xlfn.XLOOKUP($C3,Incrições!$D$2:$D$58,Incrições!J$2:J$58))</f>
        <v/>
      </c>
      <c r="Q3" s="10" t="str">
        <f>IF(_xlfn.XLOOKUP($C3,Incrições!$D$2:$D$58,Incrições!K$2:K$58)=0,"",_xlfn.XLOOKUP($C3,Incrições!$D$2:$D$58,Incrições!K$2:K$58))</f>
        <v/>
      </c>
      <c r="R3" s="10">
        <f>IF(_xlfn.XLOOKUP($C3,Incrições!$D$2:$D$58,Incrições!L$2:L$58)=0,"",_xlfn.XLOOKUP($C3,Incrições!$D$2:$D$58,Incrições!L$2:L$58))</f>
        <v>45924</v>
      </c>
    </row>
    <row r="4" spans="1:19" x14ac:dyDescent="0.25">
      <c r="A4" s="9">
        <v>45924.366296296299</v>
      </c>
      <c r="B4" s="9" t="s">
        <v>93</v>
      </c>
      <c r="C4" s="8" t="s">
        <v>94</v>
      </c>
      <c r="D4" s="8" t="s">
        <v>95</v>
      </c>
      <c r="E4" s="8" t="s">
        <v>96</v>
      </c>
      <c r="F4" s="8" t="s">
        <v>4</v>
      </c>
      <c r="G4" s="10">
        <f>IF(_xlfn.XLOOKUP($C4,Incrições!$D$2:$D$58,Incrições!A$2:A$58)=0,"",_xlfn.XLOOKUP($C4,Incrições!$D$2:$D$58,Incrições!A$2:A$58))</f>
        <v>45910.411956018521</v>
      </c>
      <c r="H4" s="10" t="str">
        <f>IF(_xlfn.XLOOKUP($C4,Incrições!$D$2:$D$58,Incrições!B$2:B$58)=0,"",_xlfn.XLOOKUP($C4,Incrições!$D$2:$D$58,Incrições!B$2:B$58))</f>
        <v>aguiarrosirene8@gmail.com</v>
      </c>
      <c r="I4" s="10" t="str">
        <f>IF(_xlfn.XLOOKUP($C4,Incrições!$D$2:$D$58,Incrições!C$2:C$58)=0,"",_xlfn.XLOOKUP($C4,Incrições!$D$2:$D$58,Incrições!C$2:C$58))</f>
        <v>Rosirene Alves Martins Aguiar</v>
      </c>
      <c r="J4" s="10" t="str">
        <f>IF(_xlfn.XLOOKUP($C4,Incrições!$D$2:$D$58,Incrições!D$2:D$58)=0,"",_xlfn.XLOOKUP($C4,Incrições!$D$2:$D$58,Incrições!D$2:D$58))</f>
        <v>921.708.031-49</v>
      </c>
      <c r="K4" s="10">
        <f>IF(_xlfn.XLOOKUP($C4,Incrições!$D$2:$D$58,Incrições!E$2:E$58)=0,"",_xlfn.XLOOKUP($C4,Incrições!$D$2:$D$58,Incrições!E$2:E$58))</f>
        <v>27490</v>
      </c>
      <c r="L4" s="10" t="str">
        <f>IF(_xlfn.XLOOKUP($C4,Incrições!$D$2:$D$58,Incrições!F$2:F$58)=0,"",_xlfn.XLOOKUP($C4,Incrições!$D$2:$D$58,Incrições!F$2:F$58))</f>
        <v>(66)98147-1011</v>
      </c>
      <c r="M4" s="10" t="str">
        <f>IF(_xlfn.XLOOKUP($C4,Incrições!$D$2:$D$58,Incrições!G$2:G$58)=0,"",_xlfn.XLOOKUP($C4,Incrições!$D$2:$D$58,Incrições!G$2:G$58))</f>
        <v>Novo São Joaquim (MT)</v>
      </c>
      <c r="N4" s="10" t="str">
        <f>IF(_xlfn.XLOOKUP($C4,Incrições!$D$2:$D$58,Incrições!H$2:H$58)=0,"",_xlfn.XLOOKUP($C4,Incrições!$D$2:$D$58,Incrições!H$2:H$58))</f>
        <v>Gestão municipal</v>
      </c>
      <c r="O4" s="10" t="str">
        <f>IF(_xlfn.XLOOKUP($C4,Incrições!$D$2:$D$58,Incrições!I$2:I$58)=0,"",_xlfn.XLOOKUP($C4,Incrições!$D$2:$D$58,Incrições!I$2:I$58))</f>
        <v>Responsavel pelo sistema do transporte escolar</v>
      </c>
      <c r="P4" s="10" t="str">
        <f>IF(_xlfn.XLOOKUP($C4,Incrições!$D$2:$D$58,Incrições!J$2:J$58)=0,"",_xlfn.XLOOKUP($C4,Incrições!$D$2:$D$58,Incrições!J$2:J$58))</f>
        <v/>
      </c>
      <c r="Q4" s="10" t="str">
        <f>IF(_xlfn.XLOOKUP($C4,Incrições!$D$2:$D$58,Incrições!K$2:K$58)=0,"",_xlfn.XLOOKUP($C4,Incrições!$D$2:$D$58,Incrições!K$2:K$58))</f>
        <v/>
      </c>
      <c r="R4" s="10">
        <f>IF(_xlfn.XLOOKUP($C4,Incrições!$D$2:$D$58,Incrições!L$2:L$58)=0,"",_xlfn.XLOOKUP($C4,Incrições!$D$2:$D$58,Incrições!L$2:L$58))</f>
        <v>45924</v>
      </c>
    </row>
    <row r="5" spans="1:19" x14ac:dyDescent="0.25">
      <c r="A5" s="9">
        <v>45924.357210648152</v>
      </c>
      <c r="B5" s="9" t="s">
        <v>9</v>
      </c>
      <c r="C5" s="8" t="s">
        <v>10</v>
      </c>
      <c r="D5" s="8" t="s">
        <v>11</v>
      </c>
      <c r="E5" s="8" t="s">
        <v>12</v>
      </c>
      <c r="F5" s="8" t="s">
        <v>4</v>
      </c>
      <c r="G5" s="10">
        <f>IF(_xlfn.XLOOKUP($C5,Incrições!$D$2:$D$58,Incrições!A$2:A$58)=0,"",_xlfn.XLOOKUP($C5,Incrições!$D$2:$D$58,Incrições!A$2:A$58))</f>
        <v>45909.446412037039</v>
      </c>
      <c r="H5" s="10" t="str">
        <f>IF(_xlfn.XLOOKUP($C5,Incrições!$D$2:$D$58,Incrições!B$2:B$58)=0,"",_xlfn.XLOOKUP($C5,Incrições!$D$2:$D$58,Incrições!B$2:B$58))</f>
        <v>alexcristian2312@gmail.com</v>
      </c>
      <c r="I5" s="10" t="str">
        <f>IF(_xlfn.XLOOKUP($C5,Incrições!$D$2:$D$58,Incrições!C$2:C$58)=0,"",_xlfn.XLOOKUP($C5,Incrições!$D$2:$D$58,Incrições!C$2:C$58))</f>
        <v>Cristian Alex Lopes de Souza</v>
      </c>
      <c r="J5" s="10" t="str">
        <f>IF(_xlfn.XLOOKUP($C5,Incrições!$D$2:$D$58,Incrições!D$2:D$58)=0,"",_xlfn.XLOOKUP($C5,Incrições!$D$2:$D$58,Incrições!D$2:D$58))</f>
        <v>555.206.261-20</v>
      </c>
      <c r="K5" s="10">
        <f>IF(_xlfn.XLOOKUP($C5,Incrições!$D$2:$D$58,Incrições!E$2:E$58)=0,"",_xlfn.XLOOKUP($C5,Incrições!$D$2:$D$58,Incrições!E$2:E$58))</f>
        <v>27408</v>
      </c>
      <c r="L5" s="10" t="str">
        <f>IF(_xlfn.XLOOKUP($C5,Incrições!$D$2:$D$58,Incrições!F$2:F$58)=0,"",_xlfn.XLOOKUP($C5,Incrições!$D$2:$D$58,Incrições!F$2:F$58))</f>
        <v>(66)99975-7560</v>
      </c>
      <c r="M5" s="10" t="str">
        <f>IF(_xlfn.XLOOKUP($C5,Incrições!$D$2:$D$58,Incrições!G$2:G$58)=0,"",_xlfn.XLOOKUP($C5,Incrições!$D$2:$D$58,Incrições!G$2:G$58))</f>
        <v>Confresa (MT)</v>
      </c>
      <c r="N5" s="10" t="str">
        <f>IF(_xlfn.XLOOKUP($C5,Incrições!$D$2:$D$58,Incrições!H$2:H$58)=0,"",_xlfn.XLOOKUP($C5,Incrições!$D$2:$D$58,Incrições!H$2:H$58))</f>
        <v>CACS-FUNDEB</v>
      </c>
      <c r="O5" s="10" t="str">
        <f>IF(_xlfn.XLOOKUP($C5,Incrições!$D$2:$D$58,Incrições!I$2:I$58)=0,"",_xlfn.XLOOKUP($C5,Incrições!$D$2:$D$58,Incrições!I$2:I$58))</f>
        <v/>
      </c>
      <c r="P5" s="10" t="str">
        <f>IF(_xlfn.XLOOKUP($C5,Incrições!$D$2:$D$58,Incrições!J$2:J$58)=0,"",_xlfn.XLOOKUP($C5,Incrições!$D$2:$D$58,Incrições!J$2:J$58))</f>
        <v/>
      </c>
      <c r="Q5" s="10" t="str">
        <f>IF(_xlfn.XLOOKUP($C5,Incrições!$D$2:$D$58,Incrições!K$2:K$58)=0,"",_xlfn.XLOOKUP($C5,Incrições!$D$2:$D$58,Incrições!K$2:K$58))</f>
        <v>Conselheiro</v>
      </c>
      <c r="R5" s="10">
        <f>IF(_xlfn.XLOOKUP($C5,Incrições!$D$2:$D$58,Incrições!L$2:L$58)=0,"",_xlfn.XLOOKUP($C5,Incrições!$D$2:$D$58,Incrições!L$2:L$58))</f>
        <v>45924</v>
      </c>
    </row>
    <row r="6" spans="1:19" x14ac:dyDescent="0.25">
      <c r="A6" s="9">
        <v>45925.359675925924</v>
      </c>
      <c r="B6" s="9" t="s">
        <v>163</v>
      </c>
      <c r="C6" s="8" t="s">
        <v>164</v>
      </c>
      <c r="D6" s="8" t="s">
        <v>165</v>
      </c>
      <c r="E6" s="8" t="s">
        <v>166</v>
      </c>
      <c r="F6" s="8" t="s">
        <v>167</v>
      </c>
      <c r="G6" s="10">
        <f>IF(_xlfn.XLOOKUP($C6,Incrições!$D$2:$D$58,Incrições!A$2:A$58)=0,"",_xlfn.XLOOKUP($C6,Incrições!$D$2:$D$58,Incrições!A$2:A$58))</f>
        <v>45908.478703703702</v>
      </c>
      <c r="H6" s="10" t="str">
        <f>IF(_xlfn.XLOOKUP($C6,Incrições!$D$2:$D$58,Incrições!B$2:B$58)=0,"",_xlfn.XLOOKUP($C6,Incrições!$D$2:$D$58,Incrições!B$2:B$58))</f>
        <v>americoandreia48@gmail.com</v>
      </c>
      <c r="I6" s="10" t="str">
        <f>IF(_xlfn.XLOOKUP($C6,Incrições!$D$2:$D$58,Incrições!C$2:C$58)=0,"",_xlfn.XLOOKUP($C6,Incrições!$D$2:$D$58,Incrições!C$2:C$58))</f>
        <v>Andreia Arruda Américo</v>
      </c>
      <c r="J6" s="10" t="str">
        <f>IF(_xlfn.XLOOKUP($C6,Incrições!$D$2:$D$58,Incrições!D$2:D$58)=0,"",_xlfn.XLOOKUP($C6,Incrições!$D$2:$D$58,Incrições!D$2:D$58))</f>
        <v>009.151.451-70</v>
      </c>
      <c r="K6" s="10">
        <f>IF(_xlfn.XLOOKUP($C6,Incrições!$D$2:$D$58,Incrições!E$2:E$58)=0,"",_xlfn.XLOOKUP($C6,Incrições!$D$2:$D$58,Incrições!E$2:E$58))</f>
        <v>30150</v>
      </c>
      <c r="L6" s="10" t="str">
        <f>IF(_xlfn.XLOOKUP($C6,Incrições!$D$2:$D$58,Incrições!F$2:F$58)=0,"",_xlfn.XLOOKUP($C6,Incrições!$D$2:$D$58,Incrições!F$2:F$58))</f>
        <v>(66)98426-3841</v>
      </c>
      <c r="M6" s="10" t="str">
        <f>IF(_xlfn.XLOOKUP($C6,Incrições!$D$2:$D$58,Incrições!G$2:G$58)=0,"",_xlfn.XLOOKUP($C6,Incrições!$D$2:$D$58,Incrições!G$2:G$58))</f>
        <v>São Félix do Araguaia (MT)</v>
      </c>
      <c r="N6" s="10" t="str">
        <f>IF(_xlfn.XLOOKUP($C6,Incrições!$D$2:$D$58,Incrições!H$2:H$58)=0,"",_xlfn.XLOOKUP($C6,Incrições!$D$2:$D$58,Incrições!H$2:H$58))</f>
        <v>Gestão municipal</v>
      </c>
      <c r="O6" s="10" t="str">
        <f>IF(_xlfn.XLOOKUP($C6,Incrições!$D$2:$D$58,Incrições!I$2:I$58)=0,"",_xlfn.XLOOKUP($C6,Incrições!$D$2:$D$58,Incrições!I$2:I$58))</f>
        <v>Técnica Administrativa do Transporte Escolar</v>
      </c>
      <c r="P6" s="10" t="str">
        <f>IF(_xlfn.XLOOKUP($C6,Incrições!$D$2:$D$58,Incrições!J$2:J$58)=0,"",_xlfn.XLOOKUP($C6,Incrições!$D$2:$D$58,Incrições!J$2:J$58))</f>
        <v/>
      </c>
      <c r="Q6" s="10" t="str">
        <f>IF(_xlfn.XLOOKUP($C6,Incrições!$D$2:$D$58,Incrições!K$2:K$58)=0,"",_xlfn.XLOOKUP($C6,Incrições!$D$2:$D$58,Incrições!K$2:K$58))</f>
        <v/>
      </c>
      <c r="R6" s="10">
        <f>IF(_xlfn.XLOOKUP($C6,Incrições!$D$2:$D$58,Incrições!L$2:L$58)=0,"",_xlfn.XLOOKUP($C6,Incrições!$D$2:$D$58,Incrições!L$2:L$58))</f>
        <v>45925</v>
      </c>
    </row>
    <row r="7" spans="1:19" x14ac:dyDescent="0.25">
      <c r="A7" s="9">
        <v>45925.348553240743</v>
      </c>
      <c r="B7" s="9" t="s">
        <v>125</v>
      </c>
      <c r="C7" s="8" t="s">
        <v>126</v>
      </c>
      <c r="D7" s="8" t="s">
        <v>127</v>
      </c>
      <c r="E7" s="8" t="s">
        <v>128</v>
      </c>
      <c r="F7" s="8" t="s">
        <v>4</v>
      </c>
      <c r="G7" s="10">
        <f>IF(_xlfn.XLOOKUP($C7,Incrições!$D$2:$D$58,Incrições!A$2:A$58)=0,"",_xlfn.XLOOKUP($C7,Incrições!$D$2:$D$58,Incrições!A$2:A$58))</f>
        <v>45922.389502314814</v>
      </c>
      <c r="H7" s="10" t="str">
        <f>IF(_xlfn.XLOOKUP($C7,Incrições!$D$2:$D$58,Incrições!B$2:B$58)=0,"",_xlfn.XLOOKUP($C7,Incrições!$D$2:$D$58,Incrições!B$2:B$58))</f>
        <v>andrea_hora21@hotmail.com</v>
      </c>
      <c r="I7" s="10" t="str">
        <f>IF(_xlfn.XLOOKUP($C7,Incrições!$D$2:$D$58,Incrições!C$2:C$58)=0,"",_xlfn.XLOOKUP($C7,Incrições!$D$2:$D$58,Incrições!C$2:C$58))</f>
        <v>Andrea Paciente Hora</v>
      </c>
      <c r="J7" s="10" t="str">
        <f>IF(_xlfn.XLOOKUP($C7,Incrições!$D$2:$D$58,Incrições!D$2:D$58)=0,"",_xlfn.XLOOKUP($C7,Incrições!$D$2:$D$58,Incrições!D$2:D$58))</f>
        <v>013.540.821-09</v>
      </c>
      <c r="K7" s="10">
        <f>IF(_xlfn.XLOOKUP($C7,Incrições!$D$2:$D$58,Incrições!E$2:E$58)=0,"",_xlfn.XLOOKUP($C7,Incrições!$D$2:$D$58,Incrições!E$2:E$58))</f>
        <v>31739</v>
      </c>
      <c r="L7" s="10" t="str">
        <f>IF(_xlfn.XLOOKUP($C7,Incrições!$D$2:$D$58,Incrições!F$2:F$58)=0,"",_xlfn.XLOOKUP($C7,Incrições!$D$2:$D$58,Incrições!F$2:F$58))</f>
        <v>(66)98425-6888</v>
      </c>
      <c r="M7" s="10" t="str">
        <f>IF(_xlfn.XLOOKUP($C7,Incrições!$D$2:$D$58,Incrições!G$2:G$58)=0,"",_xlfn.XLOOKUP($C7,Incrições!$D$2:$D$58,Incrições!G$2:G$58))</f>
        <v>Vila Rica (MT)</v>
      </c>
      <c r="N7" s="10" t="str">
        <f>IF(_xlfn.XLOOKUP($C7,Incrições!$D$2:$D$58,Incrições!H$2:H$58)=0,"",_xlfn.XLOOKUP($C7,Incrições!$D$2:$D$58,Incrições!H$2:H$58))</f>
        <v>CACS-FUNDEB</v>
      </c>
      <c r="O7" s="10" t="str">
        <f>IF(_xlfn.XLOOKUP($C7,Incrições!$D$2:$D$58,Incrições!I$2:I$58)=0,"",_xlfn.XLOOKUP($C7,Incrições!$D$2:$D$58,Incrições!I$2:I$58))</f>
        <v/>
      </c>
      <c r="P7" s="10" t="str">
        <f>IF(_xlfn.XLOOKUP($C7,Incrições!$D$2:$D$58,Incrições!J$2:J$58)=0,"",_xlfn.XLOOKUP($C7,Incrições!$D$2:$D$58,Incrições!J$2:J$58))</f>
        <v/>
      </c>
      <c r="Q7" s="10" t="str">
        <f>IF(_xlfn.XLOOKUP($C7,Incrições!$D$2:$D$58,Incrições!K$2:K$58)=0,"",_xlfn.XLOOKUP($C7,Incrições!$D$2:$D$58,Incrições!K$2:K$58))</f>
        <v>Membro</v>
      </c>
      <c r="R7" s="10">
        <f>IF(_xlfn.XLOOKUP($C7,Incrições!$D$2:$D$58,Incrições!L$2:L$58)=0,"",_xlfn.XLOOKUP($C7,Incrições!$D$2:$D$58,Incrições!L$2:L$58))</f>
        <v>45925</v>
      </c>
    </row>
    <row r="8" spans="1:19" x14ac:dyDescent="0.25">
      <c r="A8" s="9">
        <v>45925.416724537034</v>
      </c>
      <c r="B8" s="8" t="s">
        <v>334</v>
      </c>
      <c r="C8" s="8" t="s">
        <v>335</v>
      </c>
      <c r="D8" s="8" t="s">
        <v>336</v>
      </c>
      <c r="E8" s="8" t="s">
        <v>333</v>
      </c>
      <c r="F8" s="8" t="s">
        <v>4</v>
      </c>
      <c r="G8" s="10">
        <f>IF(_xlfn.XLOOKUP($C8,Incrições!$D$2:$D$58,Incrições!A$2:A$58)=0,"",_xlfn.XLOOKUP($C8,Incrições!$D$2:$D$58,Incrições!A$2:A$58))</f>
        <v>45917.364328703705</v>
      </c>
      <c r="H8" s="10" t="str">
        <f>IF(_xlfn.XLOOKUP($C8,Incrições!$D$2:$D$58,Incrições!B$2:B$58)=0,"",_xlfn.XLOOKUP($C8,Incrições!$D$2:$D$58,Incrições!B$2:B$58))</f>
        <v>caiquematheussnd1@gmail.com</v>
      </c>
      <c r="I8" s="10" t="str">
        <f>IF(_xlfn.XLOOKUP($C8,Incrições!$D$2:$D$58,Incrições!C$2:C$58)=0,"",_xlfn.XLOOKUP($C8,Incrições!$D$2:$D$58,Incrições!C$2:C$58))</f>
        <v>CAIQUE MATHEUS DA SILVA</v>
      </c>
      <c r="J8" s="10" t="str">
        <f>IF(_xlfn.XLOOKUP($C8,Incrições!$D$2:$D$58,Incrições!D$2:D$58)=0,"",_xlfn.XLOOKUP($C8,Incrições!$D$2:$D$58,Incrições!D$2:D$58))</f>
        <v>055.960.981-75</v>
      </c>
      <c r="K8" s="10">
        <f>IF(_xlfn.XLOOKUP($C8,Incrições!$D$2:$D$58,Incrições!E$2:E$58)=0,"",_xlfn.XLOOKUP($C8,Incrições!$D$2:$D$58,Incrições!E$2:E$58))</f>
        <v>34279</v>
      </c>
      <c r="L8" s="10" t="str">
        <f>IF(_xlfn.XLOOKUP($C8,Incrições!$D$2:$D$58,Incrições!F$2:F$58)=0,"",_xlfn.XLOOKUP($C8,Incrições!$D$2:$D$58,Incrições!F$2:F$58))</f>
        <v>(66)98446-6322</v>
      </c>
      <c r="M8" s="10" t="str">
        <f>IF(_xlfn.XLOOKUP($C8,Incrições!$D$2:$D$58,Incrições!G$2:G$58)=0,"",_xlfn.XLOOKUP($C8,Incrições!$D$2:$D$58,Incrições!G$2:G$58))</f>
        <v>Serra Nova Dourada (MT)</v>
      </c>
      <c r="N8" s="10" t="str">
        <f>IF(_xlfn.XLOOKUP($C8,Incrições!$D$2:$D$58,Incrições!H$2:H$58)=0,"",_xlfn.XLOOKUP($C8,Incrições!$D$2:$D$58,Incrições!H$2:H$58))</f>
        <v>CACS-FUNDEB</v>
      </c>
      <c r="O8" s="10" t="str">
        <f>IF(_xlfn.XLOOKUP($C8,Incrições!$D$2:$D$58,Incrições!I$2:I$58)=0,"",_xlfn.XLOOKUP($C8,Incrições!$D$2:$D$58,Incrições!I$2:I$58))</f>
        <v/>
      </c>
      <c r="P8" s="10" t="str">
        <f>IF(_xlfn.XLOOKUP($C8,Incrições!$D$2:$D$58,Incrições!J$2:J$58)=0,"",_xlfn.XLOOKUP($C8,Incrições!$D$2:$D$58,Incrições!J$2:J$58))</f>
        <v/>
      </c>
      <c r="Q8" s="10" t="str">
        <f>IF(_xlfn.XLOOKUP($C8,Incrições!$D$2:$D$58,Incrições!K$2:K$58)=0,"",_xlfn.XLOOKUP($C8,Incrições!$D$2:$D$58,Incrições!K$2:K$58))</f>
        <v>VICE PRESIDENTE</v>
      </c>
      <c r="R8" s="10">
        <f>IF(_xlfn.XLOOKUP($C8,Incrições!$D$2:$D$58,Incrições!L$2:L$58)=0,"",_xlfn.XLOOKUP($C8,Incrições!$D$2:$D$58,Incrições!L$2:L$58))</f>
        <v>45925</v>
      </c>
    </row>
    <row r="9" spans="1:19" x14ac:dyDescent="0.25">
      <c r="A9" s="9">
        <v>45924.3593287037</v>
      </c>
      <c r="B9" s="9" t="s">
        <v>45</v>
      </c>
      <c r="C9" s="8" t="s">
        <v>46</v>
      </c>
      <c r="D9" s="8" t="s">
        <v>47</v>
      </c>
      <c r="E9" s="8" t="s">
        <v>48</v>
      </c>
      <c r="F9" s="8" t="s">
        <v>4</v>
      </c>
      <c r="G9" s="10">
        <f>IF(_xlfn.XLOOKUP($C9,Incrições!$D$2:$D$58,Incrições!A$2:A$58)=0,"",_xlfn.XLOOKUP($C9,Incrições!$D$2:$D$58,Incrições!A$2:A$58))</f>
        <v>45909.586793981478</v>
      </c>
      <c r="H9" s="10" t="str">
        <f>IF(_xlfn.XLOOKUP($C9,Incrições!$D$2:$D$58,Incrições!B$2:B$58)=0,"",_xlfn.XLOOKUP($C9,Incrições!$D$2:$D$58,Incrições!B$2:B$58))</f>
        <v>celsonsousadasilva@hotmail.com</v>
      </c>
      <c r="I9" s="10" t="str">
        <f>IF(_xlfn.XLOOKUP($C9,Incrições!$D$2:$D$58,Incrições!C$2:C$58)=0,"",_xlfn.XLOOKUP($C9,Incrições!$D$2:$D$58,Incrições!C$2:C$58))</f>
        <v>Celson Sousa da Silva</v>
      </c>
      <c r="J9" s="10" t="str">
        <f>IF(_xlfn.XLOOKUP($C9,Incrições!$D$2:$D$58,Incrições!D$2:D$58)=0,"",_xlfn.XLOOKUP($C9,Incrições!$D$2:$D$58,Incrições!D$2:D$58))</f>
        <v>951.230.831-20</v>
      </c>
      <c r="K9" s="10">
        <f>IF(_xlfn.XLOOKUP($C9,Incrições!$D$2:$D$58,Incrições!E$2:E$58)=0,"",_xlfn.XLOOKUP($C9,Incrições!$D$2:$D$58,Incrições!E$2:E$58))</f>
        <v>29800</v>
      </c>
      <c r="L9" s="10" t="str">
        <f>IF(_xlfn.XLOOKUP($C9,Incrições!$D$2:$D$58,Incrições!F$2:F$58)=0,"",_xlfn.XLOOKUP($C9,Incrições!$D$2:$D$58,Incrições!F$2:F$58))</f>
        <v>(66)98445-7805</v>
      </c>
      <c r="M9" s="10" t="str">
        <f>IF(_xlfn.XLOOKUP($C9,Incrições!$D$2:$D$58,Incrições!G$2:G$58)=0,"",_xlfn.XLOOKUP($C9,Incrições!$D$2:$D$58,Incrições!G$2:G$58))</f>
        <v>Confresa (MT)</v>
      </c>
      <c r="N9" s="10" t="str">
        <f>IF(_xlfn.XLOOKUP($C9,Incrições!$D$2:$D$58,Incrições!H$2:H$58)=0,"",_xlfn.XLOOKUP($C9,Incrições!$D$2:$D$58,Incrições!H$2:H$58))</f>
        <v>CACS-FUNDEB</v>
      </c>
      <c r="O9" s="10" t="str">
        <f>IF(_xlfn.XLOOKUP($C9,Incrições!$D$2:$D$58,Incrições!I$2:I$58)=0,"",_xlfn.XLOOKUP($C9,Incrições!$D$2:$D$58,Incrições!I$2:I$58))</f>
        <v/>
      </c>
      <c r="P9" s="10" t="str">
        <f>IF(_xlfn.XLOOKUP($C9,Incrições!$D$2:$D$58,Incrições!J$2:J$58)=0,"",_xlfn.XLOOKUP($C9,Incrições!$D$2:$D$58,Incrições!J$2:J$58))</f>
        <v/>
      </c>
      <c r="Q9" s="10" t="str">
        <f>IF(_xlfn.XLOOKUP($C9,Incrições!$D$2:$D$58,Incrições!K$2:K$58)=0,"",_xlfn.XLOOKUP($C9,Incrições!$D$2:$D$58,Incrições!K$2:K$58))</f>
        <v>Conselheiro</v>
      </c>
      <c r="R9" s="10">
        <f>IF(_xlfn.XLOOKUP($C9,Incrições!$D$2:$D$58,Incrições!L$2:L$58)=0,"",_xlfn.XLOOKUP($C9,Incrições!$D$2:$D$58,Incrições!L$2:L$58))</f>
        <v>45924</v>
      </c>
    </row>
    <row r="10" spans="1:19" x14ac:dyDescent="0.25">
      <c r="A10" s="9">
        <v>45924.356944444444</v>
      </c>
      <c r="B10" s="9" t="s">
        <v>5</v>
      </c>
      <c r="C10" s="8" t="s">
        <v>6</v>
      </c>
      <c r="D10" s="8" t="s">
        <v>7</v>
      </c>
      <c r="E10" s="8" t="s">
        <v>8</v>
      </c>
      <c r="F10" s="8" t="s">
        <v>4</v>
      </c>
      <c r="G10" s="10">
        <f>IF(_xlfn.XLOOKUP($C10,Incrições!$D$2:$D$58,Incrições!A$2:A$58)=0,"",_xlfn.XLOOKUP($C10,Incrições!$D$2:$D$58,Incrições!A$2:A$58))</f>
        <v>45905.592777777776</v>
      </c>
      <c r="H10" s="10" t="str">
        <f>IF(_xlfn.XLOOKUP($C10,Incrições!$D$2:$D$58,Incrições!B$2:B$58)=0,"",_xlfn.XLOOKUP($C10,Incrições!$D$2:$D$58,Incrições!B$2:B$58))</f>
        <v>cintiaraimundo70@gmail.com</v>
      </c>
      <c r="I10" s="10" t="str">
        <f>IF(_xlfn.XLOOKUP($C10,Incrições!$D$2:$D$58,Incrições!C$2:C$58)=0,"",_xlfn.XLOOKUP($C10,Incrições!$D$2:$D$58,Incrições!C$2:C$58))</f>
        <v>Cintia de Almeida Oliveira Raimundo</v>
      </c>
      <c r="J10" s="10" t="str">
        <f>IF(_xlfn.XLOOKUP($C10,Incrições!$D$2:$D$58,Incrições!D$2:D$58)=0,"",_xlfn.XLOOKUP($C10,Incrições!$D$2:$D$58,Incrições!D$2:D$58))</f>
        <v>956.523.701-06</v>
      </c>
      <c r="K10" s="10">
        <f>IF(_xlfn.XLOOKUP($C10,Incrições!$D$2:$D$58,Incrições!E$2:E$58)=0,"",_xlfn.XLOOKUP($C10,Incrições!$D$2:$D$58,Incrições!E$2:E$58))</f>
        <v>30047</v>
      </c>
      <c r="L10" s="10" t="str">
        <f>IF(_xlfn.XLOOKUP($C10,Incrições!$D$2:$D$58,Incrições!F$2:F$58)=0,"",_xlfn.XLOOKUP($C10,Incrições!$D$2:$D$58,Incrições!F$2:F$58))</f>
        <v>(66)99978-8010</v>
      </c>
      <c r="M10" s="10" t="str">
        <f>IF(_xlfn.XLOOKUP($C10,Incrições!$D$2:$D$58,Incrições!G$2:G$58)=0,"",_xlfn.XLOOKUP($C10,Incrições!$D$2:$D$58,Incrições!G$2:G$58))</f>
        <v>Canarana (MT)</v>
      </c>
      <c r="N10" s="10" t="str">
        <f>IF(_xlfn.XLOOKUP($C10,Incrições!$D$2:$D$58,Incrições!H$2:H$58)=0,"",_xlfn.XLOOKUP($C10,Incrições!$D$2:$D$58,Incrições!H$2:H$58))</f>
        <v>Gestão municipal</v>
      </c>
      <c r="O10" s="10" t="str">
        <f>IF(_xlfn.XLOOKUP($C10,Incrições!$D$2:$D$58,Incrições!I$2:I$58)=0,"",_xlfn.XLOOKUP($C10,Incrições!$D$2:$D$58,Incrições!I$2:I$58))</f>
        <v>Gestor Educacional (técnica do Transporte Escolar)</v>
      </c>
      <c r="P10" s="10" t="str">
        <f>IF(_xlfn.XLOOKUP($C10,Incrições!$D$2:$D$58,Incrições!J$2:J$58)=0,"",_xlfn.XLOOKUP($C10,Incrições!$D$2:$D$58,Incrições!J$2:J$58))</f>
        <v/>
      </c>
      <c r="Q10" s="10" t="str">
        <f>IF(_xlfn.XLOOKUP($C10,Incrições!$D$2:$D$58,Incrições!K$2:K$58)=0,"",_xlfn.XLOOKUP($C10,Incrições!$D$2:$D$58,Incrições!K$2:K$58))</f>
        <v/>
      </c>
      <c r="R10" s="10">
        <f>IF(_xlfn.XLOOKUP($C10,Incrições!$D$2:$D$58,Incrições!L$2:L$58)=0,"",_xlfn.XLOOKUP($C10,Incrições!$D$2:$D$58,Incrições!L$2:L$58))</f>
        <v>45924</v>
      </c>
    </row>
    <row r="11" spans="1:19" x14ac:dyDescent="0.25">
      <c r="A11" s="9">
        <v>45925.416342592594</v>
      </c>
      <c r="B11" s="8" t="s">
        <v>276</v>
      </c>
      <c r="C11" s="8" t="s">
        <v>277</v>
      </c>
      <c r="D11" s="8" t="s">
        <v>278</v>
      </c>
      <c r="E11" s="8" t="s">
        <v>360</v>
      </c>
      <c r="F11" s="8" t="s">
        <v>4</v>
      </c>
      <c r="G11" s="10">
        <f>IF(_xlfn.XLOOKUP($C11,Incrições!$D$2:$D$58,Incrições!A$2:A$58)=0,"",_xlfn.XLOOKUP($C11,Incrições!$D$2:$D$58,Incrições!A$2:A$58))</f>
        <v>45905.705601851849</v>
      </c>
      <c r="H11" s="10" t="str">
        <f>IF(_xlfn.XLOOKUP($C11,Incrições!$D$2:$D$58,Incrições!B$2:B$58)=0,"",_xlfn.XLOOKUP($C11,Incrições!$D$2:$D$58,Incrições!B$2:B$58))</f>
        <v>clayton.oliva@edu.mt.gov.br</v>
      </c>
      <c r="I11" s="10" t="str">
        <f>IF(_xlfn.XLOOKUP($C11,Incrições!$D$2:$D$58,Incrições!C$2:C$58)=0,"",_xlfn.XLOOKUP($C11,Incrições!$D$2:$D$58,Incrições!C$2:C$58))</f>
        <v>Clayton Gonçalves Oliva</v>
      </c>
      <c r="J11" s="10" t="str">
        <f>IF(_xlfn.XLOOKUP($C11,Incrições!$D$2:$D$58,Incrições!D$2:D$58)=0,"",_xlfn.XLOOKUP($C11,Incrições!$D$2:$D$58,Incrições!D$2:D$58))</f>
        <v>719.914.681-72</v>
      </c>
      <c r="K11" s="10">
        <f>IF(_xlfn.XLOOKUP($C11,Incrições!$D$2:$D$58,Incrições!E$2:E$58)=0,"",_xlfn.XLOOKUP($C11,Incrições!$D$2:$D$58,Incrições!E$2:E$58))</f>
        <v>29615</v>
      </c>
      <c r="L11" s="10" t="str">
        <f>IF(_xlfn.XLOOKUP($C11,Incrições!$D$2:$D$58,Incrições!F$2:F$58)=0,"",_xlfn.XLOOKUP($C11,Incrições!$D$2:$D$58,Incrições!F$2:F$58))</f>
        <v>(66)98447-3124</v>
      </c>
      <c r="M11" s="10" t="str">
        <f>IF(_xlfn.XLOOKUP($C11,Incrições!$D$2:$D$58,Incrições!G$2:G$58)=0,"",_xlfn.XLOOKUP($C11,Incrições!$D$2:$D$58,Incrições!G$2:G$58))</f>
        <v>Novo Santo Antônio (MT)</v>
      </c>
      <c r="N11" s="10" t="str">
        <f>IF(_xlfn.XLOOKUP($C11,Incrições!$D$2:$D$58,Incrições!H$2:H$58)=0,"",_xlfn.XLOOKUP($C11,Incrições!$D$2:$D$58,Incrições!H$2:H$58))</f>
        <v>Gestão municipal</v>
      </c>
      <c r="O11" s="10" t="str">
        <f>IF(_xlfn.XLOOKUP($C11,Incrições!$D$2:$D$58,Incrições!I$2:I$58)=0,"",_xlfn.XLOOKUP($C11,Incrições!$D$2:$D$58,Incrições!I$2:I$58))</f>
        <v>Coordenador de Transporte Escolar</v>
      </c>
      <c r="P11" s="10" t="str">
        <f>IF(_xlfn.XLOOKUP($C11,Incrições!$D$2:$D$58,Incrições!J$2:J$58)=0,"",_xlfn.XLOOKUP($C11,Incrições!$D$2:$D$58,Incrições!J$2:J$58))</f>
        <v/>
      </c>
      <c r="Q11" s="10" t="str">
        <f>IF(_xlfn.XLOOKUP($C11,Incrições!$D$2:$D$58,Incrições!K$2:K$58)=0,"",_xlfn.XLOOKUP($C11,Incrições!$D$2:$D$58,Incrições!K$2:K$58))</f>
        <v/>
      </c>
      <c r="R11" s="10">
        <f>IF(_xlfn.XLOOKUP($C11,Incrições!$D$2:$D$58,Incrições!L$2:L$58)=0,"",_xlfn.XLOOKUP($C11,Incrições!$D$2:$D$58,Incrições!L$2:L$58))</f>
        <v>45925</v>
      </c>
    </row>
    <row r="12" spans="1:19" x14ac:dyDescent="0.25">
      <c r="A12" s="9">
        <v>45924.359409722223</v>
      </c>
      <c r="B12" s="9" t="s">
        <v>49</v>
      </c>
      <c r="C12" s="8" t="s">
        <v>50</v>
      </c>
      <c r="D12" s="8" t="s">
        <v>51</v>
      </c>
      <c r="E12" s="8" t="s">
        <v>52</v>
      </c>
      <c r="F12" s="8" t="s">
        <v>4</v>
      </c>
      <c r="G12" s="10">
        <f>IF(_xlfn.XLOOKUP($C12,Incrições!$D$2:$D$58,Incrições!A$2:A$58)=0,"",_xlfn.XLOOKUP($C12,Incrições!$D$2:$D$58,Incrições!A$2:A$58))</f>
        <v>45909.424212962964</v>
      </c>
      <c r="H12" s="10" t="str">
        <f>IF(_xlfn.XLOOKUP($C12,Incrições!$D$2:$D$58,Incrições!B$2:B$58)=0,"",_xlfn.XLOOKUP($C12,Incrições!$D$2:$D$58,Incrições!B$2:B$58))</f>
        <v>coelhocassiogc@gmail.com</v>
      </c>
      <c r="I12" s="10" t="str">
        <f>IF(_xlfn.XLOOKUP($C12,Incrições!$D$2:$D$58,Incrições!C$2:C$58)=0,"",_xlfn.XLOOKUP($C12,Incrições!$D$2:$D$58,Incrições!C$2:C$58))</f>
        <v>Cássio Gomes Coelho</v>
      </c>
      <c r="J12" s="10" t="str">
        <f>IF(_xlfn.XLOOKUP($C12,Incrições!$D$2:$D$58,Incrições!D$2:D$58)=0,"",_xlfn.XLOOKUP($C12,Incrições!$D$2:$D$58,Incrições!D$2:D$58))</f>
        <v>550.868.881-15</v>
      </c>
      <c r="K12" s="10">
        <f>IF(_xlfn.XLOOKUP($C12,Incrições!$D$2:$D$58,Incrições!E$2:E$58)=0,"",_xlfn.XLOOKUP($C12,Incrições!$D$2:$D$58,Incrições!E$2:E$58))</f>
        <v>25140</v>
      </c>
      <c r="L12" s="10" t="str">
        <f>IF(_xlfn.XLOOKUP($C12,Incrições!$D$2:$D$58,Incrições!F$2:F$58)=0,"",_xlfn.XLOOKUP($C12,Incrições!$D$2:$D$58,Incrições!F$2:F$58))</f>
        <v>(66)99980-2994</v>
      </c>
      <c r="M12" s="10" t="str">
        <f>IF(_xlfn.XLOOKUP($C12,Incrições!$D$2:$D$58,Incrições!G$2:G$58)=0,"",_xlfn.XLOOKUP($C12,Incrições!$D$2:$D$58,Incrições!G$2:G$58))</f>
        <v>Confresa (MT)</v>
      </c>
      <c r="N12" s="10" t="str">
        <f>IF(_xlfn.XLOOKUP($C12,Incrições!$D$2:$D$58,Incrições!H$2:H$58)=0,"",_xlfn.XLOOKUP($C12,Incrições!$D$2:$D$58,Incrições!H$2:H$58))</f>
        <v>Gestão municipal</v>
      </c>
      <c r="O12" s="10" t="str">
        <f>IF(_xlfn.XLOOKUP($C12,Incrições!$D$2:$D$58,Incrições!I$2:I$58)=0,"",_xlfn.XLOOKUP($C12,Incrições!$D$2:$D$58,Incrições!I$2:I$58))</f>
        <v>Diretor de transporte escolar</v>
      </c>
      <c r="P12" s="10" t="str">
        <f>IF(_xlfn.XLOOKUP($C12,Incrições!$D$2:$D$58,Incrições!J$2:J$58)=0,"",_xlfn.XLOOKUP($C12,Incrições!$D$2:$D$58,Incrições!J$2:J$58))</f>
        <v/>
      </c>
      <c r="Q12" s="10" t="str">
        <f>IF(_xlfn.XLOOKUP($C12,Incrições!$D$2:$D$58,Incrições!K$2:K$58)=0,"",_xlfn.XLOOKUP($C12,Incrições!$D$2:$D$58,Incrições!K$2:K$58))</f>
        <v/>
      </c>
      <c r="R12" s="10">
        <f>IF(_xlfn.XLOOKUP($C12,Incrições!$D$2:$D$58,Incrições!L$2:L$58)=0,"",_xlfn.XLOOKUP($C12,Incrições!$D$2:$D$58,Incrições!L$2:L$58))</f>
        <v>45924</v>
      </c>
    </row>
    <row r="13" spans="1:19" x14ac:dyDescent="0.25">
      <c r="A13" s="9">
        <v>45925.359189814815</v>
      </c>
      <c r="B13" s="9" t="s">
        <v>155</v>
      </c>
      <c r="C13" s="8" t="s">
        <v>156</v>
      </c>
      <c r="D13" s="8" t="s">
        <v>157</v>
      </c>
      <c r="E13" s="8" t="s">
        <v>158</v>
      </c>
      <c r="F13" s="8" t="s">
        <v>4</v>
      </c>
      <c r="G13" s="10">
        <f>IF(_xlfn.XLOOKUP($C13,Incrições!$D$2:$D$58,Incrições!A$2:A$58)=0,"",_xlfn.XLOOKUP($C13,Incrições!$D$2:$D$58,Incrições!A$2:A$58))</f>
        <v>45917.32372685185</v>
      </c>
      <c r="H13" s="10" t="str">
        <f>IF(_xlfn.XLOOKUP($C13,Incrições!$D$2:$D$58,Incrições!B$2:B$58)=0,"",_xlfn.XLOOKUP($C13,Incrições!$D$2:$D$58,Incrições!B$2:B$58))</f>
        <v>delcimarvieira2@hotmail.com</v>
      </c>
      <c r="I13" s="10" t="str">
        <f>IF(_xlfn.XLOOKUP($C13,Incrições!$D$2:$D$58,Incrições!C$2:C$58)=0,"",_xlfn.XLOOKUP($C13,Incrições!$D$2:$D$58,Incrições!C$2:C$58))</f>
        <v>Delcimar Vieira Lima</v>
      </c>
      <c r="J13" s="10" t="str">
        <f>IF(_xlfn.XLOOKUP($C13,Incrições!$D$2:$D$58,Incrições!D$2:D$58)=0,"",_xlfn.XLOOKUP($C13,Incrições!$D$2:$D$58,Incrições!D$2:D$58))</f>
        <v>474.491.361-04</v>
      </c>
      <c r="K13" s="10">
        <f>IF(_xlfn.XLOOKUP($C13,Incrições!$D$2:$D$58,Incrições!E$2:E$58)=0,"",_xlfn.XLOOKUP($C13,Incrições!$D$2:$D$58,Incrições!E$2:E$58))</f>
        <v>24860</v>
      </c>
      <c r="L13" s="10" t="str">
        <f>IF(_xlfn.XLOOKUP($C13,Incrições!$D$2:$D$58,Incrições!F$2:F$58)=0,"",_xlfn.XLOOKUP($C13,Incrições!$D$2:$D$58,Incrições!F$2:F$58))</f>
        <v>(66)98452-9107</v>
      </c>
      <c r="M13" s="10" t="str">
        <f>IF(_xlfn.XLOOKUP($C13,Incrições!$D$2:$D$58,Incrições!G$2:G$58)=0,"",_xlfn.XLOOKUP($C13,Incrições!$D$2:$D$58,Incrições!G$2:G$58))</f>
        <v>Canabrava do Norte (MT)</v>
      </c>
      <c r="N13" s="10" t="str">
        <f>IF(_xlfn.XLOOKUP($C13,Incrições!$D$2:$D$58,Incrições!H$2:H$58)=0,"",_xlfn.XLOOKUP($C13,Incrições!$D$2:$D$58,Incrições!H$2:H$58))</f>
        <v>Gestão municipal</v>
      </c>
      <c r="O13" s="10" t="str">
        <f>IF(_xlfn.XLOOKUP($C13,Incrições!$D$2:$D$58,Incrições!I$2:I$58)=0,"",_xlfn.XLOOKUP($C13,Incrições!$D$2:$D$58,Incrições!I$2:I$58))</f>
        <v>Responsavel pelo programa Geoter</v>
      </c>
      <c r="P13" s="10" t="str">
        <f>IF(_xlfn.XLOOKUP($C13,Incrições!$D$2:$D$58,Incrições!J$2:J$58)=0,"",_xlfn.XLOOKUP($C13,Incrições!$D$2:$D$58,Incrições!J$2:J$58))</f>
        <v/>
      </c>
      <c r="Q13" s="10" t="str">
        <f>IF(_xlfn.XLOOKUP($C13,Incrições!$D$2:$D$58,Incrições!K$2:K$58)=0,"",_xlfn.XLOOKUP($C13,Incrições!$D$2:$D$58,Incrições!K$2:K$58))</f>
        <v/>
      </c>
      <c r="R13" s="10">
        <f>IF(_xlfn.XLOOKUP($C13,Incrições!$D$2:$D$58,Incrições!L$2:L$58)=0,"",_xlfn.XLOOKUP($C13,Incrições!$D$2:$D$58,Incrições!L$2:L$58))</f>
        <v>45925</v>
      </c>
    </row>
    <row r="14" spans="1:19" x14ac:dyDescent="0.25">
      <c r="A14" s="9">
        <v>45924.357245370367</v>
      </c>
      <c r="B14" s="9" t="s">
        <v>13</v>
      </c>
      <c r="C14" s="8" t="s">
        <v>14</v>
      </c>
      <c r="D14" s="8" t="s">
        <v>15</v>
      </c>
      <c r="E14" s="8" t="s">
        <v>16</v>
      </c>
      <c r="F14" s="8" t="s">
        <v>4</v>
      </c>
      <c r="G14" s="10">
        <f>IF(_xlfn.XLOOKUP($C14,Incrições!$D$2:$D$58,Incrições!A$2:A$58)=0,"",_xlfn.XLOOKUP($C14,Incrições!$D$2:$D$58,Incrições!A$2:A$58))</f>
        <v>45915.36986111111</v>
      </c>
      <c r="H14" s="10" t="str">
        <f>IF(_xlfn.XLOOKUP($C14,Incrições!$D$2:$D$58,Incrições!B$2:B$58)=0,"",_xlfn.XLOOKUP($C14,Incrições!$D$2:$D$58,Incrições!B$2:B$58))</f>
        <v>elainecintia2015@gmail.com</v>
      </c>
      <c r="I14" s="10" t="str">
        <f>IF(_xlfn.XLOOKUP($C14,Incrições!$D$2:$D$58,Incrições!C$2:C$58)=0,"",_xlfn.XLOOKUP($C14,Incrições!$D$2:$D$58,Incrições!C$2:C$58))</f>
        <v>Elaine Cintia de Souza</v>
      </c>
      <c r="J14" s="10" t="str">
        <f>IF(_xlfn.XLOOKUP($C14,Incrições!$D$2:$D$58,Incrições!D$2:D$58)=0,"",_xlfn.XLOOKUP($C14,Incrições!$D$2:$D$58,Incrições!D$2:D$58))</f>
        <v>982.434.111-00</v>
      </c>
      <c r="K14" s="10">
        <f>IF(_xlfn.XLOOKUP($C14,Incrições!$D$2:$D$58,Incrições!E$2:E$58)=0,"",_xlfn.XLOOKUP($C14,Incrições!$D$2:$D$58,Incrições!E$2:E$58))</f>
        <v>30146</v>
      </c>
      <c r="L14" s="10" t="str">
        <f>IF(_xlfn.XLOOKUP($C14,Incrições!$D$2:$D$58,Incrições!F$2:F$58)=0,"",_xlfn.XLOOKUP($C14,Incrições!$D$2:$D$58,Incrições!F$2:F$58))</f>
        <v>(66)99204-2256</v>
      </c>
      <c r="M14" s="10" t="str">
        <f>IF(_xlfn.XLOOKUP($C14,Incrições!$D$2:$D$58,Incrições!G$2:G$58)=0,"",_xlfn.XLOOKUP($C14,Incrições!$D$2:$D$58,Incrições!G$2:G$58))</f>
        <v>Pontal do Araguaia (MT)</v>
      </c>
      <c r="N14" s="10" t="str">
        <f>IF(_xlfn.XLOOKUP($C14,Incrições!$D$2:$D$58,Incrições!H$2:H$58)=0,"",_xlfn.XLOOKUP($C14,Incrições!$D$2:$D$58,Incrições!H$2:H$58))</f>
        <v>Gestão municipal</v>
      </c>
      <c r="O14" s="10" t="str">
        <f>IF(_xlfn.XLOOKUP($C14,Incrições!$D$2:$D$58,Incrições!I$2:I$58)=0,"",_xlfn.XLOOKUP($C14,Incrições!$D$2:$D$58,Incrições!I$2:I$58))</f>
        <v>Assessora Pedagógica</v>
      </c>
      <c r="P14" s="10" t="str">
        <f>IF(_xlfn.XLOOKUP($C14,Incrições!$D$2:$D$58,Incrições!J$2:J$58)=0,"",_xlfn.XLOOKUP($C14,Incrições!$D$2:$D$58,Incrições!J$2:J$58))</f>
        <v/>
      </c>
      <c r="Q14" s="10" t="str">
        <f>IF(_xlfn.XLOOKUP($C14,Incrições!$D$2:$D$58,Incrições!K$2:K$58)=0,"",_xlfn.XLOOKUP($C14,Incrições!$D$2:$D$58,Incrições!K$2:K$58))</f>
        <v/>
      </c>
      <c r="R14" s="10">
        <f>IF(_xlfn.XLOOKUP($C14,Incrições!$D$2:$D$58,Incrições!L$2:L$58)=0,"",_xlfn.XLOOKUP($C14,Incrições!$D$2:$D$58,Incrições!L$2:L$58))</f>
        <v>45924</v>
      </c>
    </row>
    <row r="15" spans="1:19" x14ac:dyDescent="0.25">
      <c r="A15" s="9">
        <v>45925.355000000003</v>
      </c>
      <c r="B15" s="9" t="s">
        <v>144</v>
      </c>
      <c r="C15" s="8" t="s">
        <v>351</v>
      </c>
      <c r="D15" s="8" t="s">
        <v>145</v>
      </c>
      <c r="E15" s="8" t="s">
        <v>146</v>
      </c>
      <c r="F15" s="8" t="s">
        <v>4</v>
      </c>
      <c r="G15" s="10">
        <f>IF(_xlfn.XLOOKUP($C15,Incrições!$D$2:$D$58,Incrições!A$2:A$58)=0,"",_xlfn.XLOOKUP($C15,Incrições!$D$2:$D$58,Incrições!A$2:A$58))</f>
        <v>45919.364618055559</v>
      </c>
      <c r="H15" s="10" t="str">
        <f>IF(_xlfn.XLOOKUP($C15,Incrições!$D$2:$D$58,Incrições!B$2:B$58)=0,"",_xlfn.XLOOKUP($C15,Incrições!$D$2:$D$58,Incrições!B$2:B$58))</f>
        <v>eliane.edu.tae@bomjesusdoaraguaia.mt.gov.br</v>
      </c>
      <c r="I15" s="10" t="str">
        <f>IF(_xlfn.XLOOKUP($C15,Incrições!$D$2:$D$58,Incrições!C$2:C$58)=0,"",_xlfn.XLOOKUP($C15,Incrições!$D$2:$D$58,Incrições!C$2:C$58))</f>
        <v>ELIANE ROMUALDO GONTIJO LEITE</v>
      </c>
      <c r="J15" s="10" t="str">
        <f>IF(_xlfn.XLOOKUP($C15,Incrições!$D$2:$D$58,Incrições!D$2:D$58)=0,"",_xlfn.XLOOKUP($C15,Incrições!$D$2:$D$58,Incrições!D$2:D$58))</f>
        <v>817.939.601-00</v>
      </c>
      <c r="K15" s="10">
        <f>IF(_xlfn.XLOOKUP($C15,Incrições!$D$2:$D$58,Incrições!E$2:E$58)=0,"",_xlfn.XLOOKUP($C15,Incrições!$D$2:$D$58,Incrições!E$2:E$58))</f>
        <v>26967</v>
      </c>
      <c r="L15" s="10" t="str">
        <f>IF(_xlfn.XLOOKUP($C15,Incrições!$D$2:$D$58,Incrições!F$2:F$58)=0,"",_xlfn.XLOOKUP($C15,Incrições!$D$2:$D$58,Incrições!F$2:F$58))</f>
        <v>(66)98458-8018</v>
      </c>
      <c r="M15" s="10" t="s">
        <v>294</v>
      </c>
      <c r="N15" s="10" t="str">
        <f>IF(_xlfn.XLOOKUP($C15,Incrições!$D$2:$D$58,Incrições!H$2:H$58)=0,"",_xlfn.XLOOKUP($C15,Incrições!$D$2:$D$58,Incrições!H$2:H$58))</f>
        <v>Gestão municipal</v>
      </c>
      <c r="O15" s="10" t="str">
        <f>IF(_xlfn.XLOOKUP($C15,Incrições!$D$2:$D$58,Incrições!I$2:I$58)=0,"",_xlfn.XLOOKUP($C15,Incrições!$D$2:$D$58,Incrições!I$2:I$58))</f>
        <v>Técnico Administrativo Educacional</v>
      </c>
      <c r="P15" s="10" t="str">
        <f>IF(_xlfn.XLOOKUP($C15,Incrições!$D$2:$D$58,Incrições!J$2:J$58)=0,"",_xlfn.XLOOKUP($C15,Incrições!$D$2:$D$58,Incrições!J$2:J$58))</f>
        <v/>
      </c>
      <c r="Q15" s="10" t="str">
        <f>IF(_xlfn.XLOOKUP($C15,Incrições!$D$2:$D$58,Incrições!K$2:K$58)=0,"",_xlfn.XLOOKUP($C15,Incrições!$D$2:$D$58,Incrições!K$2:K$58))</f>
        <v/>
      </c>
      <c r="R15" s="10">
        <f>IF(_xlfn.XLOOKUP($C15,Incrições!$D$2:$D$58,Incrições!L$2:L$58)=0,"",_xlfn.XLOOKUP($C15,Incrições!$D$2:$D$58,Incrições!L$2:L$58))</f>
        <v>45925</v>
      </c>
      <c r="S15" s="10" t="str">
        <f>IF(_xlfn.XLOOKUP($C15,Incrições!$D$2:$D$58,Incrições!M$2:M$58)=0,"",_xlfn.XLOOKUP($C15,Incrições!$D$2:$D$58,Incrições!M$2:M$58))</f>
        <v/>
      </c>
    </row>
    <row r="16" spans="1:19" x14ac:dyDescent="0.25">
      <c r="A16" s="9">
        <v>45925.347766203704</v>
      </c>
      <c r="B16" s="9" t="s">
        <v>117</v>
      </c>
      <c r="C16" s="8" t="s">
        <v>118</v>
      </c>
      <c r="D16" s="8" t="s">
        <v>119</v>
      </c>
      <c r="E16" s="8" t="s">
        <v>120</v>
      </c>
      <c r="F16" s="8" t="s">
        <v>4</v>
      </c>
      <c r="G16" s="10">
        <f>IF(_xlfn.XLOOKUP($C16,Incrições!$D$2:$D$58,Incrições!A$2:A$58)=0,"",_xlfn.XLOOKUP($C16,Incrições!$D$2:$D$58,Incrições!A$2:A$58))</f>
        <v>45910.575868055559</v>
      </c>
      <c r="H16" s="10" t="str">
        <f>IF(_xlfn.XLOOKUP($C16,Incrições!$D$2:$D$58,Incrições!B$2:B$58)=0,"",_xlfn.XLOOKUP($C16,Incrições!$D$2:$D$58,Incrições!B$2:B$58))</f>
        <v>elisabeteherrmann@gmail.com</v>
      </c>
      <c r="I16" s="10" t="str">
        <f>IF(_xlfn.XLOOKUP($C16,Incrições!$D$2:$D$58,Incrições!C$2:C$58)=0,"",_xlfn.XLOOKUP($C16,Incrições!$D$2:$D$58,Incrições!C$2:C$58))</f>
        <v>Elisabete Rosália Herrmann Brito</v>
      </c>
      <c r="J16" s="10" t="str">
        <f>IF(_xlfn.XLOOKUP($C16,Incrições!$D$2:$D$58,Incrições!D$2:D$58)=0,"",_xlfn.XLOOKUP($C16,Incrições!$D$2:$D$58,Incrições!D$2:D$58))</f>
        <v>009.756.161-45</v>
      </c>
      <c r="K16" s="10">
        <f>IF(_xlfn.XLOOKUP($C16,Incrições!$D$2:$D$58,Incrições!E$2:E$58)=0,"",_xlfn.XLOOKUP($C16,Incrições!$D$2:$D$58,Incrições!E$2:E$58))</f>
        <v>31291</v>
      </c>
      <c r="L16" s="10" t="str">
        <f>IF(_xlfn.XLOOKUP($C16,Incrições!$D$2:$D$58,Incrições!F$2:F$58)=0,"",_xlfn.XLOOKUP($C16,Incrições!$D$2:$D$58,Incrições!F$2:F$58))</f>
        <v>(66)98425-1993</v>
      </c>
      <c r="M16" s="10" t="str">
        <f>IF(_xlfn.XLOOKUP($C16,Incrições!$D$2:$D$58,Incrições!G$2:G$58)=0,"",_xlfn.XLOOKUP($C16,Incrições!$D$2:$D$58,Incrições!G$2:G$58))</f>
        <v>Vila Rica (MT)</v>
      </c>
      <c r="N16" s="10" t="str">
        <f>IF(_xlfn.XLOOKUP($C16,Incrições!$D$2:$D$58,Incrições!H$2:H$58)=0,"",_xlfn.XLOOKUP($C16,Incrições!$D$2:$D$58,Incrições!H$2:H$58))</f>
        <v>CACS-FUNDEB</v>
      </c>
      <c r="O16" s="10" t="str">
        <f>IF(_xlfn.XLOOKUP($C16,Incrições!$D$2:$D$58,Incrições!I$2:I$58)=0,"",_xlfn.XLOOKUP($C16,Incrições!$D$2:$D$58,Incrições!I$2:I$58))</f>
        <v/>
      </c>
      <c r="P16" s="10" t="str">
        <f>IF(_xlfn.XLOOKUP($C16,Incrições!$D$2:$D$58,Incrições!J$2:J$58)=0,"",_xlfn.XLOOKUP($C16,Incrições!$D$2:$D$58,Incrições!J$2:J$58))</f>
        <v/>
      </c>
      <c r="Q16" s="10" t="str">
        <f>IF(_xlfn.XLOOKUP($C16,Incrições!$D$2:$D$58,Incrições!K$2:K$58)=0,"",_xlfn.XLOOKUP($C16,Incrições!$D$2:$D$58,Incrições!K$2:K$58))</f>
        <v>Membro</v>
      </c>
      <c r="R16" s="10">
        <f>IF(_xlfn.XLOOKUP($C16,Incrições!$D$2:$D$58,Incrições!L$2:L$58)=0,"",_xlfn.XLOOKUP($C16,Incrições!$D$2:$D$58,Incrições!L$2:L$58))</f>
        <v>45925</v>
      </c>
    </row>
    <row r="17" spans="1:19" x14ac:dyDescent="0.25">
      <c r="A17" s="9">
        <v>45925.436006944445</v>
      </c>
      <c r="B17" s="8" t="s">
        <v>322</v>
      </c>
      <c r="C17" s="8" t="s">
        <v>323</v>
      </c>
      <c r="D17" s="8" t="s">
        <v>324</v>
      </c>
      <c r="E17" s="8" t="s">
        <v>321</v>
      </c>
      <c r="F17" s="8" t="s">
        <v>4</v>
      </c>
      <c r="G17" s="17">
        <f>IF(_xlfn.XLOOKUP($C17,Incrições!$D$2:$D$58,Incrições!A$2:A$58)=0,"",_xlfn.XLOOKUP($C17,Incrições!$D$2:$D$58,Incrições!A$2:A$58))</f>
        <v>45915.571087962962</v>
      </c>
      <c r="H17" s="17" t="str">
        <f>IF(_xlfn.XLOOKUP($C17,Incrições!$D$2:$D$58,Incrições!B$2:B$58)=0,"",_xlfn.XLOOKUP($C17,Incrições!$D$2:$D$58,Incrições!B$2:B$58))</f>
        <v>gerayneaquinocorrea@gmail.com</v>
      </c>
      <c r="I17" s="17" t="str">
        <f>IF(_xlfn.XLOOKUP($C17,Incrições!$D$2:$D$58,Incrições!C$2:C$58)=0,"",_xlfn.XLOOKUP($C17,Incrições!$D$2:$D$58,Incrições!C$2:C$58))</f>
        <v>Gerayne Aquino Corrêa</v>
      </c>
      <c r="J17" s="17" t="str">
        <f>IF(_xlfn.XLOOKUP($C17,Incrições!$D$2:$D$58,Incrições!D$2:D$58)=0,"",_xlfn.XLOOKUP($C17,Incrições!$D$2:$D$58,Incrições!D$2:D$58))</f>
        <v>024.883.761-32</v>
      </c>
      <c r="K17" s="17">
        <f>IF(_xlfn.XLOOKUP($C17,Incrições!$D$2:$D$58,Incrições!E$2:E$58)=0,"",_xlfn.XLOOKUP($C17,Incrições!$D$2:$D$58,Incrições!E$2:E$58))</f>
        <v>32412</v>
      </c>
      <c r="L17" s="17" t="str">
        <f>IF(_xlfn.XLOOKUP($C17,Incrições!$D$2:$D$58,Incrições!F$2:F$58)=0,"",_xlfn.XLOOKUP($C17,Incrições!$D$2:$D$58,Incrições!F$2:F$58))</f>
        <v>(66)98422-7979</v>
      </c>
      <c r="M17" s="17" t="str">
        <f>IF(_xlfn.XLOOKUP($C17,Incrições!$D$2:$D$58,Incrições!G$2:G$58)=0,"",_xlfn.XLOOKUP($C17,Incrições!$D$2:$D$58,Incrições!G$2:G$58))</f>
        <v>Araguaiana (MT)</v>
      </c>
      <c r="N17" s="17" t="str">
        <f>IF(_xlfn.XLOOKUP($C17,Incrições!$D$2:$D$58,Incrições!H$2:H$58)=0,"",_xlfn.XLOOKUP($C17,Incrições!$D$2:$D$58,Incrições!H$2:H$58))</f>
        <v>Gestão municipal</v>
      </c>
      <c r="O17" s="17" t="str">
        <f>IF(_xlfn.XLOOKUP($C17,Incrições!$D$2:$D$58,Incrições!I$2:I$58)=0,"",_xlfn.XLOOKUP($C17,Incrições!$D$2:$D$58,Incrições!I$2:I$58))</f>
        <v>secretaria de educação</v>
      </c>
      <c r="P17" s="17" t="str">
        <f>IF(_xlfn.XLOOKUP($C17,Incrições!$D$2:$D$58,Incrições!J$2:J$58)=0,"",_xlfn.XLOOKUP($C17,Incrições!$D$2:$D$58,Incrições!J$2:J$58))</f>
        <v/>
      </c>
      <c r="Q17" s="17" t="str">
        <f>IF(_xlfn.XLOOKUP($C17,Incrições!$D$2:$D$58,Incrições!K$2:K$58)=0,"",_xlfn.XLOOKUP($C17,Incrições!$D$2:$D$58,Incrições!K$2:K$58))</f>
        <v/>
      </c>
      <c r="R17" s="17">
        <f>IF(_xlfn.XLOOKUP($C17,Incrições!$D$2:$D$58,Incrições!L$2:L$58)=0,"",_xlfn.XLOOKUP($C17,Incrições!$D$2:$D$58,Incrições!L$2:L$58))</f>
        <v>45925</v>
      </c>
      <c r="S17" s="10" t="str">
        <f>IF(_xlfn.XLOOKUP($C17,Incrições!$D$2:$D$58,Incrições!M$2:M$58)=0,"",_xlfn.XLOOKUP($C17,Incrições!$D$2:$D$58,Incrições!M$2:M$58))</f>
        <v/>
      </c>
    </row>
    <row r="18" spans="1:19" x14ac:dyDescent="0.25">
      <c r="A18" s="9">
        <v>45925.354618055557</v>
      </c>
      <c r="B18" s="9" t="s">
        <v>141</v>
      </c>
      <c r="C18" s="8" t="s">
        <v>292</v>
      </c>
      <c r="D18" s="8" t="s">
        <v>142</v>
      </c>
      <c r="E18" s="8" t="s">
        <v>143</v>
      </c>
      <c r="F18" s="8" t="s">
        <v>4</v>
      </c>
      <c r="G18" s="10">
        <f>IF(_xlfn.XLOOKUP($C18,Incrições!$D$2:$D$58,Incrições!A$2:A$58)=0,"",_xlfn.XLOOKUP($C18,Incrições!$D$2:$D$58,Incrições!A$2:A$58))</f>
        <v>45908.708090277774</v>
      </c>
      <c r="H18" s="10" t="str">
        <f>IF(_xlfn.XLOOKUP($C18,Incrições!$D$2:$D$58,Incrições!B$2:B$58)=0,"",_xlfn.XLOOKUP($C18,Incrições!$D$2:$D$58,Incrições!B$2:B$58))</f>
        <v>ggaragemeducacao@gmail.com</v>
      </c>
      <c r="I18" s="10" t="str">
        <f>IF(_xlfn.XLOOKUP($C18,Incrições!$D$2:$D$58,Incrições!C$2:C$58)=0,"",_xlfn.XLOOKUP($C18,Incrições!$D$2:$D$58,Incrições!C$2:C$58))</f>
        <v>Adriane hilario santos</v>
      </c>
      <c r="J18" s="10" t="str">
        <f>IF(_xlfn.XLOOKUP($C18,Incrições!$D$2:$D$58,Incrições!D$2:D$58)=0,"",_xlfn.XLOOKUP($C18,Incrições!$D$2:$D$58,Incrições!D$2:D$58))</f>
        <v>822.671.541-53</v>
      </c>
      <c r="K18" s="10">
        <f>IF(_xlfn.XLOOKUP($C18,Incrições!$D$2:$D$58,Incrições!E$2:E$58)=0,"",_xlfn.XLOOKUP($C18,Incrições!$D$2:$D$58,Incrições!E$2:E$58))</f>
        <v>27294</v>
      </c>
      <c r="L18" s="10" t="str">
        <f>IF(_xlfn.XLOOKUP($C18,Incrições!$D$2:$D$58,Incrições!F$2:F$58)=0,"",_xlfn.XLOOKUP($C18,Incrições!$D$2:$D$58,Incrições!F$2:F$58))</f>
        <v>(66)98152-0154</v>
      </c>
      <c r="M18" s="10" t="s">
        <v>294</v>
      </c>
      <c r="N18" s="10" t="str">
        <f>IF(_xlfn.XLOOKUP($C18,Incrições!$D$2:$D$58,Incrições!H$2:H$58)=0,"",_xlfn.XLOOKUP($C18,Incrições!$D$2:$D$58,Incrições!H$2:H$58))</f>
        <v>Gestão municipal</v>
      </c>
      <c r="O18" s="10" t="str">
        <f>IF(_xlfn.XLOOKUP($C18,Incrições!$D$2:$D$58,Incrições!I$2:I$58)=0,"",_xlfn.XLOOKUP($C18,Incrições!$D$2:$D$58,Incrições!I$2:I$58))</f>
        <v>Secretaria</v>
      </c>
      <c r="P18" s="10" t="str">
        <f>IF(_xlfn.XLOOKUP($C18,Incrições!$D$2:$D$58,Incrições!J$2:J$58)=0,"",_xlfn.XLOOKUP($C18,Incrições!$D$2:$D$58,Incrições!J$2:J$58))</f>
        <v>Sim</v>
      </c>
      <c r="Q18" s="10" t="str">
        <f>IF(_xlfn.XLOOKUP($C18,Incrições!$D$2:$D$58,Incrições!K$2:K$58)=0,"",_xlfn.XLOOKUP($C18,Incrições!$D$2:$D$58,Incrições!K$2:K$58))</f>
        <v/>
      </c>
      <c r="R18" s="10">
        <f>IF(_xlfn.XLOOKUP($C18,Incrições!$D$2:$D$58,Incrições!L$2:L$58)=0,"",_xlfn.XLOOKUP($C18,Incrições!$D$2:$D$58,Incrições!L$2:L$58))</f>
        <v>45925</v>
      </c>
      <c r="S18" s="10" t="str">
        <f>IF(_xlfn.XLOOKUP($C18,Incrições!$D$2:$D$58,Incrições!M$2:M$58)=0,"",_xlfn.XLOOKUP($C18,Incrições!$D$2:$D$58,Incrições!M$2:M$58))</f>
        <v/>
      </c>
    </row>
    <row r="19" spans="1:19" x14ac:dyDescent="0.25">
      <c r="A19" s="9">
        <v>45924.362500000003</v>
      </c>
      <c r="B19" s="9" t="s">
        <v>65</v>
      </c>
      <c r="C19" s="8" t="s">
        <v>66</v>
      </c>
      <c r="D19" s="8" t="s">
        <v>67</v>
      </c>
      <c r="E19" s="8" t="s">
        <v>68</v>
      </c>
      <c r="F19" s="8" t="s">
        <v>4</v>
      </c>
      <c r="G19" s="10">
        <f>IF(_xlfn.XLOOKUP($C19,Incrições!$D$2:$D$58,Incrições!A$2:A$58)=0,"",_xlfn.XLOOKUP($C19,Incrições!$D$2:$D$58,Incrições!A$2:A$58))</f>
        <v>45914.65215277778</v>
      </c>
      <c r="H19" s="10" t="str">
        <f>IF(_xlfn.XLOOKUP($C19,Incrições!$D$2:$D$58,Incrições!B$2:B$58)=0,"",_xlfn.XLOOKUP($C19,Incrições!$D$2:$D$58,Incrições!B$2:B$58))</f>
        <v>jaklynny2009@hotmail.com</v>
      </c>
      <c r="I19" s="10" t="str">
        <f>IF(_xlfn.XLOOKUP($C19,Incrições!$D$2:$D$58,Incrições!C$2:C$58)=0,"",_xlfn.XLOOKUP($C19,Incrições!$D$2:$D$58,Incrições!C$2:C$58))</f>
        <v>Ketlen Jaklynny Alves dos Santos</v>
      </c>
      <c r="J19" s="10" t="str">
        <f>IF(_xlfn.XLOOKUP($C19,Incrições!$D$2:$D$58,Incrições!D$2:D$58)=0,"",_xlfn.XLOOKUP($C19,Incrições!$D$2:$D$58,Incrições!D$2:D$58))</f>
        <v>053.782.371-90</v>
      </c>
      <c r="K19" s="10">
        <f>IF(_xlfn.XLOOKUP($C19,Incrições!$D$2:$D$58,Incrições!E$2:E$58)=0,"",_xlfn.XLOOKUP($C19,Incrições!$D$2:$D$58,Incrições!E$2:E$58))</f>
        <v>34708</v>
      </c>
      <c r="L19" s="10" t="str">
        <f>IF(_xlfn.XLOOKUP($C19,Incrições!$D$2:$D$58,Incrições!F$2:F$58)=0,"",_xlfn.XLOOKUP($C19,Incrições!$D$2:$D$58,Incrições!F$2:F$58))</f>
        <v>(66)99964-3865</v>
      </c>
      <c r="M19" s="10" t="str">
        <f>IF(_xlfn.XLOOKUP($C19,Incrições!$D$2:$D$58,Incrições!G$2:G$58)=0,"",_xlfn.XLOOKUP($C19,Incrições!$D$2:$D$58,Incrições!G$2:G$58))</f>
        <v>Água Boa (MT)</v>
      </c>
      <c r="N19" s="10" t="str">
        <f>IF(_xlfn.XLOOKUP($C19,Incrições!$D$2:$D$58,Incrições!H$2:H$58)=0,"",_xlfn.XLOOKUP($C19,Incrições!$D$2:$D$58,Incrições!H$2:H$58))</f>
        <v>Gestão municipal</v>
      </c>
      <c r="O19" s="10" t="str">
        <f>IF(_xlfn.XLOOKUP($C19,Incrições!$D$2:$D$58,Incrições!I$2:I$58)=0,"",_xlfn.XLOOKUP($C19,Incrições!$D$2:$D$58,Incrições!I$2:I$58))</f>
        <v>Gerente de projetos e convênios da educação</v>
      </c>
      <c r="P19" s="10" t="str">
        <f>IF(_xlfn.XLOOKUP($C19,Incrições!$D$2:$D$58,Incrições!J$2:J$58)=0,"",_xlfn.XLOOKUP($C19,Incrições!$D$2:$D$58,Incrições!J$2:J$58))</f>
        <v/>
      </c>
      <c r="Q19" s="10" t="str">
        <f>IF(_xlfn.XLOOKUP($C19,Incrições!$D$2:$D$58,Incrições!K$2:K$58)=0,"",_xlfn.XLOOKUP($C19,Incrições!$D$2:$D$58,Incrições!K$2:K$58))</f>
        <v/>
      </c>
      <c r="R19" s="10">
        <f>IF(_xlfn.XLOOKUP($C19,Incrições!$D$2:$D$58,Incrições!L$2:L$58)=0,"",_xlfn.XLOOKUP($C19,Incrições!$D$2:$D$58,Incrições!L$2:L$58))</f>
        <v>45924</v>
      </c>
    </row>
    <row r="20" spans="1:19" x14ac:dyDescent="0.25">
      <c r="A20" s="9">
        <v>45924.359293981484</v>
      </c>
      <c r="B20" s="9" t="s">
        <v>41</v>
      </c>
      <c r="C20" s="8" t="s">
        <v>42</v>
      </c>
      <c r="D20" s="8" t="s">
        <v>43</v>
      </c>
      <c r="E20" s="8" t="s">
        <v>44</v>
      </c>
      <c r="F20" s="8" t="s">
        <v>4</v>
      </c>
      <c r="G20" s="10">
        <f>IF(_xlfn.XLOOKUP($C20,Incrições!$D$2:$D$58,Incrições!A$2:A$58)=0,"",_xlfn.XLOOKUP($C20,Incrições!$D$2:$D$58,Incrições!A$2:A$58))</f>
        <v>45909.384467592594</v>
      </c>
      <c r="H20" s="10" t="str">
        <f>IF(_xlfn.XLOOKUP($C20,Incrições!$D$2:$D$58,Incrições!B$2:B$58)=0,"",_xlfn.XLOOKUP($C20,Incrições!$D$2:$D$58,Incrições!B$2:B$58))</f>
        <v>joaocarlos.ac621@gmail.com</v>
      </c>
      <c r="I20" s="10" t="str">
        <f>IF(_xlfn.XLOOKUP($C20,Incrições!$D$2:$D$58,Incrições!C$2:C$58)=0,"",_xlfn.XLOOKUP($C20,Incrições!$D$2:$D$58,Incrições!C$2:C$58))</f>
        <v>João Carlos Araujo Rodrigues</v>
      </c>
      <c r="J20" s="10" t="str">
        <f>IF(_xlfn.XLOOKUP($C20,Incrições!$D$2:$D$58,Incrições!D$2:D$58)=0,"",_xlfn.XLOOKUP($C20,Incrições!$D$2:$D$58,Incrições!D$2:D$58))</f>
        <v>048.318.311-31</v>
      </c>
      <c r="K20" s="10">
        <f>IF(_xlfn.XLOOKUP($C20,Incrições!$D$2:$D$58,Incrições!E$2:E$58)=0,"",_xlfn.XLOOKUP($C20,Incrições!$D$2:$D$58,Incrições!E$2:E$58))</f>
        <v>35699</v>
      </c>
      <c r="L20" s="10" t="str">
        <f>IF(_xlfn.XLOOKUP($C20,Incrições!$D$2:$D$58,Incrições!F$2:F$58)=0,"",_xlfn.XLOOKUP($C20,Incrições!$D$2:$D$58,Incrições!F$2:F$58))</f>
        <v>(66)99698-6788</v>
      </c>
      <c r="M20" s="10" t="str">
        <f>IF(_xlfn.XLOOKUP($C20,Incrições!$D$2:$D$58,Incrições!G$2:G$58)=0,"",_xlfn.XLOOKUP($C20,Incrições!$D$2:$D$58,Incrições!G$2:G$58))</f>
        <v>Confresa (MT)</v>
      </c>
      <c r="N20" s="10" t="str">
        <f>IF(_xlfn.XLOOKUP($C20,Incrições!$D$2:$D$58,Incrições!H$2:H$58)=0,"",_xlfn.XLOOKUP($C20,Incrições!$D$2:$D$58,Incrições!H$2:H$58))</f>
        <v>Gestão municipal</v>
      </c>
      <c r="O20" s="10" t="str">
        <f>IF(_xlfn.XLOOKUP($C20,Incrições!$D$2:$D$58,Incrições!I$2:I$58)=0,"",_xlfn.XLOOKUP($C20,Incrições!$D$2:$D$58,Incrições!I$2:I$58))</f>
        <v>Coordenador</v>
      </c>
      <c r="P20" s="10" t="str">
        <f>IF(_xlfn.XLOOKUP($C20,Incrições!$D$2:$D$58,Incrições!J$2:J$58)=0,"",_xlfn.XLOOKUP($C20,Incrições!$D$2:$D$58,Incrições!J$2:J$58))</f>
        <v/>
      </c>
      <c r="Q20" s="10" t="str">
        <f>IF(_xlfn.XLOOKUP($C20,Incrições!$D$2:$D$58,Incrições!K$2:K$58)=0,"",_xlfn.XLOOKUP($C20,Incrições!$D$2:$D$58,Incrições!K$2:K$58))</f>
        <v/>
      </c>
      <c r="R20" s="10">
        <f>IF(_xlfn.XLOOKUP($C20,Incrições!$D$2:$D$58,Incrições!L$2:L$58)=0,"",_xlfn.XLOOKUP($C20,Incrições!$D$2:$D$58,Incrições!L$2:L$58))</f>
        <v>45924</v>
      </c>
    </row>
    <row r="21" spans="1:19" x14ac:dyDescent="0.25">
      <c r="A21" s="9">
        <v>45925.36042824074</v>
      </c>
      <c r="B21" s="9" t="s">
        <v>170</v>
      </c>
      <c r="C21" s="8" t="s">
        <v>171</v>
      </c>
      <c r="D21" s="8" t="s">
        <v>172</v>
      </c>
      <c r="E21" s="8" t="s">
        <v>173</v>
      </c>
      <c r="F21" s="8" t="s">
        <v>4</v>
      </c>
      <c r="G21" s="10">
        <f>IF(_xlfn.XLOOKUP($C21,Incrições!$D$2:$D$58,Incrições!A$2:A$58)=0,"",_xlfn.XLOOKUP($C21,Incrições!$D$2:$D$58,Incrições!A$2:A$58))</f>
        <v>45925.358055555553</v>
      </c>
      <c r="H21" s="10" t="str">
        <f>IF(_xlfn.XLOOKUP($C21,Incrições!$D$2:$D$58,Incrições!B$2:B$58)=0,"",_xlfn.XLOOKUP($C21,Incrições!$D$2:$D$58,Incrições!B$2:B$58))</f>
        <v>josimeire_quimica2011@hotmail.com</v>
      </c>
      <c r="I21" s="10" t="str">
        <f>IF(_xlfn.XLOOKUP($C21,Incrições!$D$2:$D$58,Incrições!C$2:C$58)=0,"",_xlfn.XLOOKUP($C21,Incrições!$D$2:$D$58,Incrições!C$2:C$58))</f>
        <v>Josimeire de Souza Ramos Resende</v>
      </c>
      <c r="J21" s="10" t="str">
        <f>IF(_xlfn.XLOOKUP($C21,Incrições!$D$2:$D$58,Incrições!D$2:D$58)=0,"",_xlfn.XLOOKUP($C21,Incrições!$D$2:$D$58,Incrições!D$2:D$58))</f>
        <v>004.763.191-02</v>
      </c>
      <c r="K21" s="10">
        <f>IF(_xlfn.XLOOKUP($C21,Incrições!$D$2:$D$58,Incrições!E$2:E$58)=0,"",_xlfn.XLOOKUP($C21,Incrições!$D$2:$D$58,Incrições!E$2:E$58))</f>
        <v>30616</v>
      </c>
      <c r="L21" s="10" t="str">
        <f>IF(_xlfn.XLOOKUP($C21,Incrições!$D$2:$D$58,Incrições!F$2:F$58)=0,"",_xlfn.XLOOKUP($C21,Incrições!$D$2:$D$58,Incrições!F$2:F$58))</f>
        <v>(66)98433-8186</v>
      </c>
      <c r="M21" s="10" t="str">
        <f>IF(_xlfn.XLOOKUP($C21,Incrições!$D$2:$D$58,Incrições!G$2:G$58)=0,"",_xlfn.XLOOKUP($C21,Incrições!$D$2:$D$58,Incrições!G$2:G$58))</f>
        <v>Canabrava do Norte (MT)</v>
      </c>
      <c r="N21" s="10" t="str">
        <f>IF(_xlfn.XLOOKUP($C21,Incrições!$D$2:$D$58,Incrições!H$2:H$58)=0,"",_xlfn.XLOOKUP($C21,Incrições!$D$2:$D$58,Incrições!H$2:H$58))</f>
        <v>Gestão municipal</v>
      </c>
      <c r="O21" s="10" t="str">
        <f>IF(_xlfn.XLOOKUP($C21,Incrições!$D$2:$D$58,Incrições!I$2:I$58)=0,"",_xlfn.XLOOKUP($C21,Incrições!$D$2:$D$58,Incrições!I$2:I$58))</f>
        <v>Secretária Municipal de Educação</v>
      </c>
      <c r="P21" s="10" t="str">
        <f>IF(_xlfn.XLOOKUP($C21,Incrições!$D$2:$D$58,Incrições!J$2:J$58)=0,"",_xlfn.XLOOKUP($C21,Incrições!$D$2:$D$58,Incrições!J$2:J$58))</f>
        <v/>
      </c>
      <c r="Q21" s="10" t="str">
        <f>IF(_xlfn.XLOOKUP($C21,Incrições!$D$2:$D$58,Incrições!K$2:K$58)=0,"",_xlfn.XLOOKUP($C21,Incrições!$D$2:$D$58,Incrições!K$2:K$58))</f>
        <v/>
      </c>
      <c r="R21" s="10">
        <f>IF(_xlfn.XLOOKUP($C21,Incrições!$D$2:$D$58,Incrições!L$2:L$58)=0,"",_xlfn.XLOOKUP($C21,Incrições!$D$2:$D$58,Incrições!L$2:L$58))</f>
        <v>45925</v>
      </c>
    </row>
    <row r="22" spans="1:19" x14ac:dyDescent="0.25">
      <c r="A22" s="9">
        <v>45924.368043981478</v>
      </c>
      <c r="B22" s="9" t="s">
        <v>113</v>
      </c>
      <c r="C22" s="8" t="s">
        <v>114</v>
      </c>
      <c r="D22" s="8" t="s">
        <v>115</v>
      </c>
      <c r="E22" s="8" t="s">
        <v>116</v>
      </c>
      <c r="F22" s="8" t="s">
        <v>4</v>
      </c>
      <c r="G22" s="10">
        <f>IF(_xlfn.XLOOKUP($C22,Incrições!$D$2:$D$58,Incrições!A$2:A$58)=0,"",_xlfn.XLOOKUP($C22,Incrições!$D$2:$D$58,Incrições!A$2:A$58))</f>
        <v>45916.687291666669</v>
      </c>
      <c r="H22" s="10" t="str">
        <f>IF(_xlfn.XLOOKUP($C22,Incrições!$D$2:$D$58,Incrições!B$2:B$58)=0,"",_xlfn.XLOOKUP($C22,Incrições!$D$2:$D$58,Incrições!B$2:B$58))</f>
        <v>kamilifitdance@gmail.com</v>
      </c>
      <c r="I22" s="10" t="str">
        <f>IF(_xlfn.XLOOKUP($C22,Incrições!$D$2:$D$58,Incrições!C$2:C$58)=0,"",_xlfn.XLOOKUP($C22,Incrições!$D$2:$D$58,Incrições!C$2:C$58))</f>
        <v>kamili alexandre</v>
      </c>
      <c r="J22" s="10" t="str">
        <f>IF(_xlfn.XLOOKUP($C22,Incrições!$D$2:$D$58,Incrições!D$2:D$58)=0,"",_xlfn.XLOOKUP($C22,Incrições!$D$2:$D$58,Incrições!D$2:D$58))</f>
        <v>060.440.811-09</v>
      </c>
      <c r="K22" s="10">
        <f>IF(_xlfn.XLOOKUP($C22,Incrições!$D$2:$D$58,Incrições!E$2:E$58)=0,"",_xlfn.XLOOKUP($C22,Incrições!$D$2:$D$58,Incrições!E$2:E$58))</f>
        <v>38005</v>
      </c>
      <c r="L22" s="10" t="str">
        <f>IF(_xlfn.XLOOKUP($C22,Incrições!$D$2:$D$58,Incrições!F$2:F$58)=0,"",_xlfn.XLOOKUP($C22,Incrições!$D$2:$D$58,Incrições!F$2:F$58))</f>
        <v>(66)99204-7193</v>
      </c>
      <c r="M22" s="10" t="str">
        <f>IF(_xlfn.XLOOKUP($C22,Incrições!$D$2:$D$58,Incrições!G$2:G$58)=0,"",_xlfn.XLOOKUP($C22,Incrições!$D$2:$D$58,Incrições!G$2:G$58))</f>
        <v>Querência (MT)</v>
      </c>
      <c r="N22" s="10" t="str">
        <f>IF(_xlfn.XLOOKUP($C22,Incrições!$D$2:$D$58,Incrições!H$2:H$58)=0,"",_xlfn.XLOOKUP($C22,Incrições!$D$2:$D$58,Incrições!H$2:H$58))</f>
        <v>Gestão municipal</v>
      </c>
      <c r="O22" s="10" t="str">
        <f>IF(_xlfn.XLOOKUP($C22,Incrições!$D$2:$D$58,Incrições!I$2:I$58)=0,"",_xlfn.XLOOKUP($C22,Incrições!$D$2:$D$58,Incrições!I$2:I$58))</f>
        <v>técnico administrativo</v>
      </c>
      <c r="P22" s="10" t="str">
        <f>IF(_xlfn.XLOOKUP($C22,Incrições!$D$2:$D$58,Incrições!J$2:J$58)=0,"",_xlfn.XLOOKUP($C22,Incrições!$D$2:$D$58,Incrições!J$2:J$58))</f>
        <v/>
      </c>
      <c r="Q22" s="10" t="str">
        <f>IF(_xlfn.XLOOKUP($C22,Incrições!$D$2:$D$58,Incrições!K$2:K$58)=0,"",_xlfn.XLOOKUP($C22,Incrições!$D$2:$D$58,Incrições!K$2:K$58))</f>
        <v/>
      </c>
      <c r="R22" s="10">
        <f>IF(_xlfn.XLOOKUP($C22,Incrições!$D$2:$D$58,Incrições!L$2:L$58)=0,"",_xlfn.XLOOKUP($C22,Incrições!$D$2:$D$58,Incrições!L$2:L$58))</f>
        <v>45924</v>
      </c>
    </row>
    <row r="23" spans="1:19" x14ac:dyDescent="0.25">
      <c r="A23" s="9">
        <v>45925.353819444441</v>
      </c>
      <c r="B23" s="9" t="s">
        <v>133</v>
      </c>
      <c r="C23" s="8" t="s">
        <v>134</v>
      </c>
      <c r="D23" s="8" t="s">
        <v>135</v>
      </c>
      <c r="E23" s="8" t="s">
        <v>136</v>
      </c>
      <c r="F23" s="8" t="s">
        <v>4</v>
      </c>
      <c r="G23" s="10">
        <f>IF(_xlfn.XLOOKUP($C23,Incrições!$D$2:$D$58,Incrições!A$2:A$58)=0,"",_xlfn.XLOOKUP($C23,Incrições!$D$2:$D$58,Incrições!A$2:A$58))</f>
        <v>45918.886377314811</v>
      </c>
      <c r="H23" s="10" t="str">
        <f>IF(_xlfn.XLOOKUP($C23,Incrições!$D$2:$D$58,Incrições!B$2:B$58)=0,"",_xlfn.XLOOKUP($C23,Incrições!$D$2:$D$58,Incrições!B$2:B$58))</f>
        <v>Katereginaps2@hotmail.com</v>
      </c>
      <c r="I23" s="10" t="str">
        <f>IF(_xlfn.XLOOKUP($C23,Incrições!$D$2:$D$58,Incrições!C$2:C$58)=0,"",_xlfn.XLOOKUP($C23,Incrições!$D$2:$D$58,Incrições!C$2:C$58))</f>
        <v>Kate Regina Paulo da Silva</v>
      </c>
      <c r="J23" s="10" t="str">
        <f>IF(_xlfn.XLOOKUP($C23,Incrições!$D$2:$D$58,Incrições!D$2:D$58)=0,"",_xlfn.XLOOKUP($C23,Incrições!$D$2:$D$58,Incrições!D$2:D$58))</f>
        <v>762.162.171-00</v>
      </c>
      <c r="K23" s="10">
        <f>IF(_xlfn.XLOOKUP($C23,Incrições!$D$2:$D$58,Incrições!E$2:E$58)=0,"",_xlfn.XLOOKUP($C23,Incrições!$D$2:$D$58,Incrições!E$2:E$58))</f>
        <v>27522</v>
      </c>
      <c r="L23" s="10" t="str">
        <f>IF(_xlfn.XLOOKUP($C23,Incrições!$D$2:$D$58,Incrições!F$2:F$58)=0,"",_xlfn.XLOOKUP($C23,Incrições!$D$2:$D$58,Incrições!F$2:F$58))</f>
        <v>(66)98437-1064</v>
      </c>
      <c r="M23" s="10" t="str">
        <f>IF(_xlfn.XLOOKUP($C23,Incrições!$D$2:$D$58,Incrições!G$2:G$58)=0,"",_xlfn.XLOOKUP($C23,Incrições!$D$2:$D$58,Incrições!G$2:G$58))</f>
        <v>Bom Jesus do Araguaia (MT)</v>
      </c>
      <c r="N23" s="10" t="str">
        <f>IF(_xlfn.XLOOKUP($C23,Incrições!$D$2:$D$58,Incrições!H$2:H$58)=0,"",_xlfn.XLOOKUP($C23,Incrições!$D$2:$D$58,Incrições!H$2:H$58))</f>
        <v>Gestão municipal</v>
      </c>
      <c r="O23" s="10" t="str">
        <f>IF(_xlfn.XLOOKUP($C23,Incrições!$D$2:$D$58,Incrições!I$2:I$58)=0,"",_xlfn.XLOOKUP($C23,Incrições!$D$2:$D$58,Incrições!I$2:I$58))</f>
        <v>Técnico Administrativo</v>
      </c>
      <c r="P23" s="10" t="str">
        <f>IF(_xlfn.XLOOKUP($C23,Incrições!$D$2:$D$58,Incrições!J$2:J$58)=0,"",_xlfn.XLOOKUP($C23,Incrições!$D$2:$D$58,Incrições!J$2:J$58))</f>
        <v/>
      </c>
      <c r="Q23" s="10" t="str">
        <f>IF(_xlfn.XLOOKUP($C23,Incrições!$D$2:$D$58,Incrições!K$2:K$58)=0,"",_xlfn.XLOOKUP($C23,Incrições!$D$2:$D$58,Incrições!K$2:K$58))</f>
        <v/>
      </c>
      <c r="R23" s="10">
        <f>IF(_xlfn.XLOOKUP($C23,Incrições!$D$2:$D$58,Incrições!L$2:L$58)=0,"",_xlfn.XLOOKUP($C23,Incrições!$D$2:$D$58,Incrições!L$2:L$58))</f>
        <v>45925</v>
      </c>
    </row>
    <row r="24" spans="1:19" x14ac:dyDescent="0.25">
      <c r="A24" s="9">
        <v>45924.367638888885</v>
      </c>
      <c r="B24" s="9" t="s">
        <v>109</v>
      </c>
      <c r="C24" s="8" t="s">
        <v>110</v>
      </c>
      <c r="D24" s="8" t="s">
        <v>111</v>
      </c>
      <c r="E24" s="8" t="s">
        <v>112</v>
      </c>
      <c r="F24" s="8" t="s">
        <v>4</v>
      </c>
      <c r="G24" s="10">
        <f>IF(_xlfn.XLOOKUP($C24,Incrições!$D$2:$D$58,Incrições!A$2:A$58)=0,"",_xlfn.XLOOKUP($C24,Incrições!$D$2:$D$58,Incrições!A$2:A$58))</f>
        <v>45916.690312500003</v>
      </c>
      <c r="H24" s="10" t="str">
        <f>IF(_xlfn.XLOOKUP($C24,Incrições!$D$2:$D$58,Incrições!B$2:B$58)=0,"",_xlfn.XLOOKUP($C24,Incrições!$D$2:$D$58,Incrições!B$2:B$58))</f>
        <v>kellenkleinrossato@gmail.com</v>
      </c>
      <c r="I24" s="10" t="str">
        <f>IF(_xlfn.XLOOKUP($C24,Incrições!$D$2:$D$58,Incrições!C$2:C$58)=0,"",_xlfn.XLOOKUP($C24,Incrições!$D$2:$D$58,Incrições!C$2:C$58))</f>
        <v>KELLEN MARINA KLEIN ROSSATO</v>
      </c>
      <c r="J24" s="10" t="str">
        <f>IF(_xlfn.XLOOKUP($C24,Incrições!$D$2:$D$58,Incrições!D$2:D$58)=0,"",_xlfn.XLOOKUP($C24,Incrições!$D$2:$D$58,Incrições!D$2:D$58))</f>
        <v>038.713.381-09</v>
      </c>
      <c r="K24" s="10">
        <f>IF(_xlfn.XLOOKUP($C24,Incrições!$D$2:$D$58,Incrições!E$2:E$58)=0,"",_xlfn.XLOOKUP($C24,Incrições!$D$2:$D$58,Incrições!E$2:E$58))</f>
        <v>33507</v>
      </c>
      <c r="L24" s="10" t="str">
        <f>IF(_xlfn.XLOOKUP($C24,Incrições!$D$2:$D$58,Incrições!F$2:F$58)=0,"",_xlfn.XLOOKUP($C24,Incrições!$D$2:$D$58,Incrições!F$2:F$58))</f>
        <v>(66)99714-0657</v>
      </c>
      <c r="M24" s="10" t="str">
        <f>IF(_xlfn.XLOOKUP($C24,Incrições!$D$2:$D$58,Incrições!G$2:G$58)=0,"",_xlfn.XLOOKUP($C24,Incrições!$D$2:$D$58,Incrições!G$2:G$58))</f>
        <v>Querência (MT)</v>
      </c>
      <c r="N24" s="10" t="str">
        <f>IF(_xlfn.XLOOKUP($C24,Incrições!$D$2:$D$58,Incrições!H$2:H$58)=0,"",_xlfn.XLOOKUP($C24,Incrições!$D$2:$D$58,Incrições!H$2:H$58))</f>
        <v>CACS-FUNDEB</v>
      </c>
      <c r="O24" s="10" t="str">
        <f>IF(_xlfn.XLOOKUP($C24,Incrições!$D$2:$D$58,Incrições!I$2:I$58)=0,"",_xlfn.XLOOKUP($C24,Incrições!$D$2:$D$58,Incrições!I$2:I$58))</f>
        <v/>
      </c>
      <c r="P24" s="10" t="str">
        <f>IF(_xlfn.XLOOKUP($C24,Incrições!$D$2:$D$58,Incrições!J$2:J$58)=0,"",_xlfn.XLOOKUP($C24,Incrições!$D$2:$D$58,Incrições!J$2:J$58))</f>
        <v/>
      </c>
      <c r="Q24" s="10" t="str">
        <f>IF(_xlfn.XLOOKUP($C24,Incrições!$D$2:$D$58,Incrições!K$2:K$58)=0,"",_xlfn.XLOOKUP($C24,Incrições!$D$2:$D$58,Incrições!K$2:K$58))</f>
        <v>VICE PRESIDENTE</v>
      </c>
      <c r="R24" s="10">
        <f>IF(_xlfn.XLOOKUP($C24,Incrições!$D$2:$D$58,Incrições!L$2:L$58)=0,"",_xlfn.XLOOKUP($C24,Incrições!$D$2:$D$58,Incrições!L$2:L$58))</f>
        <v>45924</v>
      </c>
    </row>
    <row r="25" spans="1:19" x14ac:dyDescent="0.25">
      <c r="A25" s="9">
        <v>45924.358807870369</v>
      </c>
      <c r="B25" s="9" t="s">
        <v>37</v>
      </c>
      <c r="C25" s="8" t="s">
        <v>38</v>
      </c>
      <c r="D25" s="8" t="s">
        <v>39</v>
      </c>
      <c r="E25" s="8" t="s">
        <v>40</v>
      </c>
      <c r="F25" s="8" t="s">
        <v>4</v>
      </c>
      <c r="G25" s="10">
        <f>IF(_xlfn.XLOOKUP($C25,Incrições!$D$2:$D$58,Incrições!A$2:A$58)=0,"",_xlfn.XLOOKUP($C25,Incrições!$D$2:$D$58,Incrições!A$2:A$58))</f>
        <v>45905.432453703703</v>
      </c>
      <c r="H25" s="10" t="str">
        <f>IF(_xlfn.XLOOKUP($C25,Incrições!$D$2:$D$58,Incrições!B$2:B$58)=0,"",_xlfn.XLOOKUP($C25,Incrições!$D$2:$D$58,Incrições!B$2:B$58))</f>
        <v>lanusseblz@hotmail.com</v>
      </c>
      <c r="I25" s="10" t="str">
        <f>IF(_xlfn.XLOOKUP($C25,Incrições!$D$2:$D$58,Incrições!C$2:C$58)=0,"",_xlfn.XLOOKUP($C25,Incrições!$D$2:$D$58,Incrições!C$2:C$58))</f>
        <v>Alexandre Lanusse Pereira Dias</v>
      </c>
      <c r="J25" s="10" t="str">
        <f>IF(_xlfn.XLOOKUP($C25,Incrições!$D$2:$D$58,Incrições!D$2:D$58)=0,"",_xlfn.XLOOKUP($C25,Incrições!$D$2:$D$58,Incrições!D$2:D$58))</f>
        <v>617.215.221-15</v>
      </c>
      <c r="K25" s="10">
        <f>IF(_xlfn.XLOOKUP($C25,Incrições!$D$2:$D$58,Incrições!E$2:E$58)=0,"",_xlfn.XLOOKUP($C25,Incrições!$D$2:$D$58,Incrições!E$2:E$58))</f>
        <v>26507</v>
      </c>
      <c r="L25" s="10" t="str">
        <f>IF(_xlfn.XLOOKUP($C25,Incrições!$D$2:$D$58,Incrições!F$2:F$58)=0,"",_xlfn.XLOOKUP($C25,Incrições!$D$2:$D$58,Incrições!F$2:F$58))</f>
        <v>(66)99988-9196</v>
      </c>
      <c r="M25" s="10" t="str">
        <f>IF(_xlfn.XLOOKUP($C25,Incrições!$D$2:$D$58,Incrições!G$2:G$58)=0,"",_xlfn.XLOOKUP($C25,Incrições!$D$2:$D$58,Incrições!G$2:G$58))</f>
        <v>Baliza (GO)</v>
      </c>
      <c r="N25" s="10" t="str">
        <f>IF(_xlfn.XLOOKUP($C25,Incrições!$D$2:$D$58,Incrições!H$2:H$58)=0,"",_xlfn.XLOOKUP($C25,Incrições!$D$2:$D$58,Incrições!H$2:H$58))</f>
        <v>Gestão municipal</v>
      </c>
      <c r="O25" s="10" t="str">
        <f>IF(_xlfn.XLOOKUP($C25,Incrições!$D$2:$D$58,Incrições!I$2:I$58)=0,"",_xlfn.XLOOKUP($C25,Incrições!$D$2:$D$58,Incrições!I$2:I$58))</f>
        <v>Tecnico Operador: SETE Transporte escolar</v>
      </c>
      <c r="P25" s="10" t="str">
        <f>IF(_xlfn.XLOOKUP($C25,Incrições!$D$2:$D$58,Incrições!J$2:J$58)=0,"",_xlfn.XLOOKUP($C25,Incrições!$D$2:$D$58,Incrições!J$2:J$58))</f>
        <v/>
      </c>
      <c r="Q25" s="10" t="str">
        <f>IF(_xlfn.XLOOKUP($C25,Incrições!$D$2:$D$58,Incrições!K$2:K$58)=0,"",_xlfn.XLOOKUP($C25,Incrições!$D$2:$D$58,Incrições!K$2:K$58))</f>
        <v/>
      </c>
      <c r="R25" s="10">
        <f>IF(_xlfn.XLOOKUP($C25,Incrições!$D$2:$D$58,Incrições!L$2:L$58)=0,"",_xlfn.XLOOKUP($C25,Incrições!$D$2:$D$58,Incrições!L$2:L$58))</f>
        <v>45924</v>
      </c>
    </row>
    <row r="26" spans="1:19" x14ac:dyDescent="0.25">
      <c r="A26" s="9">
        <v>45925.453587962962</v>
      </c>
      <c r="B26" s="8" t="s">
        <v>340</v>
      </c>
      <c r="C26" s="8" t="s">
        <v>341</v>
      </c>
      <c r="D26" s="8" t="s">
        <v>342</v>
      </c>
      <c r="E26" s="8" t="s">
        <v>339</v>
      </c>
      <c r="F26" s="8" t="s">
        <v>4</v>
      </c>
      <c r="G26" s="17">
        <f>IF(_xlfn.XLOOKUP($C26,Incrições!$D$2:$D$58,Incrições!A$2:A$58)=0,"",_xlfn.XLOOKUP($C26,Incrições!$D$2:$D$58,Incrições!A$2:A$58))</f>
        <v>45917.469027777777</v>
      </c>
      <c r="H26" s="17" t="str">
        <f>IF(_xlfn.XLOOKUP($C26,Incrições!$D$2:$D$58,Incrições!B$2:B$58)=0,"",_xlfn.XLOOKUP($C26,Incrições!$D$2:$D$58,Incrições!B$2:B$58))</f>
        <v>lidiaarraes01@hotmail.com</v>
      </c>
      <c r="I26" s="17" t="str">
        <f>IF(_xlfn.XLOOKUP($C26,Incrições!$D$2:$D$58,Incrições!C$2:C$58)=0,"",_xlfn.XLOOKUP($C26,Incrições!$D$2:$D$58,Incrições!C$2:C$58))</f>
        <v>Lídia Arraes de Oliveira</v>
      </c>
      <c r="J26" s="17" t="str">
        <f>IF(_xlfn.XLOOKUP($C26,Incrições!$D$2:$D$58,Incrições!D$2:D$58)=0,"",_xlfn.XLOOKUP($C26,Incrições!$D$2:$D$58,Incrições!D$2:D$58))</f>
        <v>395.707.701-04</v>
      </c>
      <c r="K26" s="17">
        <f>IF(_xlfn.XLOOKUP($C26,Incrições!$D$2:$D$58,Incrições!E$2:E$58)=0,"",_xlfn.XLOOKUP($C26,Incrições!$D$2:$D$58,Incrições!E$2:E$58))</f>
        <v>22070</v>
      </c>
      <c r="L26" s="17" t="str">
        <f>IF(_xlfn.XLOOKUP($C26,Incrições!$D$2:$D$58,Incrições!F$2:F$58)=0,"",_xlfn.XLOOKUP($C26,Incrições!$D$2:$D$58,Incrições!F$2:F$58))</f>
        <v>(66)98422-5865</v>
      </c>
      <c r="M26" s="17" t="str">
        <f>IF(_xlfn.XLOOKUP($C26,Incrições!$D$2:$D$58,Incrições!G$2:G$58)=0,"",_xlfn.XLOOKUP($C26,Incrições!$D$2:$D$58,Incrições!G$2:G$58))</f>
        <v>Araguaiana (MT)</v>
      </c>
      <c r="N26" s="17" t="str">
        <f>IF(_xlfn.XLOOKUP($C26,Incrições!$D$2:$D$58,Incrições!H$2:H$58)=0,"",_xlfn.XLOOKUP($C26,Incrições!$D$2:$D$58,Incrições!H$2:H$58))</f>
        <v>CACS-FUNDEB</v>
      </c>
      <c r="O26" s="17" t="str">
        <f>IF(_xlfn.XLOOKUP($C26,Incrições!$D$2:$D$58,Incrições!I$2:I$58)=0,"",_xlfn.XLOOKUP($C26,Incrições!$D$2:$D$58,Incrições!I$2:I$58))</f>
        <v/>
      </c>
      <c r="P26" s="17" t="str">
        <f>IF(_xlfn.XLOOKUP($C26,Incrições!$D$2:$D$58,Incrições!J$2:J$58)=0,"",_xlfn.XLOOKUP($C26,Incrições!$D$2:$D$58,Incrições!J$2:J$58))</f>
        <v/>
      </c>
      <c r="Q26" s="17" t="str">
        <f>IF(_xlfn.XLOOKUP($C26,Incrições!$D$2:$D$58,Incrições!K$2:K$58)=0,"",_xlfn.XLOOKUP($C26,Incrições!$D$2:$D$58,Incrições!K$2:K$58))</f>
        <v>Secretaria</v>
      </c>
      <c r="R26" s="17">
        <f>IF(_xlfn.XLOOKUP($C26,Incrições!$D$2:$D$58,Incrições!L$2:L$58)=0,"",_xlfn.XLOOKUP($C26,Incrições!$D$2:$D$58,Incrições!L$2:L$58))</f>
        <v>45925</v>
      </c>
    </row>
    <row r="27" spans="1:19" x14ac:dyDescent="0.25">
      <c r="A27" s="9">
        <v>45925.359317129631</v>
      </c>
      <c r="B27" s="9" t="s">
        <v>159</v>
      </c>
      <c r="C27" s="8" t="s">
        <v>160</v>
      </c>
      <c r="D27" s="8" t="s">
        <v>161</v>
      </c>
      <c r="E27" s="8" t="s">
        <v>162</v>
      </c>
      <c r="F27" s="8" t="s">
        <v>4</v>
      </c>
      <c r="G27" s="10">
        <f>IF(_xlfn.XLOOKUP($C27,Incrições!$D$2:$D$58,Incrições!A$2:A$58)=0,"",_xlfn.XLOOKUP($C27,Incrições!$D$2:$D$58,Incrições!A$2:A$58))</f>
        <v>45924.672696759262</v>
      </c>
      <c r="H27" s="10" t="str">
        <f>IF(_xlfn.XLOOKUP($C27,Incrições!$D$2:$D$58,Incrições!B$2:B$58)=0,"",_xlfn.XLOOKUP($C27,Incrições!$D$2:$D$58,Incrições!B$2:B$58))</f>
        <v>lorennasouza09.ls@gmail.com</v>
      </c>
      <c r="I27" s="10" t="str">
        <f>IF(_xlfn.XLOOKUP($C27,Incrições!$D$2:$D$58,Incrições!C$2:C$58)=0,"",_xlfn.XLOOKUP($C27,Incrições!$D$2:$D$58,Incrições!C$2:C$58))</f>
        <v>Lorena Pereira de Souza</v>
      </c>
      <c r="J27" s="10" t="str">
        <f>IF(_xlfn.XLOOKUP($C27,Incrições!$D$2:$D$58,Incrições!D$2:D$58)=0,"",_xlfn.XLOOKUP($C27,Incrições!$D$2:$D$58,Incrições!D$2:D$58))</f>
        <v>042.254.611-90</v>
      </c>
      <c r="K27" s="10">
        <f>IF(_xlfn.XLOOKUP($C27,Incrições!$D$2:$D$58,Incrições!E$2:E$58)=0,"",_xlfn.XLOOKUP($C27,Incrições!$D$2:$D$58,Incrições!E$2:E$58))</f>
        <v>34029</v>
      </c>
      <c r="L27" s="10" t="str">
        <f>IF(_xlfn.XLOOKUP($C27,Incrições!$D$2:$D$58,Incrições!F$2:F$58)=0,"",_xlfn.XLOOKUP($C27,Incrições!$D$2:$D$58,Incrições!F$2:F$58))</f>
        <v>(66)99241-6958</v>
      </c>
      <c r="M27" s="10" t="str">
        <f>IF(_xlfn.XLOOKUP($C27,Incrições!$D$2:$D$58,Incrições!G$2:G$58)=0,"",_xlfn.XLOOKUP($C27,Incrições!$D$2:$D$58,Incrições!G$2:G$58))</f>
        <v>Barra do Garças (MT)</v>
      </c>
      <c r="N27" s="10" t="str">
        <f>IF(_xlfn.XLOOKUP($C27,Incrições!$D$2:$D$58,Incrições!H$2:H$58)=0,"",_xlfn.XLOOKUP($C27,Incrições!$D$2:$D$58,Incrições!H$2:H$58))</f>
        <v>Gestão municipal</v>
      </c>
      <c r="O27" s="10" t="str">
        <f>IF(_xlfn.XLOOKUP($C27,Incrições!$D$2:$D$58,Incrições!I$2:I$58)=0,"",_xlfn.XLOOKUP($C27,Incrições!$D$2:$D$58,Incrições!I$2:I$58))</f>
        <v>setor de prestação de contas</v>
      </c>
      <c r="P27" s="10" t="str">
        <f>IF(_xlfn.XLOOKUP($C27,Incrições!$D$2:$D$58,Incrições!J$2:J$58)=0,"",_xlfn.XLOOKUP($C27,Incrições!$D$2:$D$58,Incrições!J$2:J$58))</f>
        <v/>
      </c>
      <c r="Q27" s="10" t="str">
        <f>IF(_xlfn.XLOOKUP($C27,Incrições!$D$2:$D$58,Incrições!K$2:K$58)=0,"",_xlfn.XLOOKUP($C27,Incrições!$D$2:$D$58,Incrições!K$2:K$58))</f>
        <v/>
      </c>
      <c r="R27" s="10">
        <f>IF(_xlfn.XLOOKUP($C27,Incrições!$D$2:$D$58,Incrições!L$2:L$58)=0,"",_xlfn.XLOOKUP($C27,Incrições!$D$2:$D$58,Incrições!L$2:L$58))</f>
        <v>45925</v>
      </c>
    </row>
    <row r="28" spans="1:19" x14ac:dyDescent="0.25">
      <c r="A28" s="9">
        <v>45925.348310185182</v>
      </c>
      <c r="B28" s="9" t="s">
        <v>121</v>
      </c>
      <c r="C28" s="8" t="s">
        <v>122</v>
      </c>
      <c r="D28" s="8" t="s">
        <v>123</v>
      </c>
      <c r="E28" s="8" t="s">
        <v>124</v>
      </c>
      <c r="F28" s="8" t="s">
        <v>4</v>
      </c>
      <c r="G28" s="10">
        <f>IF(_xlfn.XLOOKUP($C28,Incrições!$D$2:$D$58,Incrições!A$2:A$58)=0,"",_xlfn.XLOOKUP($C28,Incrições!$D$2:$D$58,Incrições!A$2:A$58))</f>
        <v>45908.468888888892</v>
      </c>
      <c r="H28" s="10" t="str">
        <f>IF(_xlfn.XLOOKUP($C28,Incrições!$D$2:$D$58,Incrições!B$2:B$58)=0,"",_xlfn.XLOOKUP($C28,Incrições!$D$2:$D$58,Incrições!B$2:B$58))</f>
        <v>marcosrachid93@gmail.com</v>
      </c>
      <c r="I28" s="10" t="str">
        <f>IF(_xlfn.XLOOKUP($C28,Incrições!$D$2:$D$58,Incrições!C$2:C$58)=0,"",_xlfn.XLOOKUP($C28,Incrições!$D$2:$D$58,Incrições!C$2:C$58))</f>
        <v>Marcos Luiz de Jesus Silva Rachid</v>
      </c>
      <c r="J28" s="10" t="str">
        <f>IF(_xlfn.XLOOKUP($C28,Incrições!$D$2:$D$58,Incrições!D$2:D$58)=0,"",_xlfn.XLOOKUP($C28,Incrições!$D$2:$D$58,Incrições!D$2:D$58))</f>
        <v>002.145.951-70</v>
      </c>
      <c r="K28" s="10">
        <f>IF(_xlfn.XLOOKUP($C28,Incrições!$D$2:$D$58,Incrições!E$2:E$58)=0,"",_xlfn.XLOOKUP($C28,Incrições!$D$2:$D$58,Incrições!E$2:E$58))</f>
        <v>31275</v>
      </c>
      <c r="L28" s="10" t="str">
        <f>IF(_xlfn.XLOOKUP($C28,Incrições!$D$2:$D$58,Incrições!F$2:F$58)=0,"",_xlfn.XLOOKUP($C28,Incrições!$D$2:$D$58,Incrições!F$2:F$58))</f>
        <v>(66)98426-3841</v>
      </c>
      <c r="M28" s="10" t="str">
        <f>IF(_xlfn.XLOOKUP($C28,Incrições!$D$2:$D$58,Incrições!G$2:G$58)=0,"",_xlfn.XLOOKUP($C28,Incrições!$D$2:$D$58,Incrições!G$2:G$58))</f>
        <v>São Félix do Araguaia (MT)</v>
      </c>
      <c r="N28" s="10" t="str">
        <f>IF(_xlfn.XLOOKUP($C28,Incrições!$D$2:$D$58,Incrições!H$2:H$58)=0,"",_xlfn.XLOOKUP($C28,Incrições!$D$2:$D$58,Incrições!H$2:H$58))</f>
        <v>CACS-FUNDEB</v>
      </c>
      <c r="O28" s="10" t="str">
        <f>IF(_xlfn.XLOOKUP($C28,Incrições!$D$2:$D$58,Incrições!I$2:I$58)=0,"",_xlfn.XLOOKUP($C28,Incrições!$D$2:$D$58,Incrições!I$2:I$58))</f>
        <v/>
      </c>
      <c r="P28" s="10" t="str">
        <f>IF(_xlfn.XLOOKUP($C28,Incrições!$D$2:$D$58,Incrições!J$2:J$58)=0,"",_xlfn.XLOOKUP($C28,Incrições!$D$2:$D$58,Incrições!J$2:J$58))</f>
        <v/>
      </c>
      <c r="Q28" s="10" t="str">
        <f>IF(_xlfn.XLOOKUP($C28,Incrições!$D$2:$D$58,Incrições!K$2:K$58)=0,"",_xlfn.XLOOKUP($C28,Incrições!$D$2:$D$58,Incrições!K$2:K$58))</f>
        <v>Vice Presidente</v>
      </c>
      <c r="R28" s="10">
        <f>IF(_xlfn.XLOOKUP($C28,Incrições!$D$2:$D$58,Incrições!L$2:L$58)=0,"",_xlfn.XLOOKUP($C28,Incrições!$D$2:$D$58,Incrições!L$2:L$58))</f>
        <v>45925</v>
      </c>
    </row>
    <row r="29" spans="1:19" x14ac:dyDescent="0.25">
      <c r="A29" s="9">
        <v>45924.357430555552</v>
      </c>
      <c r="B29" s="9" t="s">
        <v>17</v>
      </c>
      <c r="C29" s="8" t="s">
        <v>18</v>
      </c>
      <c r="D29" s="8" t="s">
        <v>19</v>
      </c>
      <c r="E29" s="8" t="s">
        <v>20</v>
      </c>
      <c r="F29" s="8" t="s">
        <v>4</v>
      </c>
      <c r="G29" s="10">
        <f>IF(_xlfn.XLOOKUP($C29,Incrições!$D$2:$D$58,Incrições!A$2:A$58)=0,"",_xlfn.XLOOKUP($C29,Incrições!$D$2:$D$58,Incrições!A$2:A$58))</f>
        <v>45912.431400462963</v>
      </c>
      <c r="H29" s="10" t="str">
        <f>IF(_xlfn.XLOOKUP($C29,Incrições!$D$2:$D$58,Incrições!B$2:B$58)=0,"",_xlfn.XLOOKUP($C29,Incrições!$D$2:$D$58,Incrições!B$2:B$58))</f>
        <v>marialeandro@portoalegredonorte.mt.gov.br</v>
      </c>
      <c r="I29" s="10" t="str">
        <f>IF(_xlfn.XLOOKUP($C29,Incrições!$D$2:$D$58,Incrições!C$2:C$58)=0,"",_xlfn.XLOOKUP($C29,Incrições!$D$2:$D$58,Incrições!C$2:C$58))</f>
        <v>MARIA JOSE LEANDRO DE ALMEIDA OLIVEIRA</v>
      </c>
      <c r="J29" s="10" t="str">
        <f>IF(_xlfn.XLOOKUP($C29,Incrições!$D$2:$D$58,Incrições!D$2:D$58)=0,"",_xlfn.XLOOKUP($C29,Incrições!$D$2:$D$58,Incrições!D$2:D$58))</f>
        <v>987.429.811-15</v>
      </c>
      <c r="K29" s="10">
        <f>IF(_xlfn.XLOOKUP($C29,Incrições!$D$2:$D$58,Incrições!E$2:E$58)=0,"",_xlfn.XLOOKUP($C29,Incrições!$D$2:$D$58,Incrições!E$2:E$58))</f>
        <v>30578</v>
      </c>
      <c r="L29" s="10" t="str">
        <f>IF(_xlfn.XLOOKUP($C29,Incrições!$D$2:$D$58,Incrições!F$2:F$58)=0,"",_xlfn.XLOOKUP($C29,Incrições!$D$2:$D$58,Incrições!F$2:F$58))</f>
        <v>(66)98418-4363</v>
      </c>
      <c r="M29" s="10" t="str">
        <f>IF(_xlfn.XLOOKUP($C29,Incrições!$D$2:$D$58,Incrições!G$2:G$58)=0,"",_xlfn.XLOOKUP($C29,Incrições!$D$2:$D$58,Incrições!G$2:G$58))</f>
        <v>Porto Alegre do Norte (MT)</v>
      </c>
      <c r="N29" s="10" t="str">
        <f>IF(_xlfn.XLOOKUP($C29,Incrições!$D$2:$D$58,Incrições!H$2:H$58)=0,"",_xlfn.XLOOKUP($C29,Incrições!$D$2:$D$58,Incrições!H$2:H$58))</f>
        <v>CACS-FUNDEB</v>
      </c>
      <c r="O29" s="10" t="str">
        <f>IF(_xlfn.XLOOKUP($C29,Incrições!$D$2:$D$58,Incrições!I$2:I$58)=0,"",_xlfn.XLOOKUP($C29,Incrições!$D$2:$D$58,Incrições!I$2:I$58))</f>
        <v/>
      </c>
      <c r="P29" s="10" t="str">
        <f>IF(_xlfn.XLOOKUP($C29,Incrições!$D$2:$D$58,Incrições!J$2:J$58)=0,"",_xlfn.XLOOKUP($C29,Incrições!$D$2:$D$58,Incrições!J$2:J$58))</f>
        <v/>
      </c>
      <c r="Q29" s="10" t="str">
        <f>IF(_xlfn.XLOOKUP($C29,Incrições!$D$2:$D$58,Incrições!K$2:K$58)=0,"",_xlfn.XLOOKUP($C29,Incrições!$D$2:$D$58,Incrições!K$2:K$58))</f>
        <v>Representante de Servidor técnico administrativo</v>
      </c>
      <c r="R29" s="10">
        <f>IF(_xlfn.XLOOKUP($C29,Incrições!$D$2:$D$58,Incrições!L$2:L$58)=0,"",_xlfn.XLOOKUP($C29,Incrições!$D$2:$D$58,Incrições!L$2:L$58))</f>
        <v>45924</v>
      </c>
    </row>
    <row r="30" spans="1:19" x14ac:dyDescent="0.25">
      <c r="A30" s="9">
        <v>45924.363402777781</v>
      </c>
      <c r="B30" s="9" t="s">
        <v>77</v>
      </c>
      <c r="C30" s="8" t="s">
        <v>78</v>
      </c>
      <c r="D30" s="8" t="s">
        <v>79</v>
      </c>
      <c r="E30" s="8" t="s">
        <v>80</v>
      </c>
      <c r="F30" s="8" t="s">
        <v>4</v>
      </c>
      <c r="G30" s="10">
        <f>IF(_xlfn.XLOOKUP($C30,Incrições!$D$2:$D$58,Incrições!A$2:A$58)=0,"",_xlfn.XLOOKUP($C30,Incrições!$D$2:$D$58,Incrições!A$2:A$58))</f>
        <v>45911.548194444447</v>
      </c>
      <c r="H30" s="10" t="str">
        <f>IF(_xlfn.XLOOKUP($C30,Incrições!$D$2:$D$58,Incrições!B$2:B$58)=0,"",_xlfn.XLOOKUP($C30,Incrições!$D$2:$D$58,Incrições!B$2:B$58))</f>
        <v>mcgfabio@gmail.com</v>
      </c>
      <c r="I30" s="10" t="str">
        <f>IF(_xlfn.XLOOKUP($C30,Incrições!$D$2:$D$58,Incrições!C$2:C$58)=0,"",_xlfn.XLOOKUP($C30,Incrições!$D$2:$D$58,Incrições!C$2:C$58))</f>
        <v>Fábio Pinto de Oliveira</v>
      </c>
      <c r="J30" s="10" t="str">
        <f>IF(_xlfn.XLOOKUP($C30,Incrições!$D$2:$D$58,Incrições!D$2:D$58)=0,"",_xlfn.XLOOKUP($C30,Incrições!$D$2:$D$58,Incrições!D$2:D$58))</f>
        <v>643.714.921-34</v>
      </c>
      <c r="K30" s="10">
        <f>IF(_xlfn.XLOOKUP($C30,Incrições!$D$2:$D$58,Incrições!E$2:E$58)=0,"",_xlfn.XLOOKUP($C30,Incrições!$D$2:$D$58,Incrições!E$2:E$58))</f>
        <v>26116</v>
      </c>
      <c r="L30" s="10" t="str">
        <f>IF(_xlfn.XLOOKUP($C30,Incrições!$D$2:$D$58,Incrições!F$2:F$58)=0,"",_xlfn.XLOOKUP($C30,Incrições!$D$2:$D$58,Incrições!F$2:F$58))</f>
        <v>(62)99987-2626</v>
      </c>
      <c r="M30" s="10" t="str">
        <f>IF(_xlfn.XLOOKUP($C30,Incrições!$D$2:$D$58,Incrições!G$2:G$58)=0,"",_xlfn.XLOOKUP($C30,Incrições!$D$2:$D$58,Incrições!G$2:G$58))</f>
        <v>Montes Claros de Goiás (GO)</v>
      </c>
      <c r="N30" s="10" t="str">
        <f>IF(_xlfn.XLOOKUP($C30,Incrições!$D$2:$D$58,Incrições!H$2:H$58)=0,"",_xlfn.XLOOKUP($C30,Incrições!$D$2:$D$58,Incrições!H$2:H$58))</f>
        <v>CACS-FUNDEB</v>
      </c>
      <c r="O30" s="10" t="str">
        <f>IF(_xlfn.XLOOKUP($C30,Incrições!$D$2:$D$58,Incrições!I$2:I$58)=0,"",_xlfn.XLOOKUP($C30,Incrições!$D$2:$D$58,Incrições!I$2:I$58))</f>
        <v/>
      </c>
      <c r="P30" s="10" t="str">
        <f>IF(_xlfn.XLOOKUP($C30,Incrições!$D$2:$D$58,Incrições!J$2:J$58)=0,"",_xlfn.XLOOKUP($C30,Incrições!$D$2:$D$58,Incrições!J$2:J$58))</f>
        <v/>
      </c>
      <c r="Q30" s="10" t="str">
        <f>IF(_xlfn.XLOOKUP($C30,Incrições!$D$2:$D$58,Incrições!K$2:K$58)=0,"",_xlfn.XLOOKUP($C30,Incrições!$D$2:$D$58,Incrições!K$2:K$58))</f>
        <v>vice presidente</v>
      </c>
      <c r="R30" s="10">
        <f>IF(_xlfn.XLOOKUP($C30,Incrições!$D$2:$D$58,Incrições!L$2:L$58)=0,"",_xlfn.XLOOKUP($C30,Incrições!$D$2:$D$58,Incrições!L$2:L$58))</f>
        <v>45924</v>
      </c>
    </row>
    <row r="31" spans="1:19" x14ac:dyDescent="0.25">
      <c r="A31" s="9">
        <v>45924.356562499997</v>
      </c>
      <c r="B31" s="9" t="s">
        <v>0</v>
      </c>
      <c r="C31" s="8" t="s">
        <v>1</v>
      </c>
      <c r="D31" s="8" t="s">
        <v>2</v>
      </c>
      <c r="E31" s="8" t="s">
        <v>3</v>
      </c>
      <c r="F31" s="8" t="s">
        <v>4</v>
      </c>
      <c r="G31" s="10">
        <f>IF(_xlfn.XLOOKUP($C31,Incrições!$D$2:$D$58,Incrições!A$2:A$58)=0,"",_xlfn.XLOOKUP($C31,Incrições!$D$2:$D$58,Incrições!A$2:A$58))</f>
        <v>45905.419745370367</v>
      </c>
      <c r="H31" s="10" t="str">
        <f>IF(_xlfn.XLOOKUP($C31,Incrições!$D$2:$D$58,Incrições!B$2:B$58)=0,"",_xlfn.XLOOKUP($C31,Incrições!$D$2:$D$58,Incrições!B$2:B$58))</f>
        <v>murilovassis@hotmail.com</v>
      </c>
      <c r="I31" s="10" t="str">
        <f>IF(_xlfn.XLOOKUP($C31,Incrições!$D$2:$D$58,Incrições!C$2:C$58)=0,"",_xlfn.XLOOKUP($C31,Incrições!$D$2:$D$58,Incrições!C$2:C$58))</f>
        <v>Murilo Vieira Assis</v>
      </c>
      <c r="J31" s="10" t="str">
        <f>IF(_xlfn.XLOOKUP($C31,Incrições!$D$2:$D$58,Incrições!D$2:D$58)=0,"",_xlfn.XLOOKUP($C31,Incrições!$D$2:$D$58,Incrições!D$2:D$58))</f>
        <v>043.855.311-02</v>
      </c>
      <c r="K31" s="10">
        <f>IF(_xlfn.XLOOKUP($C31,Incrições!$D$2:$D$58,Incrições!E$2:E$58)=0,"",_xlfn.XLOOKUP($C31,Incrições!$D$2:$D$58,Incrições!E$2:E$58))</f>
        <v>36102</v>
      </c>
      <c r="L31" s="10" t="str">
        <f>IF(_xlfn.XLOOKUP($C31,Incrições!$D$2:$D$58,Incrições!F$2:F$58)=0,"",_xlfn.XLOOKUP($C31,Incrições!$D$2:$D$58,Incrições!F$2:F$58))</f>
        <v>(66)99664-4772</v>
      </c>
      <c r="M31" s="10" t="str">
        <f>IF(_xlfn.XLOOKUP($C31,Incrições!$D$2:$D$58,Incrições!G$2:G$58)=0,"",_xlfn.XLOOKUP($C31,Incrições!$D$2:$D$58,Incrições!G$2:G$58))</f>
        <v>Baliza (GO)</v>
      </c>
      <c r="N31" s="10" t="str">
        <f>IF(_xlfn.XLOOKUP($C31,Incrições!$D$2:$D$58,Incrições!H$2:H$58)=0,"",_xlfn.XLOOKUP($C31,Incrições!$D$2:$D$58,Incrições!H$2:H$58))</f>
        <v>Gestão municipal</v>
      </c>
      <c r="O31" s="10" t="str">
        <f>IF(_xlfn.XLOOKUP($C31,Incrições!$D$2:$D$58,Incrições!I$2:I$58)=0,"",_xlfn.XLOOKUP($C31,Incrições!$D$2:$D$58,Incrições!I$2:I$58))</f>
        <v>Assiste Administrativo - Prestação de conta</v>
      </c>
      <c r="P31" s="10" t="str">
        <f>IF(_xlfn.XLOOKUP($C31,Incrições!$D$2:$D$58,Incrições!J$2:J$58)=0,"",_xlfn.XLOOKUP($C31,Incrições!$D$2:$D$58,Incrições!J$2:J$58))</f>
        <v/>
      </c>
      <c r="Q31" s="10" t="str">
        <f>IF(_xlfn.XLOOKUP($C31,Incrições!$D$2:$D$58,Incrições!K$2:K$58)=0,"",_xlfn.XLOOKUP($C31,Incrições!$D$2:$D$58,Incrições!K$2:K$58))</f>
        <v/>
      </c>
      <c r="R31" s="10">
        <f>IF(_xlfn.XLOOKUP($C31,Incrições!$D$2:$D$58,Incrições!L$2:L$58)=0,"",_xlfn.XLOOKUP($C31,Incrições!$D$2:$D$58,Incrições!L$2:L$58))</f>
        <v>45924</v>
      </c>
    </row>
    <row r="32" spans="1:19" x14ac:dyDescent="0.25">
      <c r="A32" s="9">
        <v>45925.358634259261</v>
      </c>
      <c r="B32" s="9" t="s">
        <v>151</v>
      </c>
      <c r="C32" s="8" t="s">
        <v>152</v>
      </c>
      <c r="D32" s="8" t="s">
        <v>153</v>
      </c>
      <c r="E32" s="8" t="s">
        <v>154</v>
      </c>
      <c r="F32" s="8" t="s">
        <v>4</v>
      </c>
      <c r="G32" s="10">
        <f>IF(_xlfn.XLOOKUP($C32,Incrições!$D$2:$D$58,Incrições!A$2:A$58)=0,"",_xlfn.XLOOKUP($C32,Incrições!$D$2:$D$58,Incrições!A$2:A$58))</f>
        <v>45917.439710648148</v>
      </c>
      <c r="H32" s="10" t="str">
        <f>IF(_xlfn.XLOOKUP($C32,Incrições!$D$2:$D$58,Incrições!B$2:B$58)=0,"",_xlfn.XLOOKUP($C32,Incrições!$D$2:$D$58,Incrições!B$2:B$58))</f>
        <v>nelmiquixabeira@hotmail.com</v>
      </c>
      <c r="I32" s="10" t="str">
        <f>IF(_xlfn.XLOOKUP($C32,Incrições!$D$2:$D$58,Incrições!C$2:C$58)=0,"",_xlfn.XLOOKUP($C32,Incrições!$D$2:$D$58,Incrições!C$2:C$58))</f>
        <v>Nelmi Rodrigues Quixabeira</v>
      </c>
      <c r="J32" s="10" t="str">
        <f>IF(_xlfn.XLOOKUP($C32,Incrições!$D$2:$D$58,Incrições!D$2:D$58)=0,"",_xlfn.XLOOKUP($C32,Incrições!$D$2:$D$58,Incrições!D$2:D$58))</f>
        <v>966.966.051-34</v>
      </c>
      <c r="K32" s="10">
        <f>IF(_xlfn.XLOOKUP($C32,Incrições!$D$2:$D$58,Incrições!E$2:E$58)=0,"",_xlfn.XLOOKUP($C32,Incrições!$D$2:$D$58,Incrições!E$2:E$58))</f>
        <v>26740</v>
      </c>
      <c r="L32" s="10" t="str">
        <f>IF(_xlfn.XLOOKUP($C32,Incrições!$D$2:$D$58,Incrições!F$2:F$58)=0,"",_xlfn.XLOOKUP($C32,Incrições!$D$2:$D$58,Incrições!F$2:F$58))</f>
        <v>(66)98449-1635</v>
      </c>
      <c r="M32" s="10" t="str">
        <f>IF(_xlfn.XLOOKUP($C32,Incrições!$D$2:$D$58,Incrições!G$2:G$58)=0,"",_xlfn.XLOOKUP($C32,Incrições!$D$2:$D$58,Incrições!G$2:G$58))</f>
        <v>Bom Jesus do Araguaia (MT)</v>
      </c>
      <c r="N32" s="10" t="str">
        <f>IF(_xlfn.XLOOKUP($C32,Incrições!$D$2:$D$58,Incrições!H$2:H$58)=0,"",_xlfn.XLOOKUP($C32,Incrições!$D$2:$D$58,Incrições!H$2:H$58))</f>
        <v>Gestão municipal</v>
      </c>
      <c r="O32" s="10" t="str">
        <f>IF(_xlfn.XLOOKUP($C32,Incrições!$D$2:$D$58,Incrições!I$2:I$58)=0,"",_xlfn.XLOOKUP($C32,Incrições!$D$2:$D$58,Incrições!I$2:I$58))</f>
        <v>Secretária Municipal de Educação</v>
      </c>
      <c r="P32" s="10" t="str">
        <f>IF(_xlfn.XLOOKUP($C32,Incrições!$D$2:$D$58,Incrições!J$2:J$58)=0,"",_xlfn.XLOOKUP($C32,Incrições!$D$2:$D$58,Incrições!J$2:J$58))</f>
        <v/>
      </c>
      <c r="Q32" s="10" t="str">
        <f>IF(_xlfn.XLOOKUP($C32,Incrições!$D$2:$D$58,Incrições!K$2:K$58)=0,"",_xlfn.XLOOKUP($C32,Incrições!$D$2:$D$58,Incrições!K$2:K$58))</f>
        <v/>
      </c>
      <c r="R32" s="10">
        <f>IF(_xlfn.XLOOKUP($C32,Incrições!$D$2:$D$58,Incrições!L$2:L$58)=0,"",_xlfn.XLOOKUP($C32,Incrições!$D$2:$D$58,Incrições!L$2:L$58))</f>
        <v>45925</v>
      </c>
    </row>
    <row r="33" spans="1:18" x14ac:dyDescent="0.25">
      <c r="A33" s="9">
        <v>45924.366249999999</v>
      </c>
      <c r="B33" s="9" t="s">
        <v>85</v>
      </c>
      <c r="C33" s="8" t="s">
        <v>86</v>
      </c>
      <c r="D33" s="8" t="s">
        <v>87</v>
      </c>
      <c r="E33" s="8" t="s">
        <v>88</v>
      </c>
      <c r="F33" s="8" t="s">
        <v>4</v>
      </c>
      <c r="G33" s="10">
        <f>IF(_xlfn.XLOOKUP($C33,Incrições!$D$2:$D$58,Incrições!A$2:A$58)=0,"",_xlfn.XLOOKUP($C33,Incrições!$D$2:$D$58,Incrições!A$2:A$58))</f>
        <v>45916.685949074075</v>
      </c>
      <c r="H33" s="10" t="str">
        <f>IF(_xlfn.XLOOKUP($C33,Incrições!$D$2:$D$58,Incrições!B$2:B$58)=0,"",_xlfn.XLOOKUP($C33,Incrições!$D$2:$D$58,Incrições!B$2:B$58))</f>
        <v>prestacaocontas.semec@querencia.mt.gov.br</v>
      </c>
      <c r="I33" s="10" t="str">
        <f>IF(_xlfn.XLOOKUP($C33,Incrições!$D$2:$D$58,Incrições!C$2:C$58)=0,"",_xlfn.XLOOKUP($C33,Incrições!$D$2:$D$58,Incrições!C$2:C$58))</f>
        <v>Leandra Roberta Brum Stefanello</v>
      </c>
      <c r="J33" s="10" t="str">
        <f>IF(_xlfn.XLOOKUP($C33,Incrições!$D$2:$D$58,Incrições!D$2:D$58)=0,"",_xlfn.XLOOKUP($C33,Incrições!$D$2:$D$58,Incrições!D$2:D$58))</f>
        <v>012.833.230-10</v>
      </c>
      <c r="K33" s="10">
        <f>IF(_xlfn.XLOOKUP($C33,Incrições!$D$2:$D$58,Incrições!E$2:E$58)=0,"",_xlfn.XLOOKUP($C33,Incrições!$D$2:$D$58,Incrições!E$2:E$58))</f>
        <v>31013</v>
      </c>
      <c r="L33" s="10" t="str">
        <f>IF(_xlfn.XLOOKUP($C33,Incrições!$D$2:$D$58,Incrições!F$2:F$58)=0,"",_xlfn.XLOOKUP($C33,Incrições!$D$2:$D$58,Incrições!F$2:F$58))</f>
        <v>(66)98410-9727</v>
      </c>
      <c r="M33" s="10" t="str">
        <f>IF(_xlfn.XLOOKUP($C33,Incrições!$D$2:$D$58,Incrições!G$2:G$58)=0,"",_xlfn.XLOOKUP($C33,Incrições!$D$2:$D$58,Incrições!G$2:G$58))</f>
        <v>Querência (MT)</v>
      </c>
      <c r="N33" s="10" t="str">
        <f>IF(_xlfn.XLOOKUP($C33,Incrições!$D$2:$D$58,Incrições!H$2:H$58)=0,"",_xlfn.XLOOKUP($C33,Incrições!$D$2:$D$58,Incrições!H$2:H$58))</f>
        <v>CACS-FUNDEB</v>
      </c>
      <c r="O33" s="10" t="str">
        <f>IF(_xlfn.XLOOKUP($C33,Incrições!$D$2:$D$58,Incrições!I$2:I$58)=0,"",_xlfn.XLOOKUP($C33,Incrições!$D$2:$D$58,Incrições!I$2:I$58))</f>
        <v/>
      </c>
      <c r="P33" s="10" t="str">
        <f>IF(_xlfn.XLOOKUP($C33,Incrições!$D$2:$D$58,Incrições!J$2:J$58)=0,"",_xlfn.XLOOKUP($C33,Incrições!$D$2:$D$58,Incrições!J$2:J$58))</f>
        <v/>
      </c>
      <c r="Q33" s="10" t="str">
        <f>IF(_xlfn.XLOOKUP($C33,Incrições!$D$2:$D$58,Incrições!K$2:K$58)=0,"",_xlfn.XLOOKUP($C33,Incrições!$D$2:$D$58,Incrições!K$2:K$58))</f>
        <v>Presidente CACS - FUNDEB</v>
      </c>
      <c r="R33" s="10">
        <f>IF(_xlfn.XLOOKUP($C33,Incrições!$D$2:$D$58,Incrições!L$2:L$58)=0,"",_xlfn.XLOOKUP($C33,Incrições!$D$2:$D$58,Incrições!L$2:L$58))</f>
        <v>45924</v>
      </c>
    </row>
    <row r="34" spans="1:18" x14ac:dyDescent="0.25">
      <c r="A34" s="9">
        <v>45924.366354166668</v>
      </c>
      <c r="B34" s="9" t="s">
        <v>97</v>
      </c>
      <c r="C34" s="8" t="s">
        <v>98</v>
      </c>
      <c r="D34" s="8" t="s">
        <v>99</v>
      </c>
      <c r="E34" s="8" t="s">
        <v>100</v>
      </c>
      <c r="F34" s="8" t="s">
        <v>4</v>
      </c>
      <c r="G34" s="10">
        <f>IF(_xlfn.XLOOKUP($C34,Incrições!$D$2:$D$58,Incrições!A$2:A$58)=0,"",_xlfn.XLOOKUP($C34,Incrições!$D$2:$D$58,Incrições!A$2:A$58))</f>
        <v>45909.732361111113</v>
      </c>
      <c r="H34" s="10" t="str">
        <f>IF(_xlfn.XLOOKUP($C34,Incrições!$D$2:$D$58,Incrições!B$2:B$58)=0,"",_xlfn.XLOOKUP($C34,Incrições!$D$2:$D$58,Incrições!B$2:B$58))</f>
        <v>profanilza99@gmail.com</v>
      </c>
      <c r="I34" s="10" t="str">
        <f>IF(_xlfn.XLOOKUP($C34,Incrições!$D$2:$D$58,Incrições!C$2:C$58)=0,"",_xlfn.XLOOKUP($C34,Incrições!$D$2:$D$58,Incrições!C$2:C$58))</f>
        <v>Nilza Darc Rosa</v>
      </c>
      <c r="J34" s="10" t="str">
        <f>IF(_xlfn.XLOOKUP($C34,Incrições!$D$2:$D$58,Incrições!D$2:D$58)=0,"",_xlfn.XLOOKUP($C34,Incrições!$D$2:$D$58,Incrições!D$2:D$58))</f>
        <v>435.840.551-72</v>
      </c>
      <c r="K34" s="10">
        <f>IF(_xlfn.XLOOKUP($C34,Incrições!$D$2:$D$58,Incrições!E$2:E$58)=0,"",_xlfn.XLOOKUP($C34,Incrições!$D$2:$D$58,Incrições!E$2:E$58))</f>
        <v>24773</v>
      </c>
      <c r="L34" s="10" t="str">
        <f>IF(_xlfn.XLOOKUP($C34,Incrições!$D$2:$D$58,Incrições!F$2:F$58)=0,"",_xlfn.XLOOKUP($C34,Incrições!$D$2:$D$58,Incrições!F$2:F$58))</f>
        <v>(66)98129-2310</v>
      </c>
      <c r="M34" s="10" t="str">
        <f>IF(_xlfn.XLOOKUP($C34,Incrições!$D$2:$D$58,Incrições!G$2:G$58)=0,"",_xlfn.XLOOKUP($C34,Incrições!$D$2:$D$58,Incrições!G$2:G$58))</f>
        <v>Novo São Joaquim (MT)</v>
      </c>
      <c r="N34" s="10" t="str">
        <f>IF(_xlfn.XLOOKUP($C34,Incrições!$D$2:$D$58,Incrições!H$2:H$58)=0,"",_xlfn.XLOOKUP($C34,Incrições!$D$2:$D$58,Incrições!H$2:H$58))</f>
        <v>CACS-FUNDEB</v>
      </c>
      <c r="O34" s="10" t="str">
        <f>IF(_xlfn.XLOOKUP($C34,Incrições!$D$2:$D$58,Incrições!I$2:I$58)=0,"",_xlfn.XLOOKUP($C34,Incrições!$D$2:$D$58,Incrições!I$2:I$58))</f>
        <v/>
      </c>
      <c r="P34" s="10" t="str">
        <f>IF(_xlfn.XLOOKUP($C34,Incrições!$D$2:$D$58,Incrições!J$2:J$58)=0,"",_xlfn.XLOOKUP($C34,Incrições!$D$2:$D$58,Incrições!J$2:J$58))</f>
        <v/>
      </c>
      <c r="Q34" s="10" t="str">
        <f>IF(_xlfn.XLOOKUP($C34,Incrições!$D$2:$D$58,Incrições!K$2:K$58)=0,"",_xlfn.XLOOKUP($C34,Incrições!$D$2:$D$58,Incrições!K$2:K$58))</f>
        <v>Presidente</v>
      </c>
      <c r="R34" s="10">
        <f>IF(_xlfn.XLOOKUP($C34,Incrições!$D$2:$D$58,Incrições!L$2:L$58)=0,"",_xlfn.XLOOKUP($C34,Incrições!$D$2:$D$58,Incrições!L$2:L$58))</f>
        <v>45924</v>
      </c>
    </row>
    <row r="35" spans="1:18" x14ac:dyDescent="0.25">
      <c r="A35" s="9">
        <v>45924.357581018521</v>
      </c>
      <c r="B35" s="9" t="s">
        <v>21</v>
      </c>
      <c r="C35" s="8" t="s">
        <v>22</v>
      </c>
      <c r="D35" s="8" t="s">
        <v>23</v>
      </c>
      <c r="E35" s="8" t="s">
        <v>24</v>
      </c>
      <c r="F35" s="8" t="s">
        <v>4</v>
      </c>
      <c r="G35" s="10">
        <f>IF(_xlfn.XLOOKUP($C35,Incrições!$D$2:$D$58,Incrições!A$2:A$58)=0,"",_xlfn.XLOOKUP($C35,Incrições!$D$2:$D$58,Incrições!A$2:A$58))</f>
        <v>45910.461388888885</v>
      </c>
      <c r="H35" s="10" t="str">
        <f>IF(_xlfn.XLOOKUP($C35,Incrições!$D$2:$D$58,Incrições!B$2:B$58)=0,"",_xlfn.XLOOKUP($C35,Incrições!$D$2:$D$58,Incrições!B$2:B$58))</f>
        <v>rejanebgd@hotmail.com</v>
      </c>
      <c r="I35" s="10" t="str">
        <f>IF(_xlfn.XLOOKUP($C35,Incrições!$D$2:$D$58,Incrições!C$2:C$58)=0,"",_xlfn.XLOOKUP($C35,Incrições!$D$2:$D$58,Incrições!C$2:C$58))</f>
        <v>Rejane Evangelista Galvão</v>
      </c>
      <c r="J35" s="10" t="str">
        <f>IF(_xlfn.XLOOKUP($C35,Incrições!$D$2:$D$58,Incrições!D$2:D$58)=0,"",_xlfn.XLOOKUP($C35,Incrições!$D$2:$D$58,Incrições!D$2:D$58))</f>
        <v>978.403.941-91</v>
      </c>
      <c r="K35" s="10">
        <f>IF(_xlfn.XLOOKUP($C35,Incrições!$D$2:$D$58,Incrições!E$2:E$58)=0,"",_xlfn.XLOOKUP($C35,Incrições!$D$2:$D$58,Incrições!E$2:E$58))</f>
        <v>30307</v>
      </c>
      <c r="L35" s="10" t="str">
        <f>IF(_xlfn.XLOOKUP($C35,Incrições!$D$2:$D$58,Incrições!F$2:F$58)=0,"",_xlfn.XLOOKUP($C35,Incrições!$D$2:$D$58,Incrições!F$2:F$58))</f>
        <v>(66)99221-1130</v>
      </c>
      <c r="M35" s="10" t="str">
        <f>IF(_xlfn.XLOOKUP($C35,Incrições!$D$2:$D$58,Incrições!G$2:G$58)=0,"",_xlfn.XLOOKUP($C35,Incrições!$D$2:$D$58,Incrições!G$2:G$58))</f>
        <v>Pontal do Araguaia (MT)</v>
      </c>
      <c r="N35" s="10" t="str">
        <f>IF(_xlfn.XLOOKUP($C35,Incrições!$D$2:$D$58,Incrições!H$2:H$58)=0,"",_xlfn.XLOOKUP($C35,Incrições!$D$2:$D$58,Incrições!H$2:H$58))</f>
        <v>CACS-FUNDEB</v>
      </c>
      <c r="O35" s="10" t="str">
        <f>IF(_xlfn.XLOOKUP($C35,Incrições!$D$2:$D$58,Incrições!I$2:I$58)=0,"",_xlfn.XLOOKUP($C35,Incrições!$D$2:$D$58,Incrições!I$2:I$58))</f>
        <v/>
      </c>
      <c r="P35" s="10" t="str">
        <f>IF(_xlfn.XLOOKUP($C35,Incrições!$D$2:$D$58,Incrições!J$2:J$58)=0,"",_xlfn.XLOOKUP($C35,Incrições!$D$2:$D$58,Incrições!J$2:J$58))</f>
        <v/>
      </c>
      <c r="Q35" s="10" t="str">
        <f>IF(_xlfn.XLOOKUP($C35,Incrições!$D$2:$D$58,Incrições!K$2:K$58)=0,"",_xlfn.XLOOKUP($C35,Incrições!$D$2:$D$58,Incrições!K$2:K$58))</f>
        <v>Representante dos Técnicos Administrativos das Escolas Publicas</v>
      </c>
      <c r="R35" s="10">
        <f>IF(_xlfn.XLOOKUP($C35,Incrições!$D$2:$D$58,Incrições!L$2:L$58)=0,"",_xlfn.XLOOKUP($C35,Incrições!$D$2:$D$58,Incrições!L$2:L$58))</f>
        <v>45924</v>
      </c>
    </row>
    <row r="36" spans="1:18" x14ac:dyDescent="0.25">
      <c r="A36" s="9">
        <v>45924.359988425924</v>
      </c>
      <c r="B36" s="9" t="s">
        <v>57</v>
      </c>
      <c r="C36" s="8" t="s">
        <v>58</v>
      </c>
      <c r="D36" s="8" t="s">
        <v>59</v>
      </c>
      <c r="E36" s="8" t="s">
        <v>60</v>
      </c>
      <c r="F36" s="8" t="s">
        <v>4</v>
      </c>
      <c r="G36" s="10">
        <f>IF(_xlfn.XLOOKUP($C36,Incrições!$D$2:$D$58,Incrições!A$2:A$58)=0,"",_xlfn.XLOOKUP($C36,Incrições!$D$2:$D$58,Incrições!A$2:A$58))</f>
        <v>45908.361168981479</v>
      </c>
      <c r="H36" s="10" t="str">
        <f>IF(_xlfn.XLOOKUP($C36,Incrições!$D$2:$D$58,Incrições!B$2:B$58)=0,"",_xlfn.XLOOKUP($C36,Incrições!$D$2:$D$58,Incrições!B$2:B$58))</f>
        <v>ronnysantos4@hotmail.com</v>
      </c>
      <c r="I36" s="10" t="str">
        <f>IF(_xlfn.XLOOKUP($C36,Incrições!$D$2:$D$58,Incrições!C$2:C$58)=0,"",_xlfn.XLOOKUP($C36,Incrições!$D$2:$D$58,Incrições!C$2:C$58))</f>
        <v>Ronivaldo Assis Santos</v>
      </c>
      <c r="J36" s="10" t="str">
        <f>IF(_xlfn.XLOOKUP($C36,Incrições!$D$2:$D$58,Incrições!D$2:D$58)=0,"",_xlfn.XLOOKUP($C36,Incrições!$D$2:$D$58,Incrições!D$2:D$58))</f>
        <v>713.542.636-34</v>
      </c>
      <c r="K36" s="10">
        <f>IF(_xlfn.XLOOKUP($C36,Incrições!$D$2:$D$58,Incrições!E$2:E$58)=0,"",_xlfn.XLOOKUP($C36,Incrições!$D$2:$D$58,Incrições!E$2:E$58))</f>
        <v>24930</v>
      </c>
      <c r="L36" s="10" t="str">
        <f>IF(_xlfn.XLOOKUP($C36,Incrições!$D$2:$D$58,Incrições!F$2:F$58)=0,"",_xlfn.XLOOKUP($C36,Incrições!$D$2:$D$58,Incrições!F$2:F$58))</f>
        <v>(62)99804-9680</v>
      </c>
      <c r="M36" s="10" t="str">
        <f>IF(_xlfn.XLOOKUP($C36,Incrições!$D$2:$D$58,Incrições!G$2:G$58)=0,"",_xlfn.XLOOKUP($C36,Incrições!$D$2:$D$58,Incrições!G$2:G$58))</f>
        <v>Montes Claros de Goiás (GO)</v>
      </c>
      <c r="N36" s="10" t="str">
        <f>IF(_xlfn.XLOOKUP($C36,Incrições!$D$2:$D$58,Incrições!H$2:H$58)=0,"",_xlfn.XLOOKUP($C36,Incrições!$D$2:$D$58,Incrições!H$2:H$58))</f>
        <v>Gestão municipal</v>
      </c>
      <c r="O36" s="10" t="str">
        <f>IF(_xlfn.XLOOKUP($C36,Incrições!$D$2:$D$58,Incrições!I$2:I$58)=0,"",_xlfn.XLOOKUP($C36,Incrições!$D$2:$D$58,Incrições!I$2:I$58))</f>
        <v>Coordenador do Transporte Escolar</v>
      </c>
      <c r="P36" s="10" t="str">
        <f>IF(_xlfn.XLOOKUP($C36,Incrições!$D$2:$D$58,Incrições!J$2:J$58)=0,"",_xlfn.XLOOKUP($C36,Incrições!$D$2:$D$58,Incrições!J$2:J$58))</f>
        <v>Não tenho</v>
      </c>
      <c r="Q36" s="10" t="str">
        <f>IF(_xlfn.XLOOKUP($C36,Incrições!$D$2:$D$58,Incrições!K$2:K$58)=0,"",_xlfn.XLOOKUP($C36,Incrições!$D$2:$D$58,Incrições!K$2:K$58))</f>
        <v/>
      </c>
      <c r="R36" s="10">
        <f>IF(_xlfn.XLOOKUP($C36,Incrições!$D$2:$D$58,Incrições!L$2:L$58)=0,"",_xlfn.XLOOKUP($C36,Incrições!$D$2:$D$58,Incrições!L$2:L$58))</f>
        <v>45924</v>
      </c>
    </row>
    <row r="37" spans="1:18" x14ac:dyDescent="0.25">
      <c r="A37" s="9">
        <v>45924.35864583333</v>
      </c>
      <c r="B37" s="9" t="s">
        <v>33</v>
      </c>
      <c r="C37" s="8" t="s">
        <v>34</v>
      </c>
      <c r="D37" s="8" t="s">
        <v>35</v>
      </c>
      <c r="E37" s="8" t="s">
        <v>36</v>
      </c>
      <c r="F37" s="8" t="s">
        <v>4</v>
      </c>
      <c r="G37" s="10">
        <f>IF(_xlfn.XLOOKUP($C37,Incrições!$D$2:$D$58,Incrições!A$2:A$58)=0,"",_xlfn.XLOOKUP($C37,Incrições!$D$2:$D$58,Incrições!A$2:A$58))</f>
        <v>45908.653680555559</v>
      </c>
      <c r="H37" s="10" t="str">
        <f>IF(_xlfn.XLOOKUP($C37,Incrições!$D$2:$D$58,Incrições!B$2:B$58)=0,"",_xlfn.XLOOKUP($C37,Incrições!$D$2:$D$58,Incrições!B$2:B$58))</f>
        <v>rosane.cacs@canarana.edu.mt.gov.br</v>
      </c>
      <c r="I37" s="10" t="str">
        <f>IF(_xlfn.XLOOKUP($C37,Incrições!$D$2:$D$58,Incrições!C$2:C$58)=0,"",_xlfn.XLOOKUP($C37,Incrições!$D$2:$D$58,Incrições!C$2:C$58))</f>
        <v>Rosane Fries</v>
      </c>
      <c r="J37" s="10" t="str">
        <f>IF(_xlfn.XLOOKUP($C37,Incrições!$D$2:$D$58,Incrições!D$2:D$58)=0,"",_xlfn.XLOOKUP($C37,Incrições!$D$2:$D$58,Incrições!D$2:D$58))</f>
        <v>005.341.921-90</v>
      </c>
      <c r="K37" s="10">
        <f>IF(_xlfn.XLOOKUP($C37,Incrições!$D$2:$D$58,Incrições!E$2:E$58)=0,"",_xlfn.XLOOKUP($C37,Incrições!$D$2:$D$58,Incrições!E$2:E$58))</f>
        <v>29948</v>
      </c>
      <c r="L37" s="10" t="str">
        <f>IF(_xlfn.XLOOKUP($C37,Incrições!$D$2:$D$58,Incrições!F$2:F$58)=0,"",_xlfn.XLOOKUP($C37,Incrições!$D$2:$D$58,Incrições!F$2:F$58))</f>
        <v>(66)99611-2019</v>
      </c>
      <c r="M37" s="10" t="str">
        <f>IF(_xlfn.XLOOKUP($C37,Incrições!$D$2:$D$58,Incrições!G$2:G$58)=0,"",_xlfn.XLOOKUP($C37,Incrições!$D$2:$D$58,Incrições!G$2:G$58))</f>
        <v>Canarana (MT)</v>
      </c>
      <c r="N37" s="10" t="str">
        <f>IF(_xlfn.XLOOKUP($C37,Incrições!$D$2:$D$58,Incrições!H$2:H$58)=0,"",_xlfn.XLOOKUP($C37,Incrições!$D$2:$D$58,Incrições!H$2:H$58))</f>
        <v>CACS-FUNDEB</v>
      </c>
      <c r="O37" s="10" t="str">
        <f>IF(_xlfn.XLOOKUP($C37,Incrições!$D$2:$D$58,Incrições!I$2:I$58)=0,"",_xlfn.XLOOKUP($C37,Incrições!$D$2:$D$58,Incrições!I$2:I$58))</f>
        <v/>
      </c>
      <c r="P37" s="10" t="str">
        <f>IF(_xlfn.XLOOKUP($C37,Incrições!$D$2:$D$58,Incrições!J$2:J$58)=0,"",_xlfn.XLOOKUP($C37,Incrições!$D$2:$D$58,Incrições!J$2:J$58))</f>
        <v/>
      </c>
      <c r="Q37" s="10" t="str">
        <f>IF(_xlfn.XLOOKUP($C37,Incrições!$D$2:$D$58,Incrições!K$2:K$58)=0,"",_xlfn.XLOOKUP($C37,Incrições!$D$2:$D$58,Incrições!K$2:K$58))</f>
        <v>Secretaria</v>
      </c>
      <c r="R37" s="10">
        <f>IF(_xlfn.XLOOKUP($C37,Incrições!$D$2:$D$58,Incrições!L$2:L$58)=0,"",_xlfn.XLOOKUP($C37,Incrições!$D$2:$D$58,Incrições!L$2:L$58))</f>
        <v>45924</v>
      </c>
    </row>
    <row r="38" spans="1:18" x14ac:dyDescent="0.25">
      <c r="A38" s="9">
        <v>45924.366168981483</v>
      </c>
      <c r="B38" s="9" t="s">
        <v>81</v>
      </c>
      <c r="C38" s="8" t="s">
        <v>82</v>
      </c>
      <c r="D38" s="8" t="s">
        <v>83</v>
      </c>
      <c r="E38" s="8" t="s">
        <v>84</v>
      </c>
      <c r="F38" s="8" t="s">
        <v>4</v>
      </c>
      <c r="G38" s="10">
        <f>IF(_xlfn.XLOOKUP($C38,Incrições!$D$2:$D$58,Incrições!A$2:A$58)=0,"",_xlfn.XLOOKUP($C38,Incrições!$D$2:$D$58,Incrições!A$2:A$58))</f>
        <v>45911.307453703703</v>
      </c>
      <c r="H38" s="10" t="str">
        <f>IF(_xlfn.XLOOKUP($C38,Incrições!$D$2:$D$58,Incrições!B$2:B$58)=0,"",_xlfn.XLOOKUP($C38,Incrições!$D$2:$D$58,Incrições!B$2:B$58))</f>
        <v>santosmachado3@hotmail.com</v>
      </c>
      <c r="I38" s="10" t="str">
        <f>IF(_xlfn.XLOOKUP($C38,Incrições!$D$2:$D$58,Incrições!C$2:C$58)=0,"",_xlfn.XLOOKUP($C38,Incrições!$D$2:$D$58,Incrições!C$2:C$58))</f>
        <v>Mauro Machado dos Santos</v>
      </c>
      <c r="J38" s="10" t="str">
        <f>IF(_xlfn.XLOOKUP($C38,Incrições!$D$2:$D$58,Incrições!D$2:D$58)=0,"",_xlfn.XLOOKUP($C38,Incrições!$D$2:$D$58,Incrições!D$2:D$58))</f>
        <v>884.725.401-97</v>
      </c>
      <c r="K38" s="10">
        <f>IF(_xlfn.XLOOKUP($C38,Incrições!$D$2:$D$58,Incrições!E$2:E$58)=0,"",_xlfn.XLOOKUP($C38,Incrições!$D$2:$D$58,Incrições!E$2:E$58))</f>
        <v>27731</v>
      </c>
      <c r="L38" s="10" t="str">
        <f>IF(_xlfn.XLOOKUP($C38,Incrições!$D$2:$D$58,Incrições!F$2:F$58)=0,"",_xlfn.XLOOKUP($C38,Incrições!$D$2:$D$58,Incrições!F$2:F$58))</f>
        <v>(66)99977-1054</v>
      </c>
      <c r="M38" s="10" t="str">
        <f>IF(_xlfn.XLOOKUP($C38,Incrições!$D$2:$D$58,Incrições!G$2:G$58)=0,"",_xlfn.XLOOKUP($C38,Incrições!$D$2:$D$58,Incrições!G$2:G$58))</f>
        <v>Ribeirão Cascalheira (MT)</v>
      </c>
      <c r="N38" s="10" t="str">
        <f>IF(_xlfn.XLOOKUP($C38,Incrições!$D$2:$D$58,Incrições!H$2:H$58)=0,"",_xlfn.XLOOKUP($C38,Incrições!$D$2:$D$58,Incrições!H$2:H$58))</f>
        <v>CACS-FUNDEB</v>
      </c>
      <c r="O38" s="10" t="str">
        <f>IF(_xlfn.XLOOKUP($C38,Incrições!$D$2:$D$58,Incrições!I$2:I$58)=0,"",_xlfn.XLOOKUP($C38,Incrições!$D$2:$D$58,Incrições!I$2:I$58))</f>
        <v/>
      </c>
      <c r="P38" s="10" t="str">
        <f>IF(_xlfn.XLOOKUP($C38,Incrições!$D$2:$D$58,Incrições!J$2:J$58)=0,"",_xlfn.XLOOKUP($C38,Incrições!$D$2:$D$58,Incrições!J$2:J$58))</f>
        <v/>
      </c>
      <c r="Q38" s="10" t="str">
        <f>IF(_xlfn.XLOOKUP($C38,Incrições!$D$2:$D$58,Incrições!K$2:K$58)=0,"",_xlfn.XLOOKUP($C38,Incrições!$D$2:$D$58,Incrições!K$2:K$58))</f>
        <v>Conselheiro</v>
      </c>
      <c r="R38" s="10">
        <f>IF(_xlfn.XLOOKUP($C38,Incrições!$D$2:$D$58,Incrições!L$2:L$58)=0,"",_xlfn.XLOOKUP($C38,Incrições!$D$2:$D$58,Incrições!L$2:L$58))</f>
        <v>45924</v>
      </c>
    </row>
    <row r="39" spans="1:18" x14ac:dyDescent="0.25">
      <c r="A39" s="9">
        <v>45925.361562500002</v>
      </c>
      <c r="B39" s="8" t="s">
        <v>174</v>
      </c>
      <c r="C39" s="8" t="s">
        <v>175</v>
      </c>
      <c r="D39" s="8" t="s">
        <v>176</v>
      </c>
      <c r="E39" s="8" t="s">
        <v>177</v>
      </c>
      <c r="F39" s="8" t="s">
        <v>4</v>
      </c>
      <c r="G39" s="10">
        <f>IF(_xlfn.XLOOKUP($C39,Incrições!$D$2:$D$58,Incrições!A$2:A$58)=0,"",_xlfn.XLOOKUP($C39,Incrições!$D$2:$D$58,Incrições!A$2:A$58))</f>
        <v>45919.583495370367</v>
      </c>
      <c r="H39" s="10" t="str">
        <f>IF(_xlfn.XLOOKUP($C39,Incrições!$D$2:$D$58,Incrições!B$2:B$58)=0,"",_xlfn.XLOOKUP($C39,Incrições!$D$2:$D$58,Incrições!B$2:B$58))</f>
        <v>simonerego_cbn@hotmail.com</v>
      </c>
      <c r="I39" s="10" t="str">
        <f>IF(_xlfn.XLOOKUP($C39,Incrições!$D$2:$D$58,Incrições!C$2:C$58)=0,"",_xlfn.XLOOKUP($C39,Incrições!$D$2:$D$58,Incrições!C$2:C$58))</f>
        <v>Simone da Silva Rêgo de Sousa</v>
      </c>
      <c r="J39" s="10" t="str">
        <f>IF(_xlfn.XLOOKUP($C39,Incrições!$D$2:$D$58,Incrições!D$2:D$58)=0,"",_xlfn.XLOOKUP($C39,Incrições!$D$2:$D$58,Incrições!D$2:D$58))</f>
        <v>767.007.393-49</v>
      </c>
      <c r="K39" s="10">
        <f>IF(_xlfn.XLOOKUP($C39,Incrições!$D$2:$D$58,Incrições!E$2:E$58)=0,"",_xlfn.XLOOKUP($C39,Incrições!$D$2:$D$58,Incrições!E$2:E$58))</f>
        <v>27939</v>
      </c>
      <c r="L39" s="10" t="str">
        <f>IF(_xlfn.XLOOKUP($C39,Incrições!$D$2:$D$58,Incrições!F$2:F$58)=0,"",_xlfn.XLOOKUP($C39,Incrições!$D$2:$D$58,Incrições!F$2:F$58))</f>
        <v>(66)98126-3476</v>
      </c>
      <c r="M39" s="10" t="str">
        <f>IF(_xlfn.XLOOKUP($C39,Incrições!$D$2:$D$58,Incrições!G$2:G$58)=0,"",_xlfn.XLOOKUP($C39,Incrições!$D$2:$D$58,Incrições!G$2:G$58))</f>
        <v>Canabrava do Norte (MT)</v>
      </c>
      <c r="N39" s="10" t="str">
        <f>IF(_xlfn.XLOOKUP($C39,Incrições!$D$2:$D$58,Incrições!H$2:H$58)=0,"",_xlfn.XLOOKUP($C39,Incrições!$D$2:$D$58,Incrições!H$2:H$58))</f>
        <v>CACS-FUNDEB</v>
      </c>
      <c r="O39" s="10" t="str">
        <f>IF(_xlfn.XLOOKUP($C39,Incrições!$D$2:$D$58,Incrições!I$2:I$58)=0,"",_xlfn.XLOOKUP($C39,Incrições!$D$2:$D$58,Incrições!I$2:I$58))</f>
        <v/>
      </c>
      <c r="P39" s="10" t="str">
        <f>IF(_xlfn.XLOOKUP($C39,Incrições!$D$2:$D$58,Incrições!J$2:J$58)=0,"",_xlfn.XLOOKUP($C39,Incrições!$D$2:$D$58,Incrições!J$2:J$58))</f>
        <v/>
      </c>
      <c r="Q39" s="10" t="str">
        <f>IF(_xlfn.XLOOKUP($C39,Incrições!$D$2:$D$58,Incrições!K$2:K$58)=0,"",_xlfn.XLOOKUP($C39,Incrições!$D$2:$D$58,Incrições!K$2:K$58))</f>
        <v>Suplente</v>
      </c>
      <c r="R39" s="10">
        <f>IF(_xlfn.XLOOKUP($C39,Incrições!$D$2:$D$58,Incrições!L$2:L$58)=0,"",_xlfn.XLOOKUP($C39,Incrições!$D$2:$D$58,Incrições!L$2:L$58))</f>
        <v>45925</v>
      </c>
    </row>
    <row r="40" spans="1:18" x14ac:dyDescent="0.25">
      <c r="A40" s="9">
        <v>45924.366249999999</v>
      </c>
      <c r="B40" s="9" t="s">
        <v>89</v>
      </c>
      <c r="C40" s="8" t="s">
        <v>90</v>
      </c>
      <c r="D40" s="8" t="s">
        <v>91</v>
      </c>
      <c r="E40" s="8" t="s">
        <v>92</v>
      </c>
      <c r="F40" s="8" t="s">
        <v>4</v>
      </c>
      <c r="G40" s="10">
        <f>IF(_xlfn.XLOOKUP($C40,Incrições!$D$2:$D$58,Incrições!A$2:A$58)=0,"",_xlfn.XLOOKUP($C40,Incrições!$D$2:$D$58,Incrições!A$2:A$58))</f>
        <v>45910.396284722221</v>
      </c>
      <c r="H40" s="10" t="str">
        <f>IF(_xlfn.XLOOKUP($C40,Incrições!$D$2:$D$58,Incrições!B$2:B$58)=0,"",_xlfn.XLOOKUP($C40,Incrições!$D$2:$D$58,Incrições!B$2:B$58))</f>
        <v>thaisensj@hotmail.com</v>
      </c>
      <c r="I40" s="10" t="str">
        <f>IF(_xlfn.XLOOKUP($C40,Incrições!$D$2:$D$58,Incrições!C$2:C$58)=0,"",_xlfn.XLOOKUP($C40,Incrições!$D$2:$D$58,Incrições!C$2:C$58))</f>
        <v>THAISE GEOVANNA PEREIRA SOBRINHO</v>
      </c>
      <c r="J40" s="10" t="str">
        <f>IF(_xlfn.XLOOKUP($C40,Incrições!$D$2:$D$58,Incrições!D$2:D$58)=0,"",_xlfn.XLOOKUP($C40,Incrições!$D$2:$D$58,Incrições!D$2:D$58))</f>
        <v>038.182.931-63</v>
      </c>
      <c r="K40" s="10">
        <f>IF(_xlfn.XLOOKUP($C40,Incrições!$D$2:$D$58,Incrições!E$2:E$58)=0,"",_xlfn.XLOOKUP($C40,Incrições!$D$2:$D$58,Incrições!E$2:E$58))</f>
        <v>34050</v>
      </c>
      <c r="L40" s="10" t="str">
        <f>IF(_xlfn.XLOOKUP($C40,Incrições!$D$2:$D$58,Incrições!F$2:F$58)=0,"",_xlfn.XLOOKUP($C40,Incrições!$D$2:$D$58,Incrições!F$2:F$58))</f>
        <v>(66)97400-5419</v>
      </c>
      <c r="M40" s="10" t="str">
        <f>IF(_xlfn.XLOOKUP($C40,Incrições!$D$2:$D$58,Incrições!G$2:G$58)=0,"",_xlfn.XLOOKUP($C40,Incrições!$D$2:$D$58,Incrições!G$2:G$58))</f>
        <v>Novo São Joaquim (MT)</v>
      </c>
      <c r="N40" s="10" t="str">
        <f>IF(_xlfn.XLOOKUP($C40,Incrições!$D$2:$D$58,Incrições!H$2:H$58)=0,"",_xlfn.XLOOKUP($C40,Incrições!$D$2:$D$58,Incrições!H$2:H$58))</f>
        <v>CACS-FUNDEB</v>
      </c>
      <c r="O40" s="10" t="str">
        <f>IF(_xlfn.XLOOKUP($C40,Incrições!$D$2:$D$58,Incrições!I$2:I$58)=0,"",_xlfn.XLOOKUP($C40,Incrições!$D$2:$D$58,Incrições!I$2:I$58))</f>
        <v/>
      </c>
      <c r="P40" s="10" t="str">
        <f>IF(_xlfn.XLOOKUP($C40,Incrições!$D$2:$D$58,Incrições!J$2:J$58)=0,"",_xlfn.XLOOKUP($C40,Incrições!$D$2:$D$58,Incrições!J$2:J$58))</f>
        <v/>
      </c>
      <c r="Q40" s="10" t="str">
        <f>IF(_xlfn.XLOOKUP($C40,Incrições!$D$2:$D$58,Incrições!K$2:K$58)=0,"",_xlfn.XLOOKUP($C40,Incrições!$D$2:$D$58,Incrições!K$2:K$58))</f>
        <v>RESPONSAVEL PRESTAÇÃO DE CONTAS</v>
      </c>
      <c r="R40" s="10">
        <f>IF(_xlfn.XLOOKUP($C40,Incrições!$D$2:$D$58,Incrições!L$2:L$58)=0,"",_xlfn.XLOOKUP($C40,Incrições!$D$2:$D$58,Incrições!L$2:L$58))</f>
        <v>45924</v>
      </c>
    </row>
    <row r="41" spans="1:18" x14ac:dyDescent="0.25">
      <c r="A41" s="9">
        <v>45924.367199074077</v>
      </c>
      <c r="B41" s="9" t="s">
        <v>105</v>
      </c>
      <c r="C41" s="8" t="s">
        <v>106</v>
      </c>
      <c r="D41" s="8" t="s">
        <v>107</v>
      </c>
      <c r="E41" s="8" t="s">
        <v>108</v>
      </c>
      <c r="F41" s="8" t="s">
        <v>4</v>
      </c>
      <c r="G41" s="10">
        <f>IF(_xlfn.XLOOKUP($C41,Incrições!$D$2:$D$58,Incrições!A$2:A$58)=0,"",_xlfn.XLOOKUP($C41,Incrições!$D$2:$D$58,Incrições!A$2:A$58))</f>
        <v>45910.404340277775</v>
      </c>
      <c r="H41" s="10" t="str">
        <f>IF(_xlfn.XLOOKUP($C41,Incrições!$D$2:$D$58,Incrições!B$2:B$58)=0,"",_xlfn.XLOOKUP($C41,Incrições!$D$2:$D$58,Incrições!B$2:B$58))</f>
        <v>thiagonsj@gmail.com</v>
      </c>
      <c r="I41" s="10" t="str">
        <f>IF(_xlfn.XLOOKUP($C41,Incrições!$D$2:$D$58,Incrições!C$2:C$58)=0,"",_xlfn.XLOOKUP($C41,Incrições!$D$2:$D$58,Incrições!C$2:C$58))</f>
        <v>THIAGO DE MACEDO FIGUEIRA</v>
      </c>
      <c r="J41" s="10" t="str">
        <f>IF(_xlfn.XLOOKUP($C41,Incrições!$D$2:$D$58,Incrições!D$2:D$58)=0,"",_xlfn.XLOOKUP($C41,Incrições!$D$2:$D$58,Incrições!D$2:D$58))</f>
        <v>999.089.301-25</v>
      </c>
      <c r="K41" s="10">
        <f>IF(_xlfn.XLOOKUP($C41,Incrições!$D$2:$D$58,Incrições!E$2:E$58)=0,"",_xlfn.XLOOKUP($C41,Incrições!$D$2:$D$58,Incrições!E$2:E$58))</f>
        <v>31175</v>
      </c>
      <c r="L41" s="10" t="str">
        <f>IF(_xlfn.XLOOKUP($C41,Incrições!$D$2:$D$58,Incrições!F$2:F$58)=0,"",_xlfn.XLOOKUP($C41,Incrições!$D$2:$D$58,Incrições!F$2:F$58))</f>
        <v>(66)98140-9218</v>
      </c>
      <c r="M41" s="10" t="str">
        <f>IF(_xlfn.XLOOKUP($C41,Incrições!$D$2:$D$58,Incrições!G$2:G$58)=0,"",_xlfn.XLOOKUP($C41,Incrições!$D$2:$D$58,Incrições!G$2:G$58))</f>
        <v>Novo São Joaquim (MT)</v>
      </c>
      <c r="N41" s="10" t="str">
        <f>IF(_xlfn.XLOOKUP($C41,Incrições!$D$2:$D$58,Incrições!H$2:H$58)=0,"",_xlfn.XLOOKUP($C41,Incrições!$D$2:$D$58,Incrições!H$2:H$58))</f>
        <v>Gestão municipal</v>
      </c>
      <c r="O41" s="10" t="str">
        <f>IF(_xlfn.XLOOKUP($C41,Incrições!$D$2:$D$58,Incrições!I$2:I$58)=0,"",_xlfn.XLOOKUP($C41,Incrições!$D$2:$D$58,Incrições!I$2:I$58))</f>
        <v>SECRETARIO MUNICIPAL DE EDUCAÇÃO E CULTURA</v>
      </c>
      <c r="P41" s="10" t="str">
        <f>IF(_xlfn.XLOOKUP($C41,Incrições!$D$2:$D$58,Incrições!J$2:J$58)=0,"",_xlfn.XLOOKUP($C41,Incrições!$D$2:$D$58,Incrições!J$2:J$58))</f>
        <v/>
      </c>
      <c r="Q41" s="10" t="str">
        <f>IF(_xlfn.XLOOKUP($C41,Incrições!$D$2:$D$58,Incrições!K$2:K$58)=0,"",_xlfn.XLOOKUP($C41,Incrições!$D$2:$D$58,Incrições!K$2:K$58))</f>
        <v/>
      </c>
      <c r="R41" s="10">
        <f>IF(_xlfn.XLOOKUP($C41,Incrições!$D$2:$D$58,Incrições!L$2:L$58)=0,"",_xlfn.XLOOKUP($C41,Incrições!$D$2:$D$58,Incrições!L$2:L$58))</f>
        <v>45924</v>
      </c>
    </row>
    <row r="42" spans="1:18" x14ac:dyDescent="0.25">
      <c r="A42" s="9">
        <v>45924.367152777777</v>
      </c>
      <c r="B42" s="9" t="s">
        <v>101</v>
      </c>
      <c r="C42" s="8" t="s">
        <v>102</v>
      </c>
      <c r="D42" s="8" t="s">
        <v>103</v>
      </c>
      <c r="E42" s="8" t="s">
        <v>104</v>
      </c>
      <c r="F42" s="8" t="s">
        <v>4</v>
      </c>
      <c r="G42" s="10">
        <f>IF(_xlfn.XLOOKUP($C42,Incrições!$D$2:$D$58,Incrições!A$2:A$58)=0,"",_xlfn.XLOOKUP($C42,Incrições!$D$2:$D$58,Incrições!A$2:A$58))</f>
        <v>45910.438773148147</v>
      </c>
      <c r="H42" s="10" t="str">
        <f>IF(_xlfn.XLOOKUP($C42,Incrições!$D$2:$D$58,Incrições!B$2:B$58)=0,"",_xlfn.XLOOKUP($C42,Incrições!$D$2:$D$58,Incrições!B$2:B$58))</f>
        <v>valfliene@gmail.com</v>
      </c>
      <c r="I42" s="10" t="str">
        <f>IF(_xlfn.XLOOKUP($C42,Incrições!$D$2:$D$58,Incrições!C$2:C$58)=0,"",_xlfn.XLOOKUP($C42,Incrições!$D$2:$D$58,Incrições!C$2:C$58))</f>
        <v>Valfliene Aparecida de Melo Bética</v>
      </c>
      <c r="J42" s="10" t="str">
        <f>IF(_xlfn.XLOOKUP($C42,Incrições!$D$2:$D$58,Incrições!D$2:D$58)=0,"",_xlfn.XLOOKUP($C42,Incrições!$D$2:$D$58,Incrições!D$2:D$58))</f>
        <v>889.447.351-15</v>
      </c>
      <c r="K42" s="10">
        <f>IF(_xlfn.XLOOKUP($C42,Incrições!$D$2:$D$58,Incrições!E$2:E$58)=0,"",_xlfn.XLOOKUP($C42,Incrições!$D$2:$D$58,Incrições!E$2:E$58))</f>
        <v>29786</v>
      </c>
      <c r="L42" s="10" t="str">
        <f>IF(_xlfn.XLOOKUP($C42,Incrições!$D$2:$D$58,Incrições!F$2:F$58)=0,"",_xlfn.XLOOKUP($C42,Incrições!$D$2:$D$58,Incrições!F$2:F$58))</f>
        <v>(66)99984-4248</v>
      </c>
      <c r="M42" s="10" t="str">
        <f>IF(_xlfn.XLOOKUP($C42,Incrições!$D$2:$D$58,Incrições!G$2:G$58)=0,"",_xlfn.XLOOKUP($C42,Incrições!$D$2:$D$58,Incrições!G$2:G$58))</f>
        <v>Ribeirão Cascalheira (MT)</v>
      </c>
      <c r="N42" s="10" t="str">
        <f>IF(_xlfn.XLOOKUP($C42,Incrições!$D$2:$D$58,Incrições!H$2:H$58)=0,"",_xlfn.XLOOKUP($C42,Incrições!$D$2:$D$58,Incrições!H$2:H$58))</f>
        <v>Gestão municipal</v>
      </c>
      <c r="O42" s="10" t="str">
        <f>IF(_xlfn.XLOOKUP($C42,Incrições!$D$2:$D$58,Incrições!I$2:I$58)=0,"",_xlfn.XLOOKUP($C42,Incrições!$D$2:$D$58,Incrições!I$2:I$58))</f>
        <v>Técnica Administrativa Escolar</v>
      </c>
      <c r="P42" s="10" t="str">
        <f>IF(_xlfn.XLOOKUP($C42,Incrições!$D$2:$D$58,Incrições!J$2:J$58)=0,"",_xlfn.XLOOKUP($C42,Incrições!$D$2:$D$58,Incrições!J$2:J$58))</f>
        <v/>
      </c>
      <c r="Q42" s="10" t="str">
        <f>IF(_xlfn.XLOOKUP($C42,Incrições!$D$2:$D$58,Incrições!K$2:K$58)=0,"",_xlfn.XLOOKUP($C42,Incrições!$D$2:$D$58,Incrições!K$2:K$58))</f>
        <v/>
      </c>
      <c r="R42" s="10">
        <f>IF(_xlfn.XLOOKUP($C42,Incrições!$D$2:$D$58,Incrições!L$2:L$58)=0,"",_xlfn.XLOOKUP($C42,Incrições!$D$2:$D$58,Incrições!L$2:L$58))</f>
        <v>45924</v>
      </c>
    </row>
    <row r="43" spans="1:18" x14ac:dyDescent="0.25">
      <c r="A43" s="9">
        <v>45924.362395833334</v>
      </c>
      <c r="B43" s="9" t="s">
        <v>61</v>
      </c>
      <c r="C43" s="8" t="s">
        <v>62</v>
      </c>
      <c r="D43" s="8" t="s">
        <v>63</v>
      </c>
      <c r="E43" s="8" t="s">
        <v>64</v>
      </c>
      <c r="F43" s="8" t="s">
        <v>4</v>
      </c>
      <c r="G43" s="10">
        <f>IF(_xlfn.XLOOKUP($C43,Incrições!$D$2:$D$58,Incrições!A$2:A$58)=0,"",_xlfn.XLOOKUP($C43,Incrições!$D$2:$D$58,Incrições!A$2:A$58))</f>
        <v>45912.664490740739</v>
      </c>
      <c r="H43" s="10" t="str">
        <f>IF(_xlfn.XLOOKUP($C43,Incrições!$D$2:$D$58,Incrições!B$2:B$58)=0,"",_xlfn.XLOOKUP($C43,Incrições!$D$2:$D$58,Incrições!B$2:B$58))</f>
        <v>vanianevessilva@hotmail.com</v>
      </c>
      <c r="I43" s="10" t="str">
        <f>IF(_xlfn.XLOOKUP($C43,Incrições!$D$2:$D$58,Incrições!C$2:C$58)=0,"",_xlfn.XLOOKUP($C43,Incrições!$D$2:$D$58,Incrições!C$2:C$58))</f>
        <v>Vânia Aparecida Neves Nogueira</v>
      </c>
      <c r="J43" s="10" t="str">
        <f>IF(_xlfn.XLOOKUP($C43,Incrições!$D$2:$D$58,Incrições!D$2:D$58)=0,"",_xlfn.XLOOKUP($C43,Incrições!$D$2:$D$58,Incrições!D$2:D$58))</f>
        <v>357.876.668-28</v>
      </c>
      <c r="K43" s="10">
        <f>IF(_xlfn.XLOOKUP($C43,Incrições!$D$2:$D$58,Incrições!E$2:E$58)=0,"",_xlfn.XLOOKUP($C43,Incrições!$D$2:$D$58,Incrições!E$2:E$58))</f>
        <v>32775</v>
      </c>
      <c r="L43" s="10" t="str">
        <f>IF(_xlfn.XLOOKUP($C43,Incrições!$D$2:$D$58,Incrições!F$2:F$58)=0,"",_xlfn.XLOOKUP($C43,Incrições!$D$2:$D$58,Incrições!F$2:F$58))</f>
        <v>(66)99931-2629</v>
      </c>
      <c r="M43" s="10" t="str">
        <f>IF(_xlfn.XLOOKUP($C43,Incrições!$D$2:$D$58,Incrições!G$2:G$58)=0,"",_xlfn.XLOOKUP($C43,Incrições!$D$2:$D$58,Incrições!G$2:G$58))</f>
        <v>Água Boa (MT)</v>
      </c>
      <c r="N43" s="10" t="str">
        <f>IF(_xlfn.XLOOKUP($C43,Incrições!$D$2:$D$58,Incrições!H$2:H$58)=0,"",_xlfn.XLOOKUP($C43,Incrições!$D$2:$D$58,Incrições!H$2:H$58))</f>
        <v>CACS-FUNDEB</v>
      </c>
      <c r="O43" s="10" t="str">
        <f>IF(_xlfn.XLOOKUP($C43,Incrições!$D$2:$D$58,Incrições!I$2:I$58)=0,"",_xlfn.XLOOKUP($C43,Incrições!$D$2:$D$58,Incrições!I$2:I$58))</f>
        <v/>
      </c>
      <c r="P43" s="10" t="str">
        <f>IF(_xlfn.XLOOKUP($C43,Incrições!$D$2:$D$58,Incrições!J$2:J$58)=0,"",_xlfn.XLOOKUP($C43,Incrições!$D$2:$D$58,Incrições!J$2:J$58))</f>
        <v/>
      </c>
      <c r="Q43" s="10" t="str">
        <f>IF(_xlfn.XLOOKUP($C43,Incrições!$D$2:$D$58,Incrições!K$2:K$58)=0,"",_xlfn.XLOOKUP($C43,Incrições!$D$2:$D$58,Incrições!K$2:K$58))</f>
        <v>Tecnica prestação de contas transporte escolar</v>
      </c>
      <c r="R43" s="10">
        <f>IF(_xlfn.XLOOKUP($C43,Incrições!$D$2:$D$58,Incrições!L$2:L$58)=0,"",_xlfn.XLOOKUP($C43,Incrições!$D$2:$D$58,Incrições!L$2:L$58))</f>
        <v>45924</v>
      </c>
    </row>
    <row r="44" spans="1:18" x14ac:dyDescent="0.25">
      <c r="A44" s="5">
        <v>45924.358275462961</v>
      </c>
      <c r="B44" s="5" t="s">
        <v>25</v>
      </c>
      <c r="C44" s="6" t="s">
        <v>26</v>
      </c>
      <c r="D44" s="6" t="s">
        <v>27</v>
      </c>
      <c r="E44" s="6" t="s">
        <v>28</v>
      </c>
      <c r="F44" s="6" t="s">
        <v>4</v>
      </c>
      <c r="G44" s="7" t="e">
        <f>IF(_xlfn.XLOOKUP($C44,Incrições!$D$2:$D$58,Incrições!A$2:A$58)=0,"",_xlfn.XLOOKUP($C44,Incrições!$D$2:$D$58,Incrições!A$2:A$58))</f>
        <v>#N/A</v>
      </c>
      <c r="H44" s="7" t="e">
        <f>IF(_xlfn.XLOOKUP($C44,Incrições!$D$2:$D$58,Incrições!B$2:B$58)=0,"",_xlfn.XLOOKUP($C44,Incrições!$D$2:$D$58,Incrições!B$2:B$58))</f>
        <v>#N/A</v>
      </c>
      <c r="I44" s="7" t="e">
        <f>IF(_xlfn.XLOOKUP($C44,Incrições!$D$2:$D$58,Incrições!C$2:C$58)=0,"",_xlfn.XLOOKUP($C44,Incrições!$D$2:$D$58,Incrições!C$2:C$58))</f>
        <v>#N/A</v>
      </c>
      <c r="J44" s="7" t="e">
        <f>IF(_xlfn.XLOOKUP($C44,Incrições!$D$2:$D$58,Incrições!D$2:D$58)=0,"",_xlfn.XLOOKUP($C44,Incrições!$D$2:$D$58,Incrições!D$2:D$58))</f>
        <v>#N/A</v>
      </c>
      <c r="K44" s="7" t="e">
        <f>IF(_xlfn.XLOOKUP($C44,Incrições!$D$2:$D$58,Incrições!E$2:E$58)=0,"",_xlfn.XLOOKUP($C44,Incrições!$D$2:$D$58,Incrições!E$2:E$58))</f>
        <v>#N/A</v>
      </c>
      <c r="L44" s="7" t="e">
        <f>IF(_xlfn.XLOOKUP($C44,Incrições!$D$2:$D$58,Incrições!F$2:F$58)=0,"",_xlfn.XLOOKUP($C44,Incrições!$D$2:$D$58,Incrições!F$2:F$58))</f>
        <v>#N/A</v>
      </c>
      <c r="M44" s="10" t="s">
        <v>194</v>
      </c>
      <c r="N44" s="10" t="s">
        <v>169</v>
      </c>
      <c r="O44" s="7" t="e">
        <f>IF(_xlfn.XLOOKUP($C44,Incrições!$D$2:$D$58,Incrições!I$2:I$58)=0,"",_xlfn.XLOOKUP($C44,Incrições!$D$2:$D$58,Incrições!I$2:I$58))</f>
        <v>#N/A</v>
      </c>
      <c r="P44" s="7" t="e">
        <f>IF(_xlfn.XLOOKUP($C44,Incrições!$D$2:$D$58,Incrições!J$2:J$58)=0,"",_xlfn.XLOOKUP($C44,Incrições!$D$2:$D$58,Incrições!J$2:J$58))</f>
        <v>#N/A</v>
      </c>
      <c r="Q44" s="7" t="e">
        <f>IF(_xlfn.XLOOKUP($C44,Incrições!$D$2:$D$58,Incrições!K$2:K$58)=0,"",_xlfn.XLOOKUP($C44,Incrições!$D$2:$D$58,Incrições!K$2:K$58))</f>
        <v>#N/A</v>
      </c>
      <c r="R44" s="7" t="e">
        <f>IF(_xlfn.XLOOKUP($C44,Incrições!$D$2:$D$58,Incrições!L$2:L$58)=0,"",_xlfn.XLOOKUP($C44,Incrições!$D$2:$D$58,Incrições!L$2:L$58))</f>
        <v>#N/A</v>
      </c>
    </row>
    <row r="45" spans="1:18" x14ac:dyDescent="0.25">
      <c r="A45" s="5">
        <v>45924.3596412037</v>
      </c>
      <c r="B45" s="5" t="s">
        <v>53</v>
      </c>
      <c r="C45" s="6" t="s">
        <v>54</v>
      </c>
      <c r="D45" s="6" t="s">
        <v>55</v>
      </c>
      <c r="E45" s="6" t="s">
        <v>56</v>
      </c>
      <c r="F45" s="6" t="s">
        <v>4</v>
      </c>
      <c r="G45" s="7" t="e">
        <f>IF(_xlfn.XLOOKUP($C45,Incrições!$D$2:$D$58,Incrições!A$2:A$58)=0,"",_xlfn.XLOOKUP($C45,Incrições!$D$2:$D$58,Incrições!A$2:A$58))</f>
        <v>#N/A</v>
      </c>
      <c r="H45" s="7" t="e">
        <f>IF(_xlfn.XLOOKUP($C45,Incrições!$D$2:$D$58,Incrições!B$2:B$58)=0,"",_xlfn.XLOOKUP($C45,Incrições!$D$2:$D$58,Incrições!B$2:B$58))</f>
        <v>#N/A</v>
      </c>
      <c r="I45" s="7" t="e">
        <f>IF(_xlfn.XLOOKUP($C45,Incrições!$D$2:$D$58,Incrições!C$2:C$58)=0,"",_xlfn.XLOOKUP($C45,Incrições!$D$2:$D$58,Incrições!C$2:C$58))</f>
        <v>#N/A</v>
      </c>
      <c r="J45" s="7" t="e">
        <f>IF(_xlfn.XLOOKUP($C45,Incrições!$D$2:$D$58,Incrições!D$2:D$58)=0,"",_xlfn.XLOOKUP($C45,Incrições!$D$2:$D$58,Incrições!D$2:D$58))</f>
        <v>#N/A</v>
      </c>
      <c r="K45" s="7" t="e">
        <f>IF(_xlfn.XLOOKUP($C45,Incrições!$D$2:$D$58,Incrições!E$2:E$58)=0,"",_xlfn.XLOOKUP($C45,Incrições!$D$2:$D$58,Incrições!E$2:E$58))</f>
        <v>#N/A</v>
      </c>
      <c r="L45" s="7" t="e">
        <f>IF(_xlfn.XLOOKUP($C45,Incrições!$D$2:$D$58,Incrições!F$2:F$58)=0,"",_xlfn.XLOOKUP($C45,Incrições!$D$2:$D$58,Incrições!F$2:F$58))</f>
        <v>#N/A</v>
      </c>
      <c r="M45" s="10" t="s">
        <v>361</v>
      </c>
      <c r="N45" s="10" t="s">
        <v>169</v>
      </c>
      <c r="O45" s="7" t="e">
        <f>IF(_xlfn.XLOOKUP($C45,Incrições!$D$2:$D$58,Incrições!I$2:I$58)=0,"",_xlfn.XLOOKUP($C45,Incrições!$D$2:$D$58,Incrições!I$2:I$58))</f>
        <v>#N/A</v>
      </c>
      <c r="P45" s="7" t="e">
        <f>IF(_xlfn.XLOOKUP($C45,Incrições!$D$2:$D$58,Incrições!J$2:J$58)=0,"",_xlfn.XLOOKUP($C45,Incrições!$D$2:$D$58,Incrições!J$2:J$58))</f>
        <v>#N/A</v>
      </c>
      <c r="Q45" s="7" t="e">
        <f>IF(_xlfn.XLOOKUP($C45,Incrições!$D$2:$D$58,Incrições!K$2:K$58)=0,"",_xlfn.XLOOKUP($C45,Incrições!$D$2:$D$58,Incrições!K$2:K$58))</f>
        <v>#N/A</v>
      </c>
      <c r="R45" s="7" t="e">
        <f>IF(_xlfn.XLOOKUP($C45,Incrições!$D$2:$D$58,Incrições!L$2:L$58)=0,"",_xlfn.XLOOKUP($C45,Incrições!$D$2:$D$58,Incrições!L$2:L$58))</f>
        <v>#N/A</v>
      </c>
    </row>
    <row r="46" spans="1:18" x14ac:dyDescent="0.25">
      <c r="A46" s="5">
        <v>45924.363159722219</v>
      </c>
      <c r="B46" s="5" t="s">
        <v>69</v>
      </c>
      <c r="C46" s="6" t="s">
        <v>70</v>
      </c>
      <c r="D46" s="6" t="s">
        <v>71</v>
      </c>
      <c r="E46" s="6" t="s">
        <v>72</v>
      </c>
      <c r="F46" s="6" t="s">
        <v>4</v>
      </c>
      <c r="G46" s="7" t="e">
        <f>IF(_xlfn.XLOOKUP($C46,Incrições!$D$2:$D$58,Incrições!A$2:A$58)=0,"",_xlfn.XLOOKUP($C46,Incrições!$D$2:$D$58,Incrições!A$2:A$58))</f>
        <v>#N/A</v>
      </c>
      <c r="H46" s="7" t="e">
        <f>IF(_xlfn.XLOOKUP($C46,Incrições!$D$2:$D$58,Incrições!B$2:B$58)=0,"",_xlfn.XLOOKUP($C46,Incrições!$D$2:$D$58,Incrições!B$2:B$58))</f>
        <v>#N/A</v>
      </c>
      <c r="I46" s="7" t="e">
        <f>IF(_xlfn.XLOOKUP($C46,Incrições!$D$2:$D$58,Incrições!C$2:C$58)=0,"",_xlfn.XLOOKUP($C46,Incrições!$D$2:$D$58,Incrições!C$2:C$58))</f>
        <v>#N/A</v>
      </c>
      <c r="J46" s="7" t="e">
        <f>IF(_xlfn.XLOOKUP($C46,Incrições!$D$2:$D$58,Incrições!D$2:D$58)=0,"",_xlfn.XLOOKUP($C46,Incrições!$D$2:$D$58,Incrições!D$2:D$58))</f>
        <v>#N/A</v>
      </c>
      <c r="K46" s="7" t="e">
        <f>IF(_xlfn.XLOOKUP($C46,Incrições!$D$2:$D$58,Incrições!E$2:E$58)=0,"",_xlfn.XLOOKUP($C46,Incrições!$D$2:$D$58,Incrições!E$2:E$58))</f>
        <v>#N/A</v>
      </c>
      <c r="L46" s="7" t="e">
        <f>IF(_xlfn.XLOOKUP($C46,Incrições!$D$2:$D$58,Incrições!F$2:F$58)=0,"",_xlfn.XLOOKUP($C46,Incrições!$D$2:$D$58,Incrições!F$2:F$58))</f>
        <v>#N/A</v>
      </c>
      <c r="M46" s="7" t="s">
        <v>210</v>
      </c>
      <c r="N46" s="7" t="s">
        <v>169</v>
      </c>
      <c r="O46" s="7" t="e">
        <f>IF(_xlfn.XLOOKUP($C46,Incrições!$D$2:$D$58,Incrições!I$2:I$58)=0,"",_xlfn.XLOOKUP($C46,Incrições!$D$2:$D$58,Incrições!I$2:I$58))</f>
        <v>#N/A</v>
      </c>
      <c r="P46" s="7" t="e">
        <f>IF(_xlfn.XLOOKUP($C46,Incrições!$D$2:$D$58,Incrições!J$2:J$58)=0,"",_xlfn.XLOOKUP($C46,Incrições!$D$2:$D$58,Incrições!J$2:J$58))</f>
        <v>#N/A</v>
      </c>
      <c r="Q46" s="7" t="e">
        <f>IF(_xlfn.XLOOKUP($C46,Incrições!$D$2:$D$58,Incrições!K$2:K$58)=0,"",_xlfn.XLOOKUP($C46,Incrições!$D$2:$D$58,Incrições!K$2:K$58))</f>
        <v>#N/A</v>
      </c>
      <c r="R46" s="7" t="e">
        <f>IF(_xlfn.XLOOKUP($C46,Incrições!$D$2:$D$58,Incrições!L$2:L$58)=0,"",_xlfn.XLOOKUP($C46,Incrições!$D$2:$D$58,Incrições!L$2:L$58))</f>
        <v>#N/A</v>
      </c>
    </row>
    <row r="47" spans="1:18" x14ac:dyDescent="0.25">
      <c r="A47" s="14">
        <v>45925.349050925928</v>
      </c>
      <c r="B47" s="14" t="s">
        <v>129</v>
      </c>
      <c r="C47" s="15" t="s">
        <v>130</v>
      </c>
      <c r="D47" s="15" t="s">
        <v>131</v>
      </c>
      <c r="E47" s="15" t="s">
        <v>132</v>
      </c>
      <c r="F47" s="15" t="s">
        <v>4</v>
      </c>
      <c r="G47" s="16" t="e">
        <f>IF(_xlfn.XLOOKUP($C47,Incrições!$D$2:$D$58,Incrições!A$2:A$58)=0,"",_xlfn.XLOOKUP($C47,Incrições!$D$2:$D$58,Incrições!A$2:A$58))</f>
        <v>#N/A</v>
      </c>
      <c r="H47" s="16" t="e">
        <f>IF(_xlfn.XLOOKUP($C47,Incrições!$D$2:$D$58,Incrições!B$2:B$58)=0,"",_xlfn.XLOOKUP($C47,Incrições!$D$2:$D$58,Incrições!B$2:B$58))</f>
        <v>#N/A</v>
      </c>
      <c r="I47" s="16" t="e">
        <f>IF(_xlfn.XLOOKUP($C47,Incrições!$D$2:$D$58,Incrições!C$2:C$58)=0,"",_xlfn.XLOOKUP($C47,Incrições!$D$2:$D$58,Incrições!C$2:C$58))</f>
        <v>#N/A</v>
      </c>
      <c r="J47" s="16" t="e">
        <f>IF(_xlfn.XLOOKUP($C47,Incrições!$D$2:$D$58,Incrições!D$2:D$58)=0,"",_xlfn.XLOOKUP($C47,Incrições!$D$2:$D$58,Incrições!D$2:D$58))</f>
        <v>#N/A</v>
      </c>
      <c r="K47" s="16" t="e">
        <f>IF(_xlfn.XLOOKUP($C47,Incrições!$D$2:$D$58,Incrições!E$2:E$58)=0,"",_xlfn.XLOOKUP($C47,Incrições!$D$2:$D$58,Incrições!E$2:E$58))</f>
        <v>#N/A</v>
      </c>
      <c r="L47" s="16" t="e">
        <f>IF(_xlfn.XLOOKUP($C47,Incrições!$D$2:$D$58,Incrições!F$2:F$58)=0,"",_xlfn.XLOOKUP($C47,Incrições!$D$2:$D$58,Incrições!F$2:F$58))</f>
        <v>#N/A</v>
      </c>
      <c r="M47" s="16" t="s">
        <v>168</v>
      </c>
      <c r="N47" s="16" t="s">
        <v>169</v>
      </c>
      <c r="O47" s="16" t="e">
        <f>IF(_xlfn.XLOOKUP($C47,Incrições!$D$2:$D$58,Incrições!I$2:I$58)=0,"",_xlfn.XLOOKUP($C47,Incrições!$D$2:$D$58,Incrições!I$2:I$58))</f>
        <v>#N/A</v>
      </c>
      <c r="P47" s="16" t="e">
        <f>IF(_xlfn.XLOOKUP($C47,Incrições!$D$2:$D$58,Incrições!J$2:J$58)=0,"",_xlfn.XLOOKUP($C47,Incrições!$D$2:$D$58,Incrições!J$2:J$58))</f>
        <v>#N/A</v>
      </c>
      <c r="Q47" s="16" t="e">
        <f>IF(_xlfn.XLOOKUP($C47,Incrições!$D$2:$D$58,Incrições!K$2:K$58)=0,"",_xlfn.XLOOKUP($C47,Incrições!$D$2:$D$58,Incrições!K$2:K$58))</f>
        <v>#N/A</v>
      </c>
      <c r="R47" s="16" t="e">
        <f>IF(_xlfn.XLOOKUP($C47,Incrições!$D$2:$D$58,Incrições!L$2:L$58)=0,"",_xlfn.XLOOKUP($C47,Incrições!$D$2:$D$58,Incrições!L$2:L$58))</f>
        <v>#N/A</v>
      </c>
    </row>
    <row r="48" spans="1:18" x14ac:dyDescent="0.25">
      <c r="A48" s="14">
        <v>45925.35392361111</v>
      </c>
      <c r="B48" s="14" t="s">
        <v>137</v>
      </c>
      <c r="C48" s="15" t="s">
        <v>138</v>
      </c>
      <c r="D48" s="15" t="s">
        <v>139</v>
      </c>
      <c r="E48" s="15" t="s">
        <v>140</v>
      </c>
      <c r="F48" s="15" t="s">
        <v>4</v>
      </c>
      <c r="G48" s="16" t="e">
        <f>IF(_xlfn.XLOOKUP($C48,Incrições!$D$2:$D$58,Incrições!A$2:A$58)=0,"",_xlfn.XLOOKUP($C48,Incrições!$D$2:$D$58,Incrições!A$2:A$58))</f>
        <v>#N/A</v>
      </c>
      <c r="H48" s="16" t="e">
        <f>IF(_xlfn.XLOOKUP($C48,Incrições!$D$2:$D$58,Incrições!B$2:B$58)=0,"",_xlfn.XLOOKUP($C48,Incrições!$D$2:$D$58,Incrições!B$2:B$58))</f>
        <v>#N/A</v>
      </c>
      <c r="I48" s="16" t="e">
        <f>IF(_xlfn.XLOOKUP($C48,Incrições!$D$2:$D$58,Incrições!C$2:C$58)=0,"",_xlfn.XLOOKUP($C48,Incrições!$D$2:$D$58,Incrições!C$2:C$58))</f>
        <v>#N/A</v>
      </c>
      <c r="J48" s="16" t="e">
        <f>IF(_xlfn.XLOOKUP($C48,Incrições!$D$2:$D$58,Incrições!D$2:D$58)=0,"",_xlfn.XLOOKUP($C48,Incrições!$D$2:$D$58,Incrições!D$2:D$58))</f>
        <v>#N/A</v>
      </c>
      <c r="K48" s="16" t="e">
        <f>IF(_xlfn.XLOOKUP($C48,Incrições!$D$2:$D$58,Incrições!E$2:E$58)=0,"",_xlfn.XLOOKUP($C48,Incrições!$D$2:$D$58,Incrições!E$2:E$58))</f>
        <v>#N/A</v>
      </c>
      <c r="L48" s="16" t="e">
        <f>IF(_xlfn.XLOOKUP($C48,Incrições!$D$2:$D$58,Incrições!F$2:F$58)=0,"",_xlfn.XLOOKUP($C48,Incrições!$D$2:$D$58,Incrições!F$2:F$58))</f>
        <v>#N/A</v>
      </c>
      <c r="M48" s="16" t="s">
        <v>354</v>
      </c>
      <c r="N48" s="16" t="s">
        <v>169</v>
      </c>
      <c r="O48" s="16" t="e">
        <f>IF(_xlfn.XLOOKUP($C48,Incrições!$D$2:$D$58,Incrições!I$2:I$58)=0,"",_xlfn.XLOOKUP($C48,Incrições!$D$2:$D$58,Incrições!I$2:I$58))</f>
        <v>#N/A</v>
      </c>
      <c r="P48" s="16" t="e">
        <f>IF(_xlfn.XLOOKUP($C48,Incrições!$D$2:$D$58,Incrições!J$2:J$58)=0,"",_xlfn.XLOOKUP($C48,Incrições!$D$2:$D$58,Incrições!J$2:J$58))</f>
        <v>#N/A</v>
      </c>
      <c r="Q48" s="16" t="e">
        <f>IF(_xlfn.XLOOKUP($C48,Incrições!$D$2:$D$58,Incrições!K$2:K$58)=0,"",_xlfn.XLOOKUP($C48,Incrições!$D$2:$D$58,Incrições!K$2:K$58))</f>
        <v>#N/A</v>
      </c>
      <c r="R48" s="16" t="e">
        <f>IF(_xlfn.XLOOKUP($C48,Incrições!$D$2:$D$58,Incrições!L$2:L$58)=0,"",_xlfn.XLOOKUP($C48,Incrições!$D$2:$D$58,Incrições!L$2:L$58))</f>
        <v>#N/A</v>
      </c>
    </row>
    <row r="49" spans="1:18" x14ac:dyDescent="0.25">
      <c r="A49" s="11">
        <v>45925.357349537036</v>
      </c>
      <c r="B49" s="11" t="s">
        <v>147</v>
      </c>
      <c r="C49" s="12" t="s">
        <v>148</v>
      </c>
      <c r="D49" s="12" t="s">
        <v>149</v>
      </c>
      <c r="E49" s="12" t="s">
        <v>150</v>
      </c>
      <c r="F49" s="12" t="s">
        <v>4</v>
      </c>
      <c r="G49" s="17" t="e">
        <f>IF(_xlfn.XLOOKUP($C49,Incrições!$D$2:$D$58,Incrições!A$2:A$58)=0,"",_xlfn.XLOOKUP($C49,Incrições!$D$2:$D$58,Incrições!A$2:A$58))</f>
        <v>#N/A</v>
      </c>
      <c r="H49" s="17" t="e">
        <f>IF(_xlfn.XLOOKUP($C49,Incrições!$D$2:$D$58,Incrições!B$2:B$58)=0,"",_xlfn.XLOOKUP($C49,Incrições!$D$2:$D$58,Incrições!B$2:B$58))</f>
        <v>#N/A</v>
      </c>
      <c r="I49" s="17" t="e">
        <f>IF(_xlfn.XLOOKUP($C49,Incrições!$D$2:$D$58,Incrições!C$2:C$58)=0,"",_xlfn.XLOOKUP($C49,Incrições!$D$2:$D$58,Incrições!C$2:C$58))</f>
        <v>#N/A</v>
      </c>
      <c r="J49" s="17" t="e">
        <f>IF(_xlfn.XLOOKUP($C49,Incrições!$D$2:$D$58,Incrições!D$2:D$58)=0,"",_xlfn.XLOOKUP($C49,Incrições!$D$2:$D$58,Incrições!D$2:D$58))</f>
        <v>#N/A</v>
      </c>
      <c r="K49" s="13" t="e">
        <f>IF(_xlfn.XLOOKUP($C49,Incrições!$D$2:$D$58,Incrições!E$2:E$58)=0,"",_xlfn.XLOOKUP($C49,Incrições!$D$2:$D$58,Incrições!E$2:E$58))</f>
        <v>#N/A</v>
      </c>
      <c r="L49" s="13" t="e">
        <f>IF(_xlfn.XLOOKUP($C49,Incrições!$D$2:$D$58,Incrições!F$2:F$58)=0,"",_xlfn.XLOOKUP($C49,Incrições!$D$2:$D$58,Incrições!F$2:F$58))</f>
        <v>#N/A</v>
      </c>
      <c r="M49" s="13" t="s">
        <v>168</v>
      </c>
      <c r="N49" s="13" t="s">
        <v>169</v>
      </c>
      <c r="O49" s="13" t="e">
        <f>IF(_xlfn.XLOOKUP($C49,Incrições!$D$2:$D$58,Incrições!I$2:I$58)=0,"",_xlfn.XLOOKUP($C49,Incrições!$D$2:$D$58,Incrições!I$2:I$58))</f>
        <v>#N/A</v>
      </c>
      <c r="P49" s="13" t="e">
        <f>IF(_xlfn.XLOOKUP($C49,Incrições!$D$2:$D$58,Incrições!J$2:J$58)=0,"",_xlfn.XLOOKUP($C49,Incrições!$D$2:$D$58,Incrições!J$2:J$58))</f>
        <v>#N/A</v>
      </c>
      <c r="Q49" s="13" t="e">
        <f>IF(_xlfn.XLOOKUP($C49,Incrições!$D$2:$D$58,Incrições!K$2:K$58)=0,"",_xlfn.XLOOKUP($C49,Incrições!$D$2:$D$58,Incrições!K$2:K$58))</f>
        <v>#N/A</v>
      </c>
      <c r="R49" s="13" t="e">
        <f>IF(_xlfn.XLOOKUP($C49,Incrições!$D$2:$D$58,Incrições!L$2:L$58)=0,"",_xlfn.XLOOKUP($C49,Incrições!$D$2:$D$58,Incrições!L$2:L$58))</f>
        <v>#N/A</v>
      </c>
    </row>
  </sheetData>
  <autoFilter ref="A1:AV145" xr:uid="{51149DEB-AC28-4400-BDE6-788EB8F4B879}"/>
  <sortState xmlns:xlrd2="http://schemas.microsoft.com/office/spreadsheetml/2017/richdata2" ref="A2:S145">
    <sortCondition ref="H2:H14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423F-6C37-499F-A7EA-0D4D89E644C9}">
  <dimension ref="A1:L58"/>
  <sheetViews>
    <sheetView topLeftCell="A31" zoomScale="85" zoomScaleNormal="85" workbookViewId="0">
      <selection activeCell="G15" sqref="G15"/>
    </sheetView>
  </sheetViews>
  <sheetFormatPr defaultRowHeight="15" x14ac:dyDescent="0.25"/>
  <cols>
    <col min="1" max="1" width="20.7109375" style="3" bestFit="1" customWidth="1"/>
    <col min="2" max="2" width="44.28515625" style="3" bestFit="1" customWidth="1"/>
    <col min="3" max="3" width="39.85546875" style="3" bestFit="1" customWidth="1"/>
    <col min="4" max="4" width="14" style="3" bestFit="1" customWidth="1"/>
    <col min="5" max="5" width="19.140625" style="3" bestFit="1" customWidth="1"/>
    <col min="6" max="6" width="24" style="3" bestFit="1" customWidth="1"/>
    <col min="7" max="7" width="26.85546875" style="3" bestFit="1" customWidth="1"/>
    <col min="8" max="8" width="16.7109375" style="3" bestFit="1" customWidth="1"/>
    <col min="9" max="9" width="47.85546875" style="3" bestFit="1" customWidth="1"/>
    <col min="10" max="10" width="208.42578125" style="3" bestFit="1" customWidth="1"/>
    <col min="11" max="11" width="60.7109375" style="3" bestFit="1" customWidth="1"/>
    <col min="12" max="12" width="10.42578125" style="3" bestFit="1" customWidth="1"/>
    <col min="13" max="16384" width="9.140625" style="3"/>
  </cols>
  <sheetData>
    <row r="1" spans="1:12" s="1" customFormat="1" x14ac:dyDescent="0.2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</row>
    <row r="2" spans="1:12" x14ac:dyDescent="0.25">
      <c r="A2" s="2">
        <v>45910.600451388891</v>
      </c>
      <c r="B2" s="3" t="s">
        <v>316</v>
      </c>
      <c r="C2" s="3" t="s">
        <v>317</v>
      </c>
      <c r="D2" s="3" t="s">
        <v>318</v>
      </c>
      <c r="E2" s="4">
        <v>30577</v>
      </c>
      <c r="F2" s="3" t="s">
        <v>319</v>
      </c>
      <c r="G2" s="3" t="s">
        <v>273</v>
      </c>
      <c r="H2" s="3" t="s">
        <v>169</v>
      </c>
      <c r="I2" s="3" t="s">
        <v>320</v>
      </c>
      <c r="L2" s="4">
        <v>45925</v>
      </c>
    </row>
    <row r="3" spans="1:12" x14ac:dyDescent="0.25">
      <c r="A3" s="2">
        <v>45908.468888888892</v>
      </c>
      <c r="B3" s="3" t="s">
        <v>124</v>
      </c>
      <c r="C3" s="3" t="s">
        <v>121</v>
      </c>
      <c r="D3" s="3" t="s">
        <v>122</v>
      </c>
      <c r="E3" s="4">
        <v>31275</v>
      </c>
      <c r="F3" s="3" t="s">
        <v>165</v>
      </c>
      <c r="G3" s="3" t="s">
        <v>168</v>
      </c>
      <c r="H3" s="3" t="s">
        <v>195</v>
      </c>
      <c r="K3" s="3" t="s">
        <v>281</v>
      </c>
      <c r="L3" s="4">
        <v>45925</v>
      </c>
    </row>
    <row r="4" spans="1:12" x14ac:dyDescent="0.25">
      <c r="A4" s="2">
        <v>45908.474305555559</v>
      </c>
      <c r="B4" s="3" t="s">
        <v>124</v>
      </c>
      <c r="C4" s="3" t="s">
        <v>121</v>
      </c>
      <c r="D4" s="3" t="s">
        <v>122</v>
      </c>
      <c r="E4" s="4">
        <v>31275</v>
      </c>
      <c r="F4" s="3" t="s">
        <v>123</v>
      </c>
      <c r="G4" s="3" t="s">
        <v>168</v>
      </c>
      <c r="H4" s="3" t="s">
        <v>195</v>
      </c>
      <c r="K4" s="3" t="s">
        <v>282</v>
      </c>
      <c r="L4" s="4">
        <v>45925</v>
      </c>
    </row>
    <row r="5" spans="1:12" x14ac:dyDescent="0.25">
      <c r="A5" s="2">
        <v>45916.681550925925</v>
      </c>
      <c r="B5" s="3" t="s">
        <v>253</v>
      </c>
      <c r="C5" s="3" t="s">
        <v>254</v>
      </c>
      <c r="D5" s="3" t="s">
        <v>255</v>
      </c>
      <c r="E5" s="4">
        <v>30535</v>
      </c>
      <c r="F5" s="3" t="s">
        <v>256</v>
      </c>
      <c r="G5" s="3" t="s">
        <v>257</v>
      </c>
      <c r="H5" s="3" t="s">
        <v>169</v>
      </c>
      <c r="I5" s="3" t="s">
        <v>258</v>
      </c>
      <c r="L5" s="4">
        <v>45924</v>
      </c>
    </row>
    <row r="6" spans="1:12" x14ac:dyDescent="0.25">
      <c r="A6" s="2">
        <v>45925.358055555553</v>
      </c>
      <c r="B6" s="3" t="s">
        <v>173</v>
      </c>
      <c r="C6" s="3" t="s">
        <v>170</v>
      </c>
      <c r="D6" s="3" t="s">
        <v>171</v>
      </c>
      <c r="E6" s="4">
        <v>30616</v>
      </c>
      <c r="F6" s="3" t="s">
        <v>172</v>
      </c>
      <c r="G6" s="3" t="s">
        <v>265</v>
      </c>
      <c r="H6" s="3" t="s">
        <v>169</v>
      </c>
      <c r="I6" s="3" t="s">
        <v>338</v>
      </c>
      <c r="L6" s="4">
        <v>45925</v>
      </c>
    </row>
    <row r="7" spans="1:12" x14ac:dyDescent="0.25">
      <c r="A7" s="2">
        <v>45908.653680555559</v>
      </c>
      <c r="B7" s="3" t="s">
        <v>216</v>
      </c>
      <c r="C7" s="3" t="s">
        <v>33</v>
      </c>
      <c r="D7" s="3" t="s">
        <v>34</v>
      </c>
      <c r="E7" s="4">
        <v>29948</v>
      </c>
      <c r="F7" s="3" t="s">
        <v>35</v>
      </c>
      <c r="G7" s="3" t="s">
        <v>201</v>
      </c>
      <c r="H7" s="3" t="s">
        <v>195</v>
      </c>
      <c r="K7" s="3" t="s">
        <v>217</v>
      </c>
      <c r="L7" s="4">
        <v>45924</v>
      </c>
    </row>
    <row r="8" spans="1:12" x14ac:dyDescent="0.25">
      <c r="A8" s="2">
        <v>45908.478703703702</v>
      </c>
      <c r="B8" s="3" t="s">
        <v>166</v>
      </c>
      <c r="C8" s="3" t="s">
        <v>163</v>
      </c>
      <c r="D8" s="3" t="s">
        <v>164</v>
      </c>
      <c r="E8" s="4">
        <v>30150</v>
      </c>
      <c r="F8" s="3" t="s">
        <v>165</v>
      </c>
      <c r="G8" s="3" t="s">
        <v>168</v>
      </c>
      <c r="H8" s="3" t="s">
        <v>169</v>
      </c>
      <c r="I8" s="3" t="s">
        <v>289</v>
      </c>
      <c r="L8" s="4">
        <v>45925</v>
      </c>
    </row>
    <row r="9" spans="1:12" x14ac:dyDescent="0.25">
      <c r="A9" s="2">
        <v>45910.575868055559</v>
      </c>
      <c r="B9" s="3" t="s">
        <v>120</v>
      </c>
      <c r="C9" s="3" t="s">
        <v>117</v>
      </c>
      <c r="D9" s="3" t="s">
        <v>118</v>
      </c>
      <c r="E9" s="4">
        <v>31291</v>
      </c>
      <c r="F9" s="3" t="s">
        <v>119</v>
      </c>
      <c r="G9" s="3" t="s">
        <v>294</v>
      </c>
      <c r="H9" s="3" t="s">
        <v>195</v>
      </c>
      <c r="K9" s="3" t="s">
        <v>304</v>
      </c>
      <c r="L9" s="4">
        <v>45925</v>
      </c>
    </row>
    <row r="10" spans="1:12" x14ac:dyDescent="0.25">
      <c r="A10" s="2">
        <v>45912.518078703702</v>
      </c>
      <c r="B10" s="3" t="s">
        <v>76</v>
      </c>
      <c r="C10" s="3" t="s">
        <v>73</v>
      </c>
      <c r="D10" s="3" t="s">
        <v>74</v>
      </c>
      <c r="E10" s="4">
        <v>29917</v>
      </c>
      <c r="F10" s="3" t="s">
        <v>75</v>
      </c>
      <c r="G10" s="3" t="s">
        <v>244</v>
      </c>
      <c r="H10" s="3" t="s">
        <v>169</v>
      </c>
      <c r="I10" s="3" t="s">
        <v>245</v>
      </c>
      <c r="J10" s="3" t="s">
        <v>246</v>
      </c>
      <c r="L10" s="4">
        <v>45924</v>
      </c>
    </row>
    <row r="11" spans="1:12" x14ac:dyDescent="0.25">
      <c r="A11" s="2">
        <v>45916.685949074075</v>
      </c>
      <c r="B11" s="3" t="s">
        <v>259</v>
      </c>
      <c r="C11" s="3" t="s">
        <v>85</v>
      </c>
      <c r="D11" s="3" t="s">
        <v>86</v>
      </c>
      <c r="E11" s="4">
        <v>31013</v>
      </c>
      <c r="F11" s="3" t="s">
        <v>87</v>
      </c>
      <c r="G11" s="3" t="s">
        <v>257</v>
      </c>
      <c r="H11" s="3" t="s">
        <v>195</v>
      </c>
      <c r="K11" s="3" t="s">
        <v>260</v>
      </c>
      <c r="L11" s="4">
        <v>45924</v>
      </c>
    </row>
    <row r="12" spans="1:12" x14ac:dyDescent="0.25">
      <c r="A12" s="2">
        <v>45922.389502314814</v>
      </c>
      <c r="B12" s="3" t="s">
        <v>128</v>
      </c>
      <c r="C12" s="3" t="s">
        <v>353</v>
      </c>
      <c r="D12" s="3" t="s">
        <v>126</v>
      </c>
      <c r="E12" s="4">
        <v>31739</v>
      </c>
      <c r="F12" s="3" t="s">
        <v>127</v>
      </c>
      <c r="G12" s="3" t="s">
        <v>294</v>
      </c>
      <c r="H12" s="3" t="s">
        <v>195</v>
      </c>
      <c r="K12" s="3" t="s">
        <v>304</v>
      </c>
      <c r="L12" s="4">
        <v>45925</v>
      </c>
    </row>
    <row r="13" spans="1:12" x14ac:dyDescent="0.25">
      <c r="A13" s="2">
        <v>45918.642881944441</v>
      </c>
      <c r="B13" s="3" t="s">
        <v>343</v>
      </c>
      <c r="C13" s="3" t="s">
        <v>344</v>
      </c>
      <c r="D13" s="3" t="s">
        <v>345</v>
      </c>
      <c r="E13" s="4">
        <v>31683</v>
      </c>
      <c r="F13" s="3" t="s">
        <v>346</v>
      </c>
      <c r="G13" s="3" t="s">
        <v>294</v>
      </c>
      <c r="H13" s="3" t="s">
        <v>169</v>
      </c>
      <c r="I13" s="3" t="s">
        <v>347</v>
      </c>
      <c r="L13" s="4">
        <v>45925</v>
      </c>
    </row>
    <row r="14" spans="1:12" x14ac:dyDescent="0.25">
      <c r="A14" s="2">
        <v>45910.575358796297</v>
      </c>
      <c r="B14" s="3" t="s">
        <v>311</v>
      </c>
      <c r="C14" s="3" t="s">
        <v>312</v>
      </c>
      <c r="D14" s="3" t="s">
        <v>313</v>
      </c>
      <c r="E14" s="4">
        <v>32006</v>
      </c>
      <c r="F14" s="3" t="s">
        <v>314</v>
      </c>
      <c r="G14" s="3" t="s">
        <v>309</v>
      </c>
      <c r="H14" s="3" t="s">
        <v>195</v>
      </c>
      <c r="K14" s="3" t="s">
        <v>315</v>
      </c>
      <c r="L14" s="4">
        <v>45925</v>
      </c>
    </row>
    <row r="15" spans="1:12" x14ac:dyDescent="0.25">
      <c r="A15" s="2">
        <v>45915.571087962962</v>
      </c>
      <c r="B15" s="3" t="s">
        <v>321</v>
      </c>
      <c r="C15" s="3" t="s">
        <v>322</v>
      </c>
      <c r="D15" s="3" t="s">
        <v>323</v>
      </c>
      <c r="E15" s="4">
        <v>32412</v>
      </c>
      <c r="F15" s="3" t="s">
        <v>324</v>
      </c>
      <c r="G15" s="3" t="s">
        <v>325</v>
      </c>
      <c r="H15" s="3" t="s">
        <v>169</v>
      </c>
      <c r="I15" s="3" t="s">
        <v>326</v>
      </c>
      <c r="L15" s="4">
        <v>45925</v>
      </c>
    </row>
    <row r="16" spans="1:12" x14ac:dyDescent="0.25">
      <c r="A16" s="2">
        <v>45917.36078703704</v>
      </c>
      <c r="B16" s="3" t="s">
        <v>327</v>
      </c>
      <c r="C16" s="3" t="s">
        <v>328</v>
      </c>
      <c r="D16" s="3" t="s">
        <v>329</v>
      </c>
      <c r="E16" s="4">
        <v>32481</v>
      </c>
      <c r="F16" s="3" t="s">
        <v>330</v>
      </c>
      <c r="G16" s="3" t="s">
        <v>331</v>
      </c>
      <c r="H16" s="3" t="s">
        <v>169</v>
      </c>
      <c r="I16" s="3" t="s">
        <v>332</v>
      </c>
      <c r="L16" s="4">
        <v>45925</v>
      </c>
    </row>
    <row r="17" spans="1:12" x14ac:dyDescent="0.25">
      <c r="A17" s="2">
        <v>45910.396284722221</v>
      </c>
      <c r="B17" s="3" t="s">
        <v>92</v>
      </c>
      <c r="C17" s="3" t="s">
        <v>229</v>
      </c>
      <c r="D17" s="3" t="s">
        <v>90</v>
      </c>
      <c r="E17" s="4">
        <v>34050</v>
      </c>
      <c r="F17" s="3" t="s">
        <v>91</v>
      </c>
      <c r="G17" s="3" t="s">
        <v>227</v>
      </c>
      <c r="H17" s="3" t="s">
        <v>195</v>
      </c>
      <c r="K17" s="3" t="s">
        <v>230</v>
      </c>
      <c r="L17" s="4">
        <v>45924</v>
      </c>
    </row>
    <row r="18" spans="1:12" x14ac:dyDescent="0.25">
      <c r="A18" s="2">
        <v>45916.690312500003</v>
      </c>
      <c r="B18" s="3" t="s">
        <v>112</v>
      </c>
      <c r="C18" s="3" t="s">
        <v>109</v>
      </c>
      <c r="D18" s="3" t="s">
        <v>110</v>
      </c>
      <c r="E18" s="4">
        <v>33507</v>
      </c>
      <c r="F18" s="3" t="s">
        <v>111</v>
      </c>
      <c r="G18" s="3" t="s">
        <v>257</v>
      </c>
      <c r="H18" s="3" t="s">
        <v>195</v>
      </c>
      <c r="K18" s="3" t="s">
        <v>264</v>
      </c>
      <c r="L18" s="4">
        <v>45924</v>
      </c>
    </row>
    <row r="19" spans="1:12" x14ac:dyDescent="0.25">
      <c r="A19" s="2">
        <v>45924.672696759262</v>
      </c>
      <c r="B19" s="3" t="s">
        <v>162</v>
      </c>
      <c r="C19" s="3" t="s">
        <v>159</v>
      </c>
      <c r="D19" s="3" t="s">
        <v>160</v>
      </c>
      <c r="E19" s="4">
        <v>34029</v>
      </c>
      <c r="F19" s="3" t="s">
        <v>161</v>
      </c>
      <c r="G19" s="3" t="s">
        <v>354</v>
      </c>
      <c r="H19" s="3" t="s">
        <v>169</v>
      </c>
      <c r="I19" s="3" t="s">
        <v>355</v>
      </c>
      <c r="L19" s="4">
        <v>45925</v>
      </c>
    </row>
    <row r="20" spans="1:12" x14ac:dyDescent="0.25">
      <c r="A20" s="2">
        <v>45905.419745370367</v>
      </c>
      <c r="B20" s="3" t="s">
        <v>3</v>
      </c>
      <c r="C20" s="3" t="s">
        <v>0</v>
      </c>
      <c r="D20" s="3" t="s">
        <v>1</v>
      </c>
      <c r="E20" s="4">
        <v>36102</v>
      </c>
      <c r="F20" s="3" t="s">
        <v>2</v>
      </c>
      <c r="G20" s="3" t="s">
        <v>194</v>
      </c>
      <c r="H20" s="3" t="s">
        <v>169</v>
      </c>
      <c r="I20" s="3" t="s">
        <v>197</v>
      </c>
      <c r="L20" s="4">
        <v>45924</v>
      </c>
    </row>
    <row r="21" spans="1:12" x14ac:dyDescent="0.25">
      <c r="A21" s="2">
        <v>45909.384467592594</v>
      </c>
      <c r="B21" s="3" t="s">
        <v>44</v>
      </c>
      <c r="C21" s="3" t="s">
        <v>219</v>
      </c>
      <c r="D21" s="3" t="s">
        <v>42</v>
      </c>
      <c r="E21" s="4">
        <v>35699</v>
      </c>
      <c r="F21" s="3" t="s">
        <v>43</v>
      </c>
      <c r="G21" s="3" t="s">
        <v>220</v>
      </c>
      <c r="H21" s="3" t="s">
        <v>169</v>
      </c>
      <c r="I21" s="3" t="s">
        <v>221</v>
      </c>
      <c r="L21" s="4">
        <v>45924</v>
      </c>
    </row>
    <row r="22" spans="1:12" x14ac:dyDescent="0.25">
      <c r="A22" s="2">
        <v>45914.65215277778</v>
      </c>
      <c r="B22" s="3" t="s">
        <v>249</v>
      </c>
      <c r="C22" s="3" t="s">
        <v>250</v>
      </c>
      <c r="D22" s="3" t="s">
        <v>66</v>
      </c>
      <c r="E22" s="4">
        <v>34708</v>
      </c>
      <c r="F22" s="3" t="s">
        <v>67</v>
      </c>
      <c r="G22" s="3" t="s">
        <v>244</v>
      </c>
      <c r="H22" s="3" t="s">
        <v>169</v>
      </c>
      <c r="I22" s="3" t="s">
        <v>251</v>
      </c>
      <c r="L22" s="4">
        <v>45924</v>
      </c>
    </row>
    <row r="23" spans="1:12" x14ac:dyDescent="0.25">
      <c r="A23" s="2">
        <v>45917.364328703705</v>
      </c>
      <c r="B23" s="3" t="s">
        <v>333</v>
      </c>
      <c r="C23" s="3" t="s">
        <v>334</v>
      </c>
      <c r="D23" s="3" t="s">
        <v>335</v>
      </c>
      <c r="E23" s="4">
        <v>34279</v>
      </c>
      <c r="F23" s="3" t="s">
        <v>336</v>
      </c>
      <c r="G23" s="3" t="s">
        <v>331</v>
      </c>
      <c r="H23" s="3" t="s">
        <v>195</v>
      </c>
      <c r="K23" s="3" t="s">
        <v>264</v>
      </c>
      <c r="L23" s="4">
        <v>45925</v>
      </c>
    </row>
    <row r="24" spans="1:12" x14ac:dyDescent="0.25">
      <c r="A24" s="2">
        <v>45916.687291666669</v>
      </c>
      <c r="B24" s="3" t="s">
        <v>261</v>
      </c>
      <c r="C24" s="3" t="s">
        <v>262</v>
      </c>
      <c r="D24" s="3" t="s">
        <v>114</v>
      </c>
      <c r="E24" s="4">
        <v>38005</v>
      </c>
      <c r="F24" s="3" t="s">
        <v>115</v>
      </c>
      <c r="G24" s="3" t="s">
        <v>257</v>
      </c>
      <c r="H24" s="3" t="s">
        <v>169</v>
      </c>
      <c r="I24" s="3" t="s">
        <v>263</v>
      </c>
      <c r="L24" s="4">
        <v>45924</v>
      </c>
    </row>
    <row r="25" spans="1:12" x14ac:dyDescent="0.25">
      <c r="A25" s="2">
        <v>45910.433530092596</v>
      </c>
      <c r="B25" s="3" t="s">
        <v>300</v>
      </c>
      <c r="C25" s="3" t="s">
        <v>301</v>
      </c>
      <c r="D25" s="3" t="s">
        <v>302</v>
      </c>
      <c r="E25" s="4">
        <v>26199</v>
      </c>
      <c r="F25" s="3" t="s">
        <v>303</v>
      </c>
      <c r="G25" s="3" t="s">
        <v>294</v>
      </c>
      <c r="H25" s="3" t="s">
        <v>195</v>
      </c>
      <c r="K25" s="3" t="s">
        <v>304</v>
      </c>
      <c r="L25" s="4">
        <v>45925</v>
      </c>
    </row>
    <row r="26" spans="1:12" x14ac:dyDescent="0.25">
      <c r="A26" s="2">
        <v>45912.664490740739</v>
      </c>
      <c r="B26" s="3" t="s">
        <v>247</v>
      </c>
      <c r="C26" s="3" t="s">
        <v>61</v>
      </c>
      <c r="D26" s="3" t="s">
        <v>62</v>
      </c>
      <c r="E26" s="4">
        <v>32775</v>
      </c>
      <c r="F26" s="3" t="s">
        <v>63</v>
      </c>
      <c r="G26" s="3" t="s">
        <v>244</v>
      </c>
      <c r="H26" s="3" t="s">
        <v>195</v>
      </c>
      <c r="K26" s="3" t="s">
        <v>248</v>
      </c>
      <c r="L26" s="4">
        <v>45924</v>
      </c>
    </row>
    <row r="27" spans="1:12" x14ac:dyDescent="0.25">
      <c r="A27" s="2">
        <v>45917.469027777777</v>
      </c>
      <c r="B27" s="3" t="s">
        <v>339</v>
      </c>
      <c r="C27" s="3" t="s">
        <v>340</v>
      </c>
      <c r="D27" s="3" t="s">
        <v>341</v>
      </c>
      <c r="E27" s="4">
        <v>22070</v>
      </c>
      <c r="F27" s="3" t="s">
        <v>342</v>
      </c>
      <c r="G27" s="3" t="s">
        <v>325</v>
      </c>
      <c r="H27" s="3" t="s">
        <v>195</v>
      </c>
      <c r="K27" s="3" t="s">
        <v>217</v>
      </c>
      <c r="L27" s="4">
        <v>45925</v>
      </c>
    </row>
    <row r="28" spans="1:12" x14ac:dyDescent="0.25">
      <c r="A28" s="2">
        <v>45909.732361111113</v>
      </c>
      <c r="B28" s="3" t="s">
        <v>226</v>
      </c>
      <c r="C28" s="3" t="s">
        <v>97</v>
      </c>
      <c r="D28" s="3" t="s">
        <v>98</v>
      </c>
      <c r="E28" s="4">
        <v>24773</v>
      </c>
      <c r="F28" s="3" t="s">
        <v>99</v>
      </c>
      <c r="G28" s="3" t="s">
        <v>227</v>
      </c>
      <c r="H28" s="3" t="s">
        <v>195</v>
      </c>
      <c r="K28" s="3" t="s">
        <v>228</v>
      </c>
      <c r="L28" s="4">
        <v>45924</v>
      </c>
    </row>
    <row r="29" spans="1:12" x14ac:dyDescent="0.25">
      <c r="A29" s="2">
        <v>45905.63349537037</v>
      </c>
      <c r="B29" s="3" t="s">
        <v>206</v>
      </c>
      <c r="C29" s="3" t="s">
        <v>207</v>
      </c>
      <c r="D29" s="3" t="s">
        <v>208</v>
      </c>
      <c r="E29" s="4">
        <v>45684</v>
      </c>
      <c r="F29" s="3" t="s">
        <v>209</v>
      </c>
      <c r="G29" s="3" t="s">
        <v>210</v>
      </c>
      <c r="H29" s="3" t="s">
        <v>169</v>
      </c>
      <c r="I29" s="3" t="s">
        <v>211</v>
      </c>
      <c r="L29" s="4">
        <v>45924</v>
      </c>
    </row>
    <row r="30" spans="1:12" x14ac:dyDescent="0.25">
      <c r="A30" s="2">
        <v>45917.32372685185</v>
      </c>
      <c r="B30" s="3" t="s">
        <v>158</v>
      </c>
      <c r="C30" s="3" t="s">
        <v>155</v>
      </c>
      <c r="D30" s="3" t="s">
        <v>156</v>
      </c>
      <c r="E30" s="4">
        <v>24860</v>
      </c>
      <c r="F30" s="3" t="s">
        <v>157</v>
      </c>
      <c r="G30" s="3" t="s">
        <v>265</v>
      </c>
      <c r="H30" s="3" t="s">
        <v>169</v>
      </c>
      <c r="I30" s="3" t="s">
        <v>266</v>
      </c>
      <c r="L30" s="4">
        <v>45925</v>
      </c>
    </row>
    <row r="31" spans="1:12" x14ac:dyDescent="0.25">
      <c r="A31" s="2">
        <v>45908.475763888891</v>
      </c>
      <c r="B31" s="3" t="s">
        <v>283</v>
      </c>
      <c r="C31" s="3" t="s">
        <v>284</v>
      </c>
      <c r="D31" s="3" t="s">
        <v>285</v>
      </c>
      <c r="E31" s="4">
        <v>25598</v>
      </c>
      <c r="F31" s="3" t="s">
        <v>286</v>
      </c>
      <c r="G31" s="3" t="s">
        <v>287</v>
      </c>
      <c r="H31" s="3" t="s">
        <v>169</v>
      </c>
      <c r="I31" s="3" t="s">
        <v>288</v>
      </c>
      <c r="L31" s="4">
        <v>45925</v>
      </c>
    </row>
    <row r="32" spans="1:12" x14ac:dyDescent="0.25">
      <c r="A32" s="2">
        <v>45905.417743055557</v>
      </c>
      <c r="B32" s="3" t="s">
        <v>190</v>
      </c>
      <c r="C32" s="3" t="s">
        <v>191</v>
      </c>
      <c r="D32" s="3" t="s">
        <v>192</v>
      </c>
      <c r="E32" s="4">
        <v>25379</v>
      </c>
      <c r="F32" s="3" t="s">
        <v>193</v>
      </c>
      <c r="G32" s="3" t="s">
        <v>194</v>
      </c>
      <c r="H32" s="3" t="s">
        <v>195</v>
      </c>
      <c r="K32" s="3" t="s">
        <v>196</v>
      </c>
      <c r="L32" s="4">
        <v>45924</v>
      </c>
    </row>
    <row r="33" spans="1:12" x14ac:dyDescent="0.25">
      <c r="A33" s="2">
        <v>45905.353796296295</v>
      </c>
      <c r="B33" s="3" t="s">
        <v>269</v>
      </c>
      <c r="C33" s="3" t="s">
        <v>270</v>
      </c>
      <c r="D33" s="3" t="s">
        <v>271</v>
      </c>
      <c r="E33" s="4">
        <v>27515</v>
      </c>
      <c r="F33" s="3" t="s">
        <v>272</v>
      </c>
      <c r="G33" s="3" t="s">
        <v>273</v>
      </c>
      <c r="H33" s="3" t="s">
        <v>169</v>
      </c>
      <c r="I33" s="3" t="s">
        <v>274</v>
      </c>
      <c r="L33" s="4">
        <v>45925</v>
      </c>
    </row>
    <row r="34" spans="1:12" x14ac:dyDescent="0.25">
      <c r="A34" s="2">
        <v>45909.424212962964</v>
      </c>
      <c r="B34" s="3" t="s">
        <v>222</v>
      </c>
      <c r="C34" s="3" t="s">
        <v>49</v>
      </c>
      <c r="D34" s="3" t="s">
        <v>50</v>
      </c>
      <c r="E34" s="4">
        <v>25140</v>
      </c>
      <c r="F34" s="3" t="s">
        <v>51</v>
      </c>
      <c r="G34" s="3" t="s">
        <v>220</v>
      </c>
      <c r="H34" s="3" t="s">
        <v>169</v>
      </c>
      <c r="I34" s="3" t="s">
        <v>223</v>
      </c>
      <c r="L34" s="4">
        <v>45924</v>
      </c>
    </row>
    <row r="35" spans="1:12" x14ac:dyDescent="0.25">
      <c r="A35" s="2">
        <v>45909.446412037039</v>
      </c>
      <c r="B35" s="3" t="s">
        <v>12</v>
      </c>
      <c r="C35" s="3" t="s">
        <v>9</v>
      </c>
      <c r="D35" s="3" t="s">
        <v>10</v>
      </c>
      <c r="E35" s="4">
        <v>27408</v>
      </c>
      <c r="F35" s="3" t="s">
        <v>11</v>
      </c>
      <c r="G35" s="3" t="s">
        <v>220</v>
      </c>
      <c r="H35" s="3" t="s">
        <v>195</v>
      </c>
      <c r="K35" s="3" t="s">
        <v>224</v>
      </c>
      <c r="L35" s="4">
        <v>45924</v>
      </c>
    </row>
    <row r="36" spans="1:12" x14ac:dyDescent="0.25">
      <c r="A36" s="2">
        <v>45910.569293981483</v>
      </c>
      <c r="B36" s="3" t="s">
        <v>305</v>
      </c>
      <c r="C36" s="3" t="s">
        <v>306</v>
      </c>
      <c r="D36" s="3" t="s">
        <v>307</v>
      </c>
      <c r="E36" s="4">
        <v>28425</v>
      </c>
      <c r="F36" s="3" t="s">
        <v>308</v>
      </c>
      <c r="G36" s="3" t="s">
        <v>309</v>
      </c>
      <c r="H36" s="3" t="s">
        <v>169</v>
      </c>
      <c r="I36" s="3" t="s">
        <v>288</v>
      </c>
      <c r="J36" s="3" t="s">
        <v>310</v>
      </c>
      <c r="L36" s="4">
        <v>45925</v>
      </c>
    </row>
    <row r="37" spans="1:12" x14ac:dyDescent="0.25">
      <c r="A37" s="2">
        <v>45905.432453703703</v>
      </c>
      <c r="B37" s="3" t="s">
        <v>198</v>
      </c>
      <c r="C37" s="3" t="s">
        <v>37</v>
      </c>
      <c r="D37" s="3" t="s">
        <v>38</v>
      </c>
      <c r="E37" s="4">
        <v>26507</v>
      </c>
      <c r="F37" s="3" t="s">
        <v>39</v>
      </c>
      <c r="G37" s="3" t="s">
        <v>194</v>
      </c>
      <c r="H37" s="3" t="s">
        <v>169</v>
      </c>
      <c r="I37" s="3" t="s">
        <v>199</v>
      </c>
      <c r="L37" s="4">
        <v>45924</v>
      </c>
    </row>
    <row r="38" spans="1:12" x14ac:dyDescent="0.25">
      <c r="A38" s="2">
        <v>45911.548194444447</v>
      </c>
      <c r="B38" s="3" t="s">
        <v>239</v>
      </c>
      <c r="C38" s="3" t="s">
        <v>240</v>
      </c>
      <c r="D38" s="3" t="s">
        <v>78</v>
      </c>
      <c r="E38" s="4">
        <v>26116</v>
      </c>
      <c r="F38" s="3" t="s">
        <v>79</v>
      </c>
      <c r="G38" s="3" t="s">
        <v>213</v>
      </c>
      <c r="H38" s="3" t="s">
        <v>195</v>
      </c>
      <c r="K38" s="3" t="s">
        <v>241</v>
      </c>
      <c r="L38" s="4">
        <v>45924</v>
      </c>
    </row>
    <row r="39" spans="1:12" x14ac:dyDescent="0.25">
      <c r="A39" s="2">
        <v>45908.361168981479</v>
      </c>
      <c r="B39" s="3" t="s">
        <v>60</v>
      </c>
      <c r="C39" s="3" t="s">
        <v>212</v>
      </c>
      <c r="D39" s="3" t="s">
        <v>58</v>
      </c>
      <c r="E39" s="4">
        <v>24930</v>
      </c>
      <c r="F39" s="3" t="s">
        <v>59</v>
      </c>
      <c r="G39" s="3" t="s">
        <v>213</v>
      </c>
      <c r="H39" s="3" t="s">
        <v>169</v>
      </c>
      <c r="I39" s="3" t="s">
        <v>214</v>
      </c>
      <c r="J39" s="3" t="s">
        <v>215</v>
      </c>
      <c r="L39" s="4">
        <v>45924</v>
      </c>
    </row>
    <row r="40" spans="1:12" x14ac:dyDescent="0.25">
      <c r="A40" s="2">
        <v>45905.705601851849</v>
      </c>
      <c r="B40" s="3" t="s">
        <v>275</v>
      </c>
      <c r="C40" s="3" t="s">
        <v>276</v>
      </c>
      <c r="D40" s="3" t="s">
        <v>277</v>
      </c>
      <c r="E40" s="4">
        <v>29615</v>
      </c>
      <c r="F40" s="3" t="s">
        <v>278</v>
      </c>
      <c r="G40" s="3" t="s">
        <v>279</v>
      </c>
      <c r="H40" s="3" t="s">
        <v>169</v>
      </c>
      <c r="I40" s="3" t="s">
        <v>280</v>
      </c>
      <c r="L40" s="4">
        <v>45925</v>
      </c>
    </row>
    <row r="41" spans="1:12" x14ac:dyDescent="0.25">
      <c r="A41" s="2">
        <v>45918.886377314811</v>
      </c>
      <c r="B41" s="3" t="s">
        <v>136</v>
      </c>
      <c r="C41" s="3" t="s">
        <v>133</v>
      </c>
      <c r="D41" s="3" t="s">
        <v>134</v>
      </c>
      <c r="E41" s="4">
        <v>27522</v>
      </c>
      <c r="F41" s="3" t="s">
        <v>135</v>
      </c>
      <c r="G41" s="3" t="s">
        <v>337</v>
      </c>
      <c r="H41" s="3" t="s">
        <v>169</v>
      </c>
      <c r="I41" s="3" t="s">
        <v>348</v>
      </c>
      <c r="L41" s="4">
        <v>45925</v>
      </c>
    </row>
    <row r="42" spans="1:12" x14ac:dyDescent="0.25">
      <c r="A42" s="2">
        <v>45919.583495370367</v>
      </c>
      <c r="B42" s="3" t="s">
        <v>177</v>
      </c>
      <c r="C42" s="3" t="s">
        <v>267</v>
      </c>
      <c r="D42" s="3" t="s">
        <v>175</v>
      </c>
      <c r="E42" s="4">
        <v>27939</v>
      </c>
      <c r="F42" s="3" t="s">
        <v>176</v>
      </c>
      <c r="G42" s="3" t="s">
        <v>265</v>
      </c>
      <c r="H42" s="3" t="s">
        <v>195</v>
      </c>
      <c r="K42" s="3" t="s">
        <v>268</v>
      </c>
      <c r="L42" s="4">
        <v>45925</v>
      </c>
    </row>
    <row r="43" spans="1:12" x14ac:dyDescent="0.25">
      <c r="A43" s="2">
        <v>45919.364618055559</v>
      </c>
      <c r="B43" s="3" t="s">
        <v>349</v>
      </c>
      <c r="C43" s="3" t="s">
        <v>350</v>
      </c>
      <c r="D43" s="3" t="s">
        <v>351</v>
      </c>
      <c r="E43" s="4">
        <v>26967</v>
      </c>
      <c r="F43" s="3" t="s">
        <v>145</v>
      </c>
      <c r="G43" s="3" t="s">
        <v>337</v>
      </c>
      <c r="H43" s="3" t="s">
        <v>169</v>
      </c>
      <c r="I43" s="3" t="s">
        <v>352</v>
      </c>
      <c r="L43" s="4">
        <v>45925</v>
      </c>
    </row>
    <row r="44" spans="1:12" x14ac:dyDescent="0.25">
      <c r="A44" s="2">
        <v>45908.708090277774</v>
      </c>
      <c r="B44" s="3" t="s">
        <v>290</v>
      </c>
      <c r="C44" s="3" t="s">
        <v>291</v>
      </c>
      <c r="D44" s="3" t="s">
        <v>292</v>
      </c>
      <c r="E44" s="4">
        <v>27294</v>
      </c>
      <c r="F44" s="3" t="s">
        <v>293</v>
      </c>
      <c r="G44" s="3" t="s">
        <v>294</v>
      </c>
      <c r="H44" s="3" t="s">
        <v>169</v>
      </c>
      <c r="I44" s="3" t="s">
        <v>217</v>
      </c>
      <c r="J44" s="3" t="s">
        <v>4</v>
      </c>
      <c r="L44" s="4">
        <v>45925</v>
      </c>
    </row>
    <row r="45" spans="1:12" x14ac:dyDescent="0.25">
      <c r="A45" s="2">
        <v>45911.307453703703</v>
      </c>
      <c r="B45" s="3" t="s">
        <v>84</v>
      </c>
      <c r="C45" s="3" t="s">
        <v>81</v>
      </c>
      <c r="D45" s="3" t="s">
        <v>82</v>
      </c>
      <c r="E45" s="4">
        <v>27731</v>
      </c>
      <c r="F45" s="3" t="s">
        <v>83</v>
      </c>
      <c r="G45" s="3" t="s">
        <v>235</v>
      </c>
      <c r="H45" s="3" t="s">
        <v>195</v>
      </c>
      <c r="K45" s="3" t="s">
        <v>224</v>
      </c>
      <c r="L45" s="4">
        <v>45924</v>
      </c>
    </row>
    <row r="46" spans="1:12" x14ac:dyDescent="0.25">
      <c r="A46" s="2">
        <v>45910.438773148147</v>
      </c>
      <c r="B46" s="3" t="s">
        <v>104</v>
      </c>
      <c r="C46" s="3" t="s">
        <v>101</v>
      </c>
      <c r="D46" s="3" t="s">
        <v>102</v>
      </c>
      <c r="E46" s="4">
        <v>29786</v>
      </c>
      <c r="F46" s="3" t="s">
        <v>103</v>
      </c>
      <c r="G46" s="3" t="s">
        <v>235</v>
      </c>
      <c r="H46" s="3" t="s">
        <v>169</v>
      </c>
      <c r="I46" s="3" t="s">
        <v>236</v>
      </c>
      <c r="L46" s="4">
        <v>45924</v>
      </c>
    </row>
    <row r="47" spans="1:12" x14ac:dyDescent="0.25">
      <c r="A47" s="2">
        <v>45910.411956018521</v>
      </c>
      <c r="B47" s="3" t="s">
        <v>96</v>
      </c>
      <c r="C47" s="3" t="s">
        <v>93</v>
      </c>
      <c r="D47" s="3" t="s">
        <v>94</v>
      </c>
      <c r="E47" s="4">
        <v>27490</v>
      </c>
      <c r="F47" s="3" t="s">
        <v>95</v>
      </c>
      <c r="G47" s="3" t="s">
        <v>227</v>
      </c>
      <c r="H47" s="3" t="s">
        <v>169</v>
      </c>
      <c r="I47" s="3" t="s">
        <v>234</v>
      </c>
      <c r="L47" s="4">
        <v>45924</v>
      </c>
    </row>
    <row r="48" spans="1:12" x14ac:dyDescent="0.25">
      <c r="A48" s="2">
        <v>45908.891817129632</v>
      </c>
      <c r="B48" s="3" t="s">
        <v>295</v>
      </c>
      <c r="C48" s="3" t="s">
        <v>296</v>
      </c>
      <c r="D48" s="3" t="s">
        <v>297</v>
      </c>
      <c r="E48" s="3" t="s">
        <v>298</v>
      </c>
      <c r="F48" s="3" t="s">
        <v>299</v>
      </c>
      <c r="G48" s="3" t="s">
        <v>294</v>
      </c>
      <c r="H48" s="3" t="s">
        <v>169</v>
      </c>
      <c r="I48" s="3" t="s">
        <v>223</v>
      </c>
      <c r="L48" s="4">
        <v>45925</v>
      </c>
    </row>
    <row r="49" spans="1:12" x14ac:dyDescent="0.25">
      <c r="A49" s="2">
        <v>45905.597314814811</v>
      </c>
      <c r="B49" s="3" t="s">
        <v>203</v>
      </c>
      <c r="C49" s="3" t="s">
        <v>204</v>
      </c>
      <c r="D49" s="3" t="s">
        <v>30</v>
      </c>
      <c r="E49" s="4">
        <v>30299</v>
      </c>
      <c r="F49" s="3" t="s">
        <v>31</v>
      </c>
      <c r="G49" s="3" t="s">
        <v>201</v>
      </c>
      <c r="H49" s="3" t="s">
        <v>169</v>
      </c>
      <c r="I49" s="3" t="s">
        <v>205</v>
      </c>
      <c r="L49" s="4">
        <v>45924</v>
      </c>
    </row>
    <row r="50" spans="1:12" x14ac:dyDescent="0.25">
      <c r="A50" s="2">
        <v>45908.671493055554</v>
      </c>
      <c r="B50" s="3" t="s">
        <v>203</v>
      </c>
      <c r="C50" s="3" t="s">
        <v>204</v>
      </c>
      <c r="D50" s="3" t="s">
        <v>30</v>
      </c>
      <c r="E50" s="4">
        <v>30299</v>
      </c>
      <c r="F50" s="3" t="s">
        <v>31</v>
      </c>
      <c r="G50" s="3" t="s">
        <v>201</v>
      </c>
      <c r="H50" s="3" t="s">
        <v>169</v>
      </c>
      <c r="I50" s="3" t="s">
        <v>205</v>
      </c>
      <c r="L50" s="4">
        <v>45924</v>
      </c>
    </row>
    <row r="51" spans="1:12" x14ac:dyDescent="0.25">
      <c r="A51" s="2">
        <v>45909.586793981478</v>
      </c>
      <c r="B51" s="3" t="s">
        <v>225</v>
      </c>
      <c r="C51" s="3" t="s">
        <v>45</v>
      </c>
      <c r="D51" s="3" t="s">
        <v>46</v>
      </c>
      <c r="E51" s="4">
        <v>29800</v>
      </c>
      <c r="F51" s="3" t="s">
        <v>47</v>
      </c>
      <c r="G51" s="3" t="s">
        <v>220</v>
      </c>
      <c r="H51" s="3" t="s">
        <v>195</v>
      </c>
      <c r="K51" s="3" t="s">
        <v>224</v>
      </c>
      <c r="L51" s="4">
        <v>45924</v>
      </c>
    </row>
    <row r="52" spans="1:12" x14ac:dyDescent="0.25">
      <c r="A52" s="2">
        <v>45905.592777777776</v>
      </c>
      <c r="B52" s="3" t="s">
        <v>8</v>
      </c>
      <c r="C52" s="3" t="s">
        <v>200</v>
      </c>
      <c r="D52" s="3" t="s">
        <v>6</v>
      </c>
      <c r="E52" s="4">
        <v>30047</v>
      </c>
      <c r="F52" s="3" t="s">
        <v>7</v>
      </c>
      <c r="G52" s="3" t="s">
        <v>201</v>
      </c>
      <c r="H52" s="3" t="s">
        <v>169</v>
      </c>
      <c r="I52" s="3" t="s">
        <v>202</v>
      </c>
      <c r="L52" s="4">
        <v>45924</v>
      </c>
    </row>
    <row r="53" spans="1:12" x14ac:dyDescent="0.25">
      <c r="A53" s="2">
        <v>45908.665034722224</v>
      </c>
      <c r="B53" s="3" t="s">
        <v>8</v>
      </c>
      <c r="C53" s="3" t="s">
        <v>200</v>
      </c>
      <c r="D53" s="3" t="s">
        <v>6</v>
      </c>
      <c r="E53" s="4">
        <v>30047</v>
      </c>
      <c r="F53" s="3" t="s">
        <v>7</v>
      </c>
      <c r="G53" s="3" t="s">
        <v>201</v>
      </c>
      <c r="H53" s="3" t="s">
        <v>169</v>
      </c>
      <c r="I53" s="3" t="s">
        <v>218</v>
      </c>
      <c r="L53" s="4">
        <v>45924</v>
      </c>
    </row>
    <row r="54" spans="1:12" x14ac:dyDescent="0.25">
      <c r="A54" s="2">
        <v>45917.439710648148</v>
      </c>
      <c r="B54" s="3" t="s">
        <v>154</v>
      </c>
      <c r="C54" s="3" t="s">
        <v>151</v>
      </c>
      <c r="D54" s="3" t="s">
        <v>152</v>
      </c>
      <c r="E54" s="4">
        <v>26740</v>
      </c>
      <c r="F54" s="3" t="s">
        <v>153</v>
      </c>
      <c r="G54" s="3" t="s">
        <v>337</v>
      </c>
      <c r="H54" s="3" t="s">
        <v>169</v>
      </c>
      <c r="I54" s="3" t="s">
        <v>338</v>
      </c>
      <c r="L54" s="4">
        <v>45925</v>
      </c>
    </row>
    <row r="55" spans="1:12" x14ac:dyDescent="0.25">
      <c r="A55" s="2">
        <v>45910.461388888885</v>
      </c>
      <c r="B55" s="3" t="s">
        <v>24</v>
      </c>
      <c r="C55" s="3" t="s">
        <v>21</v>
      </c>
      <c r="D55" s="3" t="s">
        <v>22</v>
      </c>
      <c r="E55" s="4">
        <v>30307</v>
      </c>
      <c r="F55" s="3" t="s">
        <v>23</v>
      </c>
      <c r="G55" s="3" t="s">
        <v>237</v>
      </c>
      <c r="H55" s="3" t="s">
        <v>195</v>
      </c>
      <c r="K55" s="3" t="s">
        <v>238</v>
      </c>
      <c r="L55" s="4">
        <v>45924</v>
      </c>
    </row>
    <row r="56" spans="1:12" x14ac:dyDescent="0.25">
      <c r="A56" s="2">
        <v>45915.36986111111</v>
      </c>
      <c r="B56" s="3" t="s">
        <v>16</v>
      </c>
      <c r="C56" s="3" t="s">
        <v>13</v>
      </c>
      <c r="D56" s="3" t="s">
        <v>14</v>
      </c>
      <c r="E56" s="4">
        <v>30146</v>
      </c>
      <c r="F56" s="3" t="s">
        <v>15</v>
      </c>
      <c r="G56" s="3" t="s">
        <v>237</v>
      </c>
      <c r="H56" s="3" t="s">
        <v>169</v>
      </c>
      <c r="I56" s="3" t="s">
        <v>252</v>
      </c>
      <c r="L56" s="4">
        <v>45924</v>
      </c>
    </row>
    <row r="57" spans="1:12" x14ac:dyDescent="0.25">
      <c r="A57" s="2">
        <v>45912.431400462963</v>
      </c>
      <c r="B57" s="3" t="s">
        <v>20</v>
      </c>
      <c r="C57" s="3" t="s">
        <v>17</v>
      </c>
      <c r="D57" s="3" t="s">
        <v>18</v>
      </c>
      <c r="E57" s="4">
        <v>30578</v>
      </c>
      <c r="F57" s="3" t="s">
        <v>242</v>
      </c>
      <c r="G57" s="3" t="s">
        <v>210</v>
      </c>
      <c r="H57" s="3" t="s">
        <v>195</v>
      </c>
      <c r="K57" s="3" t="s">
        <v>243</v>
      </c>
      <c r="L57" s="4">
        <v>45924</v>
      </c>
    </row>
    <row r="58" spans="1:12" x14ac:dyDescent="0.25">
      <c r="A58" s="2">
        <v>45910.404340277775</v>
      </c>
      <c r="B58" s="3" t="s">
        <v>231</v>
      </c>
      <c r="C58" s="3" t="s">
        <v>232</v>
      </c>
      <c r="D58" s="3" t="s">
        <v>106</v>
      </c>
      <c r="E58" s="4">
        <v>31175</v>
      </c>
      <c r="F58" s="3" t="s">
        <v>107</v>
      </c>
      <c r="G58" s="3" t="s">
        <v>227</v>
      </c>
      <c r="H58" s="3" t="s">
        <v>169</v>
      </c>
      <c r="I58" s="3" t="s">
        <v>233</v>
      </c>
      <c r="L58" s="4">
        <v>45924</v>
      </c>
    </row>
  </sheetData>
  <autoFilter ref="A1:L1" xr:uid="{E8B4423F-6C37-499F-A7EA-0D4D89E644C9}"/>
  <sortState xmlns:xlrd2="http://schemas.microsoft.com/office/spreadsheetml/2017/richdata2" ref="A2:Q159">
    <sortCondition ref="D2:D15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D830-8EF8-4E6C-9513-CA2E11CD13CA}">
  <dimension ref="A1:H49"/>
  <sheetViews>
    <sheetView tabSelected="1" zoomScale="70" zoomScaleNormal="70" workbookViewId="0">
      <selection activeCell="I28" sqref="I28"/>
    </sheetView>
  </sheetViews>
  <sheetFormatPr defaultRowHeight="15" x14ac:dyDescent="0.25"/>
  <cols>
    <col min="1" max="1" width="20.7109375" style="8" bestFit="1" customWidth="1"/>
    <col min="2" max="2" width="39.85546875" style="8" bestFit="1" customWidth="1"/>
    <col min="3" max="3" width="20" style="8" bestFit="1" customWidth="1"/>
    <col min="4" max="4" width="32.5703125" style="8" bestFit="1" customWidth="1"/>
    <col min="5" max="5" width="41.7109375" style="8" bestFit="1" customWidth="1"/>
    <col min="6" max="6" width="19.140625" style="8" bestFit="1" customWidth="1"/>
    <col min="7" max="7" width="29.7109375" style="8" bestFit="1" customWidth="1"/>
    <col min="8" max="8" width="22" style="8" bestFit="1" customWidth="1"/>
    <col min="9" max="16384" width="9.140625" style="8"/>
  </cols>
  <sheetData>
    <row r="1" spans="1:8" x14ac:dyDescent="0.25">
      <c r="A1" s="18" t="s">
        <v>178</v>
      </c>
      <c r="B1" s="19" t="s">
        <v>180</v>
      </c>
      <c r="C1" s="18" t="s">
        <v>356</v>
      </c>
      <c r="D1" s="18" t="s">
        <v>357</v>
      </c>
      <c r="E1" s="18" t="s">
        <v>358</v>
      </c>
      <c r="F1" s="18" t="s">
        <v>182</v>
      </c>
      <c r="G1" s="18" t="s">
        <v>184</v>
      </c>
      <c r="H1" s="18" t="s">
        <v>185</v>
      </c>
    </row>
    <row r="2" spans="1:8" x14ac:dyDescent="0.25">
      <c r="A2" s="9">
        <v>45924.363229166665</v>
      </c>
      <c r="B2" s="9" t="s">
        <v>73</v>
      </c>
      <c r="C2" s="8" t="s">
        <v>74</v>
      </c>
      <c r="D2" s="8" t="s">
        <v>75</v>
      </c>
      <c r="E2" s="8" t="s">
        <v>76</v>
      </c>
      <c r="F2" s="10">
        <v>29917</v>
      </c>
      <c r="G2" s="10" t="s">
        <v>244</v>
      </c>
      <c r="H2" s="10" t="s">
        <v>169</v>
      </c>
    </row>
    <row r="3" spans="1:8" x14ac:dyDescent="0.25">
      <c r="A3" s="9">
        <v>45924.358541666668</v>
      </c>
      <c r="B3" s="9" t="s">
        <v>29</v>
      </c>
      <c r="C3" s="8" t="s">
        <v>30</v>
      </c>
      <c r="D3" s="8" t="s">
        <v>31</v>
      </c>
      <c r="E3" s="8" t="s">
        <v>32</v>
      </c>
      <c r="F3" s="10">
        <v>30299</v>
      </c>
      <c r="G3" s="10" t="s">
        <v>201</v>
      </c>
      <c r="H3" s="10" t="s">
        <v>169</v>
      </c>
    </row>
    <row r="4" spans="1:8" x14ac:dyDescent="0.25">
      <c r="A4" s="9">
        <v>45924.366296296299</v>
      </c>
      <c r="B4" s="9" t="s">
        <v>93</v>
      </c>
      <c r="C4" s="8" t="s">
        <v>94</v>
      </c>
      <c r="D4" s="8" t="s">
        <v>95</v>
      </c>
      <c r="E4" s="8" t="s">
        <v>96</v>
      </c>
      <c r="F4" s="10">
        <v>27490</v>
      </c>
      <c r="G4" s="10" t="s">
        <v>227</v>
      </c>
      <c r="H4" s="10" t="s">
        <v>169</v>
      </c>
    </row>
    <row r="5" spans="1:8" x14ac:dyDescent="0.25">
      <c r="A5" s="9">
        <v>45924.357210648152</v>
      </c>
      <c r="B5" s="9" t="s">
        <v>9</v>
      </c>
      <c r="C5" s="8" t="s">
        <v>10</v>
      </c>
      <c r="D5" s="8" t="s">
        <v>11</v>
      </c>
      <c r="E5" s="8" t="s">
        <v>12</v>
      </c>
      <c r="F5" s="10">
        <v>27408</v>
      </c>
      <c r="G5" s="10" t="s">
        <v>220</v>
      </c>
      <c r="H5" s="10" t="s">
        <v>195</v>
      </c>
    </row>
    <row r="6" spans="1:8" x14ac:dyDescent="0.25">
      <c r="A6" s="9">
        <v>45925.359675925924</v>
      </c>
      <c r="B6" s="9" t="s">
        <v>163</v>
      </c>
      <c r="C6" s="8" t="s">
        <v>164</v>
      </c>
      <c r="D6" s="8" t="s">
        <v>165</v>
      </c>
      <c r="E6" s="8" t="s">
        <v>166</v>
      </c>
      <c r="F6" s="10">
        <v>30150</v>
      </c>
      <c r="G6" s="10" t="s">
        <v>168</v>
      </c>
      <c r="H6" s="10" t="s">
        <v>169</v>
      </c>
    </row>
    <row r="7" spans="1:8" x14ac:dyDescent="0.25">
      <c r="A7" s="9">
        <v>45925.348553240743</v>
      </c>
      <c r="B7" s="9" t="s">
        <v>125</v>
      </c>
      <c r="C7" s="8" t="s">
        <v>126</v>
      </c>
      <c r="D7" s="8" t="s">
        <v>127</v>
      </c>
      <c r="E7" s="8" t="s">
        <v>128</v>
      </c>
      <c r="F7" s="10">
        <v>31739</v>
      </c>
      <c r="G7" s="10" t="s">
        <v>294</v>
      </c>
      <c r="H7" s="10" t="s">
        <v>195</v>
      </c>
    </row>
    <row r="8" spans="1:8" x14ac:dyDescent="0.25">
      <c r="A8" s="9">
        <v>45925.416724537034</v>
      </c>
      <c r="B8" s="8" t="s">
        <v>334</v>
      </c>
      <c r="C8" s="8" t="s">
        <v>335</v>
      </c>
      <c r="D8" s="8" t="s">
        <v>336</v>
      </c>
      <c r="E8" s="8" t="s">
        <v>333</v>
      </c>
      <c r="F8" s="10">
        <v>34279</v>
      </c>
      <c r="G8" s="10" t="s">
        <v>331</v>
      </c>
      <c r="H8" s="10" t="s">
        <v>195</v>
      </c>
    </row>
    <row r="9" spans="1:8" x14ac:dyDescent="0.25">
      <c r="A9" s="9">
        <v>45924.3593287037</v>
      </c>
      <c r="B9" s="9" t="s">
        <v>45</v>
      </c>
      <c r="C9" s="8" t="s">
        <v>46</v>
      </c>
      <c r="D9" s="8" t="s">
        <v>47</v>
      </c>
      <c r="E9" s="8" t="s">
        <v>48</v>
      </c>
      <c r="F9" s="10">
        <v>29800</v>
      </c>
      <c r="G9" s="10" t="s">
        <v>220</v>
      </c>
      <c r="H9" s="10" t="s">
        <v>195</v>
      </c>
    </row>
    <row r="10" spans="1:8" x14ac:dyDescent="0.25">
      <c r="A10" s="9">
        <v>45924.356944444444</v>
      </c>
      <c r="B10" s="9" t="s">
        <v>5</v>
      </c>
      <c r="C10" s="8" t="s">
        <v>6</v>
      </c>
      <c r="D10" s="8" t="s">
        <v>7</v>
      </c>
      <c r="E10" s="8" t="s">
        <v>8</v>
      </c>
      <c r="F10" s="10">
        <v>30047</v>
      </c>
      <c r="G10" s="10" t="s">
        <v>201</v>
      </c>
      <c r="H10" s="10" t="s">
        <v>169</v>
      </c>
    </row>
    <row r="11" spans="1:8" x14ac:dyDescent="0.25">
      <c r="A11" s="9">
        <v>45925.416342592594</v>
      </c>
      <c r="B11" s="8" t="s">
        <v>276</v>
      </c>
      <c r="C11" s="8" t="s">
        <v>277</v>
      </c>
      <c r="D11" s="8" t="s">
        <v>278</v>
      </c>
      <c r="E11" s="8" t="s">
        <v>360</v>
      </c>
      <c r="F11" s="10">
        <v>29615</v>
      </c>
      <c r="G11" s="10" t="s">
        <v>279</v>
      </c>
      <c r="H11" s="10" t="s">
        <v>169</v>
      </c>
    </row>
    <row r="12" spans="1:8" x14ac:dyDescent="0.25">
      <c r="A12" s="9">
        <v>45924.359409722223</v>
      </c>
      <c r="B12" s="9" t="s">
        <v>49</v>
      </c>
      <c r="C12" s="8" t="s">
        <v>50</v>
      </c>
      <c r="D12" s="8" t="s">
        <v>51</v>
      </c>
      <c r="E12" s="8" t="s">
        <v>52</v>
      </c>
      <c r="F12" s="10">
        <v>25140</v>
      </c>
      <c r="G12" s="10" t="s">
        <v>220</v>
      </c>
      <c r="H12" s="10" t="s">
        <v>169</v>
      </c>
    </row>
    <row r="13" spans="1:8" x14ac:dyDescent="0.25">
      <c r="A13" s="9">
        <v>45925.359189814815</v>
      </c>
      <c r="B13" s="9" t="s">
        <v>155</v>
      </c>
      <c r="C13" s="8" t="s">
        <v>156</v>
      </c>
      <c r="D13" s="8" t="s">
        <v>157</v>
      </c>
      <c r="E13" s="8" t="s">
        <v>158</v>
      </c>
      <c r="F13" s="10">
        <v>24860</v>
      </c>
      <c r="G13" s="10" t="s">
        <v>265</v>
      </c>
      <c r="H13" s="10" t="s">
        <v>169</v>
      </c>
    </row>
    <row r="14" spans="1:8" x14ac:dyDescent="0.25">
      <c r="A14" s="9">
        <v>45924.357245370367</v>
      </c>
      <c r="B14" s="9" t="s">
        <v>13</v>
      </c>
      <c r="C14" s="8" t="s">
        <v>14</v>
      </c>
      <c r="D14" s="8" t="s">
        <v>15</v>
      </c>
      <c r="E14" s="8" t="s">
        <v>16</v>
      </c>
      <c r="F14" s="10">
        <v>30146</v>
      </c>
      <c r="G14" s="10" t="s">
        <v>237</v>
      </c>
      <c r="H14" s="10" t="s">
        <v>169</v>
      </c>
    </row>
    <row r="15" spans="1:8" x14ac:dyDescent="0.25">
      <c r="A15" s="9">
        <v>45925.355000000003</v>
      </c>
      <c r="B15" s="9" t="s">
        <v>144</v>
      </c>
      <c r="C15" s="8" t="s">
        <v>351</v>
      </c>
      <c r="D15" s="8" t="s">
        <v>145</v>
      </c>
      <c r="E15" s="8" t="s">
        <v>146</v>
      </c>
      <c r="F15" s="10">
        <v>26967</v>
      </c>
      <c r="G15" s="10" t="s">
        <v>294</v>
      </c>
      <c r="H15" s="10" t="s">
        <v>169</v>
      </c>
    </row>
    <row r="16" spans="1:8" x14ac:dyDescent="0.25">
      <c r="A16" s="9">
        <v>45925.347766203704</v>
      </c>
      <c r="B16" s="9" t="s">
        <v>117</v>
      </c>
      <c r="C16" s="8" t="s">
        <v>118</v>
      </c>
      <c r="D16" s="8" t="s">
        <v>119</v>
      </c>
      <c r="E16" s="8" t="s">
        <v>120</v>
      </c>
      <c r="F16" s="10">
        <v>31291</v>
      </c>
      <c r="G16" s="10" t="s">
        <v>294</v>
      </c>
      <c r="H16" s="10" t="s">
        <v>195</v>
      </c>
    </row>
    <row r="17" spans="1:8" x14ac:dyDescent="0.25">
      <c r="A17" s="9">
        <v>45925.436006944445</v>
      </c>
      <c r="B17" s="8" t="s">
        <v>322</v>
      </c>
      <c r="C17" s="8" t="s">
        <v>323</v>
      </c>
      <c r="D17" s="8" t="s">
        <v>324</v>
      </c>
      <c r="E17" s="8" t="s">
        <v>321</v>
      </c>
      <c r="F17" s="17">
        <v>32412</v>
      </c>
      <c r="G17" s="17" t="s">
        <v>325</v>
      </c>
      <c r="H17" s="17" t="s">
        <v>169</v>
      </c>
    </row>
    <row r="18" spans="1:8" x14ac:dyDescent="0.25">
      <c r="A18" s="9">
        <v>45925.354618055557</v>
      </c>
      <c r="B18" s="9" t="s">
        <v>141</v>
      </c>
      <c r="C18" s="8" t="s">
        <v>292</v>
      </c>
      <c r="D18" s="8" t="s">
        <v>142</v>
      </c>
      <c r="E18" s="8" t="s">
        <v>143</v>
      </c>
      <c r="F18" s="10">
        <v>27294</v>
      </c>
      <c r="G18" s="10" t="s">
        <v>294</v>
      </c>
      <c r="H18" s="10" t="s">
        <v>169</v>
      </c>
    </row>
    <row r="19" spans="1:8" x14ac:dyDescent="0.25">
      <c r="A19" s="9">
        <v>45924.362500000003</v>
      </c>
      <c r="B19" s="9" t="s">
        <v>65</v>
      </c>
      <c r="C19" s="8" t="s">
        <v>66</v>
      </c>
      <c r="D19" s="8" t="s">
        <v>67</v>
      </c>
      <c r="E19" s="8" t="s">
        <v>68</v>
      </c>
      <c r="F19" s="10">
        <v>34708</v>
      </c>
      <c r="G19" s="10" t="s">
        <v>244</v>
      </c>
      <c r="H19" s="10" t="s">
        <v>169</v>
      </c>
    </row>
    <row r="20" spans="1:8" x14ac:dyDescent="0.25">
      <c r="A20" s="9">
        <v>45924.359293981484</v>
      </c>
      <c r="B20" s="9" t="s">
        <v>41</v>
      </c>
      <c r="C20" s="8" t="s">
        <v>42</v>
      </c>
      <c r="D20" s="8" t="s">
        <v>43</v>
      </c>
      <c r="E20" s="8" t="s">
        <v>44</v>
      </c>
      <c r="F20" s="10">
        <v>35699</v>
      </c>
      <c r="G20" s="10" t="s">
        <v>220</v>
      </c>
      <c r="H20" s="10" t="s">
        <v>169</v>
      </c>
    </row>
    <row r="21" spans="1:8" x14ac:dyDescent="0.25">
      <c r="A21" s="9">
        <v>45925.36042824074</v>
      </c>
      <c r="B21" s="9" t="s">
        <v>170</v>
      </c>
      <c r="C21" s="8" t="s">
        <v>171</v>
      </c>
      <c r="D21" s="8" t="s">
        <v>172</v>
      </c>
      <c r="E21" s="8" t="s">
        <v>173</v>
      </c>
      <c r="F21" s="10">
        <v>30616</v>
      </c>
      <c r="G21" s="10" t="s">
        <v>265</v>
      </c>
      <c r="H21" s="10" t="s">
        <v>169</v>
      </c>
    </row>
    <row r="22" spans="1:8" x14ac:dyDescent="0.25">
      <c r="A22" s="9">
        <v>45924.368043981478</v>
      </c>
      <c r="B22" s="9" t="s">
        <v>113</v>
      </c>
      <c r="C22" s="8" t="s">
        <v>114</v>
      </c>
      <c r="D22" s="8" t="s">
        <v>115</v>
      </c>
      <c r="E22" s="8" t="s">
        <v>116</v>
      </c>
      <c r="F22" s="10">
        <v>38005</v>
      </c>
      <c r="G22" s="10" t="s">
        <v>257</v>
      </c>
      <c r="H22" s="10" t="s">
        <v>169</v>
      </c>
    </row>
    <row r="23" spans="1:8" x14ac:dyDescent="0.25">
      <c r="A23" s="9">
        <v>45925.353819444441</v>
      </c>
      <c r="B23" s="9" t="s">
        <v>133</v>
      </c>
      <c r="C23" s="8" t="s">
        <v>134</v>
      </c>
      <c r="D23" s="8" t="s">
        <v>135</v>
      </c>
      <c r="E23" s="8" t="s">
        <v>136</v>
      </c>
      <c r="F23" s="10">
        <v>27522</v>
      </c>
      <c r="G23" s="10" t="s">
        <v>337</v>
      </c>
      <c r="H23" s="10" t="s">
        <v>169</v>
      </c>
    </row>
    <row r="24" spans="1:8" x14ac:dyDescent="0.25">
      <c r="A24" s="9">
        <v>45924.367638888885</v>
      </c>
      <c r="B24" s="9" t="s">
        <v>109</v>
      </c>
      <c r="C24" s="8" t="s">
        <v>110</v>
      </c>
      <c r="D24" s="8" t="s">
        <v>111</v>
      </c>
      <c r="E24" s="8" t="s">
        <v>112</v>
      </c>
      <c r="F24" s="10">
        <v>33507</v>
      </c>
      <c r="G24" s="10" t="s">
        <v>257</v>
      </c>
      <c r="H24" s="10" t="s">
        <v>195</v>
      </c>
    </row>
    <row r="25" spans="1:8" x14ac:dyDescent="0.25">
      <c r="A25" s="9">
        <v>45924.358807870369</v>
      </c>
      <c r="B25" s="9" t="s">
        <v>37</v>
      </c>
      <c r="C25" s="8" t="s">
        <v>38</v>
      </c>
      <c r="D25" s="8" t="s">
        <v>39</v>
      </c>
      <c r="E25" s="8" t="s">
        <v>40</v>
      </c>
      <c r="F25" s="10">
        <v>26507</v>
      </c>
      <c r="G25" s="10" t="s">
        <v>194</v>
      </c>
      <c r="H25" s="10" t="s">
        <v>169</v>
      </c>
    </row>
    <row r="26" spans="1:8" x14ac:dyDescent="0.25">
      <c r="A26" s="9">
        <v>45925.453587962962</v>
      </c>
      <c r="B26" s="8" t="s">
        <v>340</v>
      </c>
      <c r="C26" s="8" t="s">
        <v>341</v>
      </c>
      <c r="D26" s="8" t="s">
        <v>342</v>
      </c>
      <c r="E26" s="8" t="s">
        <v>339</v>
      </c>
      <c r="F26" s="17">
        <v>22070</v>
      </c>
      <c r="G26" s="17" t="s">
        <v>325</v>
      </c>
      <c r="H26" s="17" t="s">
        <v>195</v>
      </c>
    </row>
    <row r="27" spans="1:8" x14ac:dyDescent="0.25">
      <c r="A27" s="9">
        <v>45925.359317129631</v>
      </c>
      <c r="B27" s="9" t="s">
        <v>159</v>
      </c>
      <c r="C27" s="8" t="s">
        <v>160</v>
      </c>
      <c r="D27" s="8" t="s">
        <v>161</v>
      </c>
      <c r="E27" s="8" t="s">
        <v>162</v>
      </c>
      <c r="F27" s="10">
        <v>34029</v>
      </c>
      <c r="G27" s="10" t="s">
        <v>354</v>
      </c>
      <c r="H27" s="10" t="s">
        <v>169</v>
      </c>
    </row>
    <row r="28" spans="1:8" x14ac:dyDescent="0.25">
      <c r="A28" s="9">
        <v>45925.348310185182</v>
      </c>
      <c r="B28" s="9" t="s">
        <v>121</v>
      </c>
      <c r="C28" s="8" t="s">
        <v>122</v>
      </c>
      <c r="D28" s="8" t="s">
        <v>123</v>
      </c>
      <c r="E28" s="8" t="s">
        <v>124</v>
      </c>
      <c r="F28" s="10">
        <v>31275</v>
      </c>
      <c r="G28" s="10" t="s">
        <v>168</v>
      </c>
      <c r="H28" s="10" t="s">
        <v>195</v>
      </c>
    </row>
    <row r="29" spans="1:8" x14ac:dyDescent="0.25">
      <c r="A29" s="9">
        <v>45924.357430555552</v>
      </c>
      <c r="B29" s="9" t="s">
        <v>17</v>
      </c>
      <c r="C29" s="8" t="s">
        <v>18</v>
      </c>
      <c r="D29" s="8" t="s">
        <v>19</v>
      </c>
      <c r="E29" s="8" t="s">
        <v>20</v>
      </c>
      <c r="F29" s="10">
        <v>30578</v>
      </c>
      <c r="G29" s="10" t="s">
        <v>210</v>
      </c>
      <c r="H29" s="10" t="s">
        <v>195</v>
      </c>
    </row>
    <row r="30" spans="1:8" x14ac:dyDescent="0.25">
      <c r="A30" s="9">
        <v>45924.363402777781</v>
      </c>
      <c r="B30" s="9" t="s">
        <v>77</v>
      </c>
      <c r="C30" s="8" t="s">
        <v>78</v>
      </c>
      <c r="D30" s="8" t="s">
        <v>79</v>
      </c>
      <c r="E30" s="8" t="s">
        <v>80</v>
      </c>
      <c r="F30" s="10">
        <v>26116</v>
      </c>
      <c r="G30" s="10" t="s">
        <v>213</v>
      </c>
      <c r="H30" s="10" t="s">
        <v>195</v>
      </c>
    </row>
    <row r="31" spans="1:8" x14ac:dyDescent="0.25">
      <c r="A31" s="9">
        <v>45924.356562499997</v>
      </c>
      <c r="B31" s="9" t="s">
        <v>0</v>
      </c>
      <c r="C31" s="8" t="s">
        <v>1</v>
      </c>
      <c r="D31" s="8" t="s">
        <v>2</v>
      </c>
      <c r="E31" s="8" t="s">
        <v>3</v>
      </c>
      <c r="F31" s="10">
        <v>36102</v>
      </c>
      <c r="G31" s="10" t="s">
        <v>194</v>
      </c>
      <c r="H31" s="10" t="s">
        <v>169</v>
      </c>
    </row>
    <row r="32" spans="1:8" x14ac:dyDescent="0.25">
      <c r="A32" s="9">
        <v>45925.358634259261</v>
      </c>
      <c r="B32" s="9" t="s">
        <v>151</v>
      </c>
      <c r="C32" s="8" t="s">
        <v>152</v>
      </c>
      <c r="D32" s="8" t="s">
        <v>153</v>
      </c>
      <c r="E32" s="8" t="s">
        <v>154</v>
      </c>
      <c r="F32" s="10">
        <v>26740</v>
      </c>
      <c r="G32" s="10" t="s">
        <v>337</v>
      </c>
      <c r="H32" s="10" t="s">
        <v>169</v>
      </c>
    </row>
    <row r="33" spans="1:8" x14ac:dyDescent="0.25">
      <c r="A33" s="9">
        <v>45924.366249999999</v>
      </c>
      <c r="B33" s="9" t="s">
        <v>85</v>
      </c>
      <c r="C33" s="8" t="s">
        <v>86</v>
      </c>
      <c r="D33" s="8" t="s">
        <v>87</v>
      </c>
      <c r="E33" s="8" t="s">
        <v>88</v>
      </c>
      <c r="F33" s="10">
        <v>31013</v>
      </c>
      <c r="G33" s="10" t="s">
        <v>257</v>
      </c>
      <c r="H33" s="10" t="s">
        <v>195</v>
      </c>
    </row>
    <row r="34" spans="1:8" x14ac:dyDescent="0.25">
      <c r="A34" s="9">
        <v>45924.366354166668</v>
      </c>
      <c r="B34" s="9" t="s">
        <v>97</v>
      </c>
      <c r="C34" s="8" t="s">
        <v>98</v>
      </c>
      <c r="D34" s="8" t="s">
        <v>99</v>
      </c>
      <c r="E34" s="8" t="s">
        <v>100</v>
      </c>
      <c r="F34" s="10">
        <v>24773</v>
      </c>
      <c r="G34" s="10" t="s">
        <v>227</v>
      </c>
      <c r="H34" s="10" t="s">
        <v>195</v>
      </c>
    </row>
    <row r="35" spans="1:8" x14ac:dyDescent="0.25">
      <c r="A35" s="9">
        <v>45924.357581018521</v>
      </c>
      <c r="B35" s="9" t="s">
        <v>21</v>
      </c>
      <c r="C35" s="8" t="s">
        <v>22</v>
      </c>
      <c r="D35" s="8" t="s">
        <v>23</v>
      </c>
      <c r="E35" s="8" t="s">
        <v>24</v>
      </c>
      <c r="F35" s="10">
        <v>30307</v>
      </c>
      <c r="G35" s="10" t="s">
        <v>237</v>
      </c>
      <c r="H35" s="10" t="s">
        <v>195</v>
      </c>
    </row>
    <row r="36" spans="1:8" x14ac:dyDescent="0.25">
      <c r="A36" s="9">
        <v>45924.359988425924</v>
      </c>
      <c r="B36" s="9" t="s">
        <v>57</v>
      </c>
      <c r="C36" s="8" t="s">
        <v>58</v>
      </c>
      <c r="D36" s="8" t="s">
        <v>59</v>
      </c>
      <c r="E36" s="8" t="s">
        <v>60</v>
      </c>
      <c r="F36" s="10">
        <v>24930</v>
      </c>
      <c r="G36" s="10" t="s">
        <v>213</v>
      </c>
      <c r="H36" s="10" t="s">
        <v>169</v>
      </c>
    </row>
    <row r="37" spans="1:8" x14ac:dyDescent="0.25">
      <c r="A37" s="9">
        <v>45924.35864583333</v>
      </c>
      <c r="B37" s="9" t="s">
        <v>33</v>
      </c>
      <c r="C37" s="8" t="s">
        <v>34</v>
      </c>
      <c r="D37" s="8" t="s">
        <v>35</v>
      </c>
      <c r="E37" s="8" t="s">
        <v>36</v>
      </c>
      <c r="F37" s="10">
        <v>29948</v>
      </c>
      <c r="G37" s="10" t="s">
        <v>201</v>
      </c>
      <c r="H37" s="10" t="s">
        <v>195</v>
      </c>
    </row>
    <row r="38" spans="1:8" x14ac:dyDescent="0.25">
      <c r="A38" s="9">
        <v>45924.366168981483</v>
      </c>
      <c r="B38" s="9" t="s">
        <v>81</v>
      </c>
      <c r="C38" s="8" t="s">
        <v>82</v>
      </c>
      <c r="D38" s="8" t="s">
        <v>83</v>
      </c>
      <c r="E38" s="8" t="s">
        <v>84</v>
      </c>
      <c r="F38" s="10">
        <v>27731</v>
      </c>
      <c r="G38" s="10" t="s">
        <v>235</v>
      </c>
      <c r="H38" s="10" t="s">
        <v>195</v>
      </c>
    </row>
    <row r="39" spans="1:8" x14ac:dyDescent="0.25">
      <c r="A39" s="9">
        <v>45925.361562500002</v>
      </c>
      <c r="B39" s="8" t="s">
        <v>174</v>
      </c>
      <c r="C39" s="8" t="s">
        <v>175</v>
      </c>
      <c r="D39" s="8" t="s">
        <v>176</v>
      </c>
      <c r="E39" s="8" t="s">
        <v>177</v>
      </c>
      <c r="F39" s="10">
        <v>27939</v>
      </c>
      <c r="G39" s="10" t="s">
        <v>265</v>
      </c>
      <c r="H39" s="10" t="s">
        <v>195</v>
      </c>
    </row>
    <row r="40" spans="1:8" x14ac:dyDescent="0.25">
      <c r="A40" s="9">
        <v>45924.366249999999</v>
      </c>
      <c r="B40" s="9" t="s">
        <v>89</v>
      </c>
      <c r="C40" s="8" t="s">
        <v>90</v>
      </c>
      <c r="D40" s="8" t="s">
        <v>91</v>
      </c>
      <c r="E40" s="8" t="s">
        <v>92</v>
      </c>
      <c r="F40" s="10">
        <v>34050</v>
      </c>
      <c r="G40" s="10" t="s">
        <v>227</v>
      </c>
      <c r="H40" s="10" t="s">
        <v>195</v>
      </c>
    </row>
    <row r="41" spans="1:8" x14ac:dyDescent="0.25">
      <c r="A41" s="9">
        <v>45924.367199074077</v>
      </c>
      <c r="B41" s="9" t="s">
        <v>105</v>
      </c>
      <c r="C41" s="8" t="s">
        <v>106</v>
      </c>
      <c r="D41" s="8" t="s">
        <v>107</v>
      </c>
      <c r="E41" s="8" t="s">
        <v>108</v>
      </c>
      <c r="F41" s="10">
        <v>31175</v>
      </c>
      <c r="G41" s="10" t="s">
        <v>227</v>
      </c>
      <c r="H41" s="10" t="s">
        <v>169</v>
      </c>
    </row>
    <row r="42" spans="1:8" x14ac:dyDescent="0.25">
      <c r="A42" s="9">
        <v>45924.367152777777</v>
      </c>
      <c r="B42" s="9" t="s">
        <v>101</v>
      </c>
      <c r="C42" s="8" t="s">
        <v>102</v>
      </c>
      <c r="D42" s="8" t="s">
        <v>103</v>
      </c>
      <c r="E42" s="8" t="s">
        <v>104</v>
      </c>
      <c r="F42" s="10">
        <v>29786</v>
      </c>
      <c r="G42" s="10" t="s">
        <v>235</v>
      </c>
      <c r="H42" s="10" t="s">
        <v>169</v>
      </c>
    </row>
    <row r="43" spans="1:8" x14ac:dyDescent="0.25">
      <c r="A43" s="9">
        <v>45924.362395833334</v>
      </c>
      <c r="B43" s="9" t="s">
        <v>61</v>
      </c>
      <c r="C43" s="8" t="s">
        <v>62</v>
      </c>
      <c r="D43" s="8" t="s">
        <v>63</v>
      </c>
      <c r="E43" s="8" t="s">
        <v>64</v>
      </c>
      <c r="F43" s="10">
        <v>32775</v>
      </c>
      <c r="G43" s="10" t="s">
        <v>244</v>
      </c>
      <c r="H43" s="10" t="s">
        <v>195</v>
      </c>
    </row>
    <row r="44" spans="1:8" x14ac:dyDescent="0.25">
      <c r="A44" s="5">
        <v>45924.358275462961</v>
      </c>
      <c r="B44" s="5" t="s">
        <v>25</v>
      </c>
      <c r="C44" s="6" t="s">
        <v>26</v>
      </c>
      <c r="D44" s="6" t="s">
        <v>27</v>
      </c>
      <c r="E44" s="6" t="s">
        <v>28</v>
      </c>
      <c r="F44" s="7">
        <v>0</v>
      </c>
      <c r="G44" s="10" t="s">
        <v>194</v>
      </c>
      <c r="H44" s="10" t="s">
        <v>169</v>
      </c>
    </row>
    <row r="45" spans="1:8" x14ac:dyDescent="0.25">
      <c r="A45" s="5">
        <v>45924.3596412037</v>
      </c>
      <c r="B45" s="5" t="s">
        <v>53</v>
      </c>
      <c r="C45" s="6" t="s">
        <v>54</v>
      </c>
      <c r="D45" s="6" t="s">
        <v>55</v>
      </c>
      <c r="E45" s="6" t="s">
        <v>56</v>
      </c>
      <c r="F45" s="7">
        <v>1</v>
      </c>
      <c r="G45" s="10" t="s">
        <v>361</v>
      </c>
      <c r="H45" s="10" t="s">
        <v>169</v>
      </c>
    </row>
    <row r="46" spans="1:8" x14ac:dyDescent="0.25">
      <c r="A46" s="5">
        <v>45924.363159722219</v>
      </c>
      <c r="B46" s="5" t="s">
        <v>69</v>
      </c>
      <c r="C46" s="6" t="s">
        <v>70</v>
      </c>
      <c r="D46" s="6" t="s">
        <v>71</v>
      </c>
      <c r="E46" s="6" t="s">
        <v>72</v>
      </c>
      <c r="F46" s="7">
        <v>2</v>
      </c>
      <c r="G46" s="7" t="s">
        <v>210</v>
      </c>
      <c r="H46" s="7" t="s">
        <v>169</v>
      </c>
    </row>
    <row r="47" spans="1:8" x14ac:dyDescent="0.25">
      <c r="A47" s="14">
        <v>45925.349050925928</v>
      </c>
      <c r="B47" s="14" t="s">
        <v>129</v>
      </c>
      <c r="C47" s="15" t="s">
        <v>130</v>
      </c>
      <c r="D47" s="15" t="s">
        <v>131</v>
      </c>
      <c r="E47" s="15" t="s">
        <v>132</v>
      </c>
      <c r="F47" s="7">
        <v>3</v>
      </c>
      <c r="G47" s="16" t="s">
        <v>168</v>
      </c>
      <c r="H47" s="16" t="s">
        <v>169</v>
      </c>
    </row>
    <row r="48" spans="1:8" x14ac:dyDescent="0.25">
      <c r="A48" s="14">
        <v>45925.35392361111</v>
      </c>
      <c r="B48" s="14" t="s">
        <v>137</v>
      </c>
      <c r="C48" s="15" t="s">
        <v>138</v>
      </c>
      <c r="D48" s="15" t="s">
        <v>139</v>
      </c>
      <c r="E48" s="15" t="s">
        <v>140</v>
      </c>
      <c r="F48" s="7">
        <v>4</v>
      </c>
      <c r="G48" s="16" t="s">
        <v>354</v>
      </c>
      <c r="H48" s="16" t="s">
        <v>169</v>
      </c>
    </row>
    <row r="49" spans="1:8" x14ac:dyDescent="0.25">
      <c r="A49" s="11">
        <v>45925.357349537036</v>
      </c>
      <c r="B49" s="11" t="s">
        <v>147</v>
      </c>
      <c r="C49" s="12" t="s">
        <v>148</v>
      </c>
      <c r="D49" s="12" t="s">
        <v>149</v>
      </c>
      <c r="E49" s="12" t="s">
        <v>150</v>
      </c>
      <c r="F49" s="7">
        <v>5</v>
      </c>
      <c r="G49" s="13" t="s">
        <v>168</v>
      </c>
      <c r="H49" s="13" t="s">
        <v>169</v>
      </c>
    </row>
  </sheetData>
  <autoFilter ref="A1:H49" xr:uid="{B56BD830-8EF8-4E6C-9513-CA2E11CD13C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Presença</vt:lpstr>
      <vt:lpstr>Incrições</vt:lpstr>
      <vt:lpstr>Presença 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2025-09-25T11:49:31Z</dcterms:created>
  <dcterms:modified xsi:type="dcterms:W3CDTF">2025-10-24T15:18:58Z</dcterms:modified>
</cp:coreProperties>
</file>