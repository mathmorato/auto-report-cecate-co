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G:\Drives compartilhados\Projeto Transporte Escolar\00_Relatórios Capacitações\CTE15_POSSE\"/>
    </mc:Choice>
  </mc:AlternateContent>
  <xr:revisionPtr revIDLastSave="0" documentId="13_ncr:1_{D38976ED-8706-49C9-94D2-130954F9BED5}" xr6:coauthVersionLast="47" xr6:coauthVersionMax="47" xr10:uidLastSave="{00000000-0000-0000-0000-000000000000}"/>
  <bookViews>
    <workbookView xWindow="-120" yWindow="-120" windowWidth="29040" windowHeight="15720" tabRatio="772" activeTab="5" xr2:uid="{CF705BD6-A6DF-48B5-B1CC-0BABAB37C2E4}"/>
  </bookViews>
  <sheets>
    <sheet name="Dados" sheetId="17" r:id="rId1"/>
    <sheet name="Apendice III" sheetId="24" r:id="rId2"/>
    <sheet name="Todos" sheetId="18" r:id="rId3"/>
    <sheet name="CACS" sheetId="22" r:id="rId4"/>
    <sheet name="GESTORES" sheetId="23" r:id="rId5"/>
    <sheet name="Resumo " sheetId="21" r:id="rId6"/>
  </sheets>
  <definedNames>
    <definedName name="_xlnm._FilterDatabase" localSheetId="0" hidden="1">Dados!$F$1:$Y$61</definedName>
    <definedName name="_xlnm._FilterDatabase" localSheetId="5" hidden="1">'Resumo '!$D$4:$H$27</definedName>
    <definedName name="_xleta.X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7" l="1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" i="17"/>
  <c r="A12" i="23"/>
  <c r="B12" i="23"/>
  <c r="C12" i="23"/>
  <c r="D12" i="23"/>
  <c r="E12" i="23"/>
  <c r="F12" i="23"/>
  <c r="G12" i="23"/>
  <c r="H12" i="23"/>
  <c r="I12" i="23"/>
  <c r="A13" i="23"/>
  <c r="B13" i="23"/>
  <c r="C13" i="23"/>
  <c r="D13" i="23"/>
  <c r="E13" i="23"/>
  <c r="F13" i="23"/>
  <c r="G13" i="23"/>
  <c r="H13" i="23"/>
  <c r="I13" i="23"/>
  <c r="F45" i="21"/>
  <c r="Q25" i="21"/>
  <c r="B3" i="24" l="1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2" i="24"/>
  <c r="A15" i="23"/>
  <c r="B15" i="23"/>
  <c r="C15" i="23"/>
  <c r="D15" i="23"/>
  <c r="E15" i="23"/>
  <c r="F15" i="23"/>
  <c r="G15" i="23"/>
  <c r="H15" i="23"/>
  <c r="I15" i="23"/>
  <c r="A16" i="23"/>
  <c r="B16" i="23"/>
  <c r="C16" i="23"/>
  <c r="D16" i="23"/>
  <c r="E16" i="23"/>
  <c r="F16" i="23"/>
  <c r="G16" i="23"/>
  <c r="H16" i="23"/>
  <c r="I16" i="23"/>
  <c r="A17" i="23"/>
  <c r="B17" i="23"/>
  <c r="C17" i="23"/>
  <c r="D17" i="23"/>
  <c r="E17" i="23"/>
  <c r="F17" i="23"/>
  <c r="G17" i="23"/>
  <c r="H17" i="23"/>
  <c r="I17" i="23"/>
  <c r="A18" i="23"/>
  <c r="B18" i="23"/>
  <c r="C18" i="23"/>
  <c r="D18" i="23"/>
  <c r="E18" i="23"/>
  <c r="F18" i="23"/>
  <c r="G18" i="23"/>
  <c r="H18" i="23"/>
  <c r="I18" i="23"/>
  <c r="A19" i="23"/>
  <c r="B19" i="23"/>
  <c r="C19" i="23"/>
  <c r="D19" i="23"/>
  <c r="E19" i="23"/>
  <c r="F19" i="23"/>
  <c r="G19" i="23"/>
  <c r="H19" i="23"/>
  <c r="I19" i="23"/>
  <c r="A20" i="23"/>
  <c r="B20" i="23"/>
  <c r="C20" i="23"/>
  <c r="D20" i="23"/>
  <c r="E20" i="23"/>
  <c r="F20" i="23"/>
  <c r="G20" i="23"/>
  <c r="H20" i="23"/>
  <c r="I20" i="23"/>
  <c r="A21" i="23"/>
  <c r="B21" i="23"/>
  <c r="C21" i="23"/>
  <c r="D21" i="23"/>
  <c r="E21" i="23"/>
  <c r="F21" i="23"/>
  <c r="G21" i="23"/>
  <c r="H21" i="23"/>
  <c r="I21" i="23"/>
  <c r="A22" i="23"/>
  <c r="B22" i="23"/>
  <c r="C22" i="23"/>
  <c r="D22" i="23"/>
  <c r="E22" i="23"/>
  <c r="F22" i="23"/>
  <c r="G22" i="23"/>
  <c r="H22" i="23"/>
  <c r="I22" i="23"/>
  <c r="A23" i="23"/>
  <c r="B23" i="23"/>
  <c r="C23" i="23"/>
  <c r="D23" i="23"/>
  <c r="E23" i="23"/>
  <c r="F23" i="23"/>
  <c r="G23" i="23"/>
  <c r="H23" i="23"/>
  <c r="I23" i="23"/>
  <c r="A24" i="23"/>
  <c r="B24" i="23"/>
  <c r="C24" i="23"/>
  <c r="D24" i="23"/>
  <c r="E24" i="23"/>
  <c r="F24" i="23"/>
  <c r="G24" i="23"/>
  <c r="H24" i="23"/>
  <c r="I24" i="23"/>
  <c r="A25" i="23"/>
  <c r="B25" i="23"/>
  <c r="C25" i="23"/>
  <c r="D25" i="23"/>
  <c r="E25" i="23"/>
  <c r="F25" i="23"/>
  <c r="G25" i="23"/>
  <c r="H25" i="23"/>
  <c r="I25" i="23"/>
  <c r="A26" i="23"/>
  <c r="B26" i="23"/>
  <c r="C26" i="23"/>
  <c r="D26" i="23"/>
  <c r="E26" i="23"/>
  <c r="F26" i="23"/>
  <c r="G26" i="23"/>
  <c r="H26" i="23"/>
  <c r="I26" i="23"/>
  <c r="A27" i="23"/>
  <c r="B27" i="23"/>
  <c r="C27" i="23"/>
  <c r="D27" i="23"/>
  <c r="E27" i="23"/>
  <c r="F27" i="23"/>
  <c r="G27" i="23"/>
  <c r="H27" i="23"/>
  <c r="I27" i="23"/>
  <c r="A3" i="22"/>
  <c r="B3" i="22"/>
  <c r="C3" i="22"/>
  <c r="D3" i="22"/>
  <c r="E3" i="22"/>
  <c r="F3" i="22"/>
  <c r="G3" i="22"/>
  <c r="H3" i="22"/>
  <c r="I3" i="22"/>
  <c r="A4" i="22"/>
  <c r="B4" i="22"/>
  <c r="C4" i="22"/>
  <c r="D4" i="22"/>
  <c r="E4" i="22"/>
  <c r="F4" i="22"/>
  <c r="G4" i="22"/>
  <c r="H4" i="22"/>
  <c r="I4" i="22"/>
  <c r="A5" i="22"/>
  <c r="B5" i="22"/>
  <c r="C5" i="22"/>
  <c r="D5" i="22"/>
  <c r="E5" i="22"/>
  <c r="F5" i="22"/>
  <c r="G5" i="22"/>
  <c r="H5" i="22"/>
  <c r="I5" i="22"/>
  <c r="A6" i="22"/>
  <c r="B6" i="22"/>
  <c r="C6" i="22"/>
  <c r="D6" i="22"/>
  <c r="E6" i="22"/>
  <c r="F6" i="22"/>
  <c r="G6" i="22"/>
  <c r="H6" i="22"/>
  <c r="I6" i="22"/>
  <c r="A7" i="22"/>
  <c r="B7" i="22"/>
  <c r="C7" i="22"/>
  <c r="D7" i="22"/>
  <c r="E7" i="22"/>
  <c r="F7" i="22"/>
  <c r="G7" i="22"/>
  <c r="H7" i="22"/>
  <c r="I7" i="22"/>
  <c r="A8" i="22"/>
  <c r="B8" i="22"/>
  <c r="C8" i="22"/>
  <c r="D8" i="22"/>
  <c r="E8" i="22"/>
  <c r="F8" i="22"/>
  <c r="G8" i="22"/>
  <c r="H8" i="22"/>
  <c r="I8" i="22"/>
  <c r="A9" i="22"/>
  <c r="B9" i="22"/>
  <c r="C9" i="22"/>
  <c r="D9" i="22"/>
  <c r="E9" i="22"/>
  <c r="F9" i="22"/>
  <c r="G9" i="22"/>
  <c r="H9" i="22"/>
  <c r="I9" i="22"/>
  <c r="A10" i="22"/>
  <c r="B10" i="22"/>
  <c r="C10" i="22"/>
  <c r="D10" i="22"/>
  <c r="E10" i="22"/>
  <c r="F10" i="22"/>
  <c r="G10" i="22"/>
  <c r="H10" i="22"/>
  <c r="I10" i="22"/>
  <c r="B22" i="18"/>
  <c r="C22" i="18"/>
  <c r="D22" i="18"/>
  <c r="E22" i="18"/>
  <c r="F22" i="18"/>
  <c r="G22" i="18"/>
  <c r="H22" i="18"/>
  <c r="I22" i="18"/>
  <c r="B23" i="18"/>
  <c r="C23" i="18"/>
  <c r="D23" i="18"/>
  <c r="E23" i="18"/>
  <c r="F23" i="18"/>
  <c r="G23" i="18"/>
  <c r="H23" i="18"/>
  <c r="I23" i="18"/>
  <c r="B24" i="18"/>
  <c r="C24" i="18"/>
  <c r="D24" i="18"/>
  <c r="E24" i="18"/>
  <c r="F24" i="18"/>
  <c r="G24" i="18"/>
  <c r="H24" i="18"/>
  <c r="I24" i="18"/>
  <c r="B25" i="18"/>
  <c r="C25" i="18"/>
  <c r="D25" i="18"/>
  <c r="E25" i="18"/>
  <c r="F25" i="18"/>
  <c r="G25" i="18"/>
  <c r="H25" i="18"/>
  <c r="I25" i="18"/>
  <c r="B26" i="18"/>
  <c r="C26" i="18"/>
  <c r="D26" i="18"/>
  <c r="E26" i="18"/>
  <c r="F26" i="18"/>
  <c r="G26" i="18"/>
  <c r="H26" i="18"/>
  <c r="I26" i="18"/>
  <c r="B3" i="18"/>
  <c r="C3" i="18"/>
  <c r="D3" i="18"/>
  <c r="E3" i="18"/>
  <c r="F3" i="18"/>
  <c r="G3" i="18"/>
  <c r="H3" i="18"/>
  <c r="I3" i="18"/>
  <c r="B4" i="18"/>
  <c r="C4" i="18"/>
  <c r="D4" i="18"/>
  <c r="E4" i="18"/>
  <c r="F4" i="18"/>
  <c r="G4" i="18"/>
  <c r="H4" i="18"/>
  <c r="I4" i="18"/>
  <c r="B5" i="18"/>
  <c r="C5" i="18"/>
  <c r="D5" i="18"/>
  <c r="E5" i="18"/>
  <c r="F5" i="18"/>
  <c r="G5" i="18"/>
  <c r="H5" i="18"/>
  <c r="I5" i="18"/>
  <c r="B6" i="18"/>
  <c r="C6" i="18"/>
  <c r="D6" i="18"/>
  <c r="E6" i="18"/>
  <c r="F6" i="18"/>
  <c r="G6" i="18"/>
  <c r="H6" i="18"/>
  <c r="I6" i="18"/>
  <c r="B7" i="18"/>
  <c r="C7" i="18"/>
  <c r="D7" i="18"/>
  <c r="E7" i="18"/>
  <c r="F7" i="18"/>
  <c r="G7" i="18"/>
  <c r="H7" i="18"/>
  <c r="I7" i="18"/>
  <c r="B8" i="18"/>
  <c r="C8" i="18"/>
  <c r="D8" i="18"/>
  <c r="E8" i="18"/>
  <c r="F8" i="18"/>
  <c r="G8" i="18"/>
  <c r="H8" i="18"/>
  <c r="I8" i="18"/>
  <c r="B9" i="18"/>
  <c r="C9" i="18"/>
  <c r="D9" i="18"/>
  <c r="E9" i="18"/>
  <c r="F9" i="18"/>
  <c r="G9" i="18"/>
  <c r="H9" i="18"/>
  <c r="I9" i="18"/>
  <c r="B10" i="18"/>
  <c r="C10" i="18"/>
  <c r="D10" i="18"/>
  <c r="E10" i="18"/>
  <c r="F10" i="18"/>
  <c r="G10" i="18"/>
  <c r="H10" i="18"/>
  <c r="I10" i="18"/>
  <c r="B11" i="18"/>
  <c r="C11" i="18"/>
  <c r="D11" i="18"/>
  <c r="E11" i="18"/>
  <c r="F11" i="18"/>
  <c r="G11" i="18"/>
  <c r="H11" i="18"/>
  <c r="I11" i="18"/>
  <c r="B12" i="18"/>
  <c r="C12" i="18"/>
  <c r="D12" i="18"/>
  <c r="E12" i="18"/>
  <c r="F12" i="18"/>
  <c r="G12" i="18"/>
  <c r="H12" i="18"/>
  <c r="I12" i="18"/>
  <c r="B13" i="18"/>
  <c r="C13" i="18"/>
  <c r="D13" i="18"/>
  <c r="E13" i="18"/>
  <c r="F13" i="18"/>
  <c r="G13" i="18"/>
  <c r="H13" i="18"/>
  <c r="I13" i="18"/>
  <c r="B14" i="18"/>
  <c r="C14" i="18"/>
  <c r="D14" i="18"/>
  <c r="E14" i="18"/>
  <c r="F14" i="18"/>
  <c r="G14" i="18"/>
  <c r="H14" i="18"/>
  <c r="I14" i="18"/>
  <c r="B15" i="18"/>
  <c r="C15" i="18"/>
  <c r="D15" i="18"/>
  <c r="E15" i="18"/>
  <c r="F15" i="18"/>
  <c r="G15" i="18"/>
  <c r="H15" i="18"/>
  <c r="I15" i="18"/>
  <c r="B16" i="18"/>
  <c r="C16" i="18"/>
  <c r="D16" i="18"/>
  <c r="E16" i="18"/>
  <c r="F16" i="18"/>
  <c r="G16" i="18"/>
  <c r="H16" i="18"/>
  <c r="I16" i="18"/>
  <c r="B17" i="18"/>
  <c r="C17" i="18"/>
  <c r="D17" i="18"/>
  <c r="E17" i="18"/>
  <c r="F17" i="18"/>
  <c r="G17" i="18"/>
  <c r="H17" i="18"/>
  <c r="I17" i="18"/>
  <c r="B18" i="18"/>
  <c r="C18" i="18"/>
  <c r="D18" i="18"/>
  <c r="E18" i="18"/>
  <c r="F18" i="18"/>
  <c r="G18" i="18"/>
  <c r="H18" i="18"/>
  <c r="I18" i="18"/>
  <c r="B19" i="18"/>
  <c r="C19" i="18"/>
  <c r="D19" i="18"/>
  <c r="E19" i="18"/>
  <c r="F19" i="18"/>
  <c r="G19" i="18"/>
  <c r="H19" i="18"/>
  <c r="I19" i="18"/>
  <c r="B20" i="18"/>
  <c r="C20" i="18"/>
  <c r="D20" i="18"/>
  <c r="E20" i="18"/>
  <c r="F20" i="18"/>
  <c r="G20" i="18"/>
  <c r="H20" i="18"/>
  <c r="I20" i="18"/>
  <c r="B21" i="18"/>
  <c r="C21" i="18"/>
  <c r="D21" i="18"/>
  <c r="E21" i="18"/>
  <c r="F21" i="18"/>
  <c r="G21" i="18"/>
  <c r="H21" i="18"/>
  <c r="I21" i="18"/>
  <c r="A17" i="18" l="1"/>
  <c r="A18" i="18"/>
  <c r="A19" i="18"/>
  <c r="A20" i="18"/>
  <c r="A21" i="18"/>
  <c r="A22" i="18"/>
  <c r="A23" i="18"/>
  <c r="A24" i="18"/>
  <c r="A25" i="18"/>
  <c r="A26" i="18"/>
  <c r="A3" i="18"/>
  <c r="A4" i="18"/>
  <c r="A5" i="18"/>
  <c r="A6" i="18"/>
  <c r="A7" i="18"/>
  <c r="A8" i="18"/>
  <c r="A9" i="18"/>
  <c r="A10" i="18"/>
  <c r="A11" i="18"/>
  <c r="A12" i="18"/>
  <c r="A13" i="18"/>
  <c r="A14" i="18"/>
  <c r="A2" i="18"/>
  <c r="A15" i="18"/>
  <c r="B2" i="22"/>
  <c r="A16" i="18"/>
  <c r="A2" i="22" l="1"/>
  <c r="A14" i="23"/>
  <c r="B14" i="23"/>
  <c r="C14" i="23"/>
  <c r="D14" i="23"/>
  <c r="E14" i="23"/>
  <c r="F14" i="23"/>
  <c r="G14" i="23"/>
  <c r="H14" i="23"/>
  <c r="I14" i="23"/>
  <c r="C2" i="22"/>
  <c r="D2" i="22"/>
  <c r="E2" i="22"/>
  <c r="F2" i="22"/>
  <c r="G2" i="22"/>
  <c r="H2" i="22"/>
  <c r="I2" i="22"/>
  <c r="B2" i="18" l="1"/>
  <c r="C2" i="18"/>
  <c r="D2" i="18"/>
  <c r="E2" i="18"/>
  <c r="F2" i="18"/>
  <c r="G2" i="18"/>
  <c r="H2" i="18"/>
  <c r="I2" i="18"/>
  <c r="H5" i="21" l="1"/>
  <c r="H23" i="21"/>
  <c r="G9" i="21"/>
  <c r="H7" i="21"/>
  <c r="G23" i="21"/>
  <c r="H8" i="21"/>
  <c r="H22" i="21"/>
  <c r="G8" i="21"/>
  <c r="G22" i="21"/>
  <c r="H21" i="21"/>
  <c r="G7" i="21"/>
  <c r="G21" i="21"/>
  <c r="H6" i="21"/>
  <c r="H20" i="21"/>
  <c r="G6" i="21"/>
  <c r="G20" i="21"/>
  <c r="H19" i="21"/>
  <c r="G19" i="21"/>
  <c r="H18" i="21"/>
  <c r="G17" i="21"/>
  <c r="G18" i="21"/>
  <c r="H17" i="21"/>
  <c r="H16" i="21"/>
  <c r="G16" i="21"/>
  <c r="H15" i="21"/>
  <c r="G15" i="21"/>
  <c r="I15" i="21" s="1"/>
  <c r="H14" i="21"/>
  <c r="G14" i="21"/>
  <c r="H13" i="21"/>
  <c r="G13" i="21"/>
  <c r="H12" i="21"/>
  <c r="G12" i="21"/>
  <c r="H11" i="21"/>
  <c r="G11" i="21"/>
  <c r="H24" i="21"/>
  <c r="H10" i="21"/>
  <c r="G10" i="21"/>
  <c r="G24" i="21"/>
  <c r="H9" i="21"/>
  <c r="O7" i="18"/>
  <c r="O10" i="18" s="1"/>
  <c r="R5" i="23"/>
  <c r="Q5" i="23"/>
  <c r="P5" i="23"/>
  <c r="O5" i="23"/>
  <c r="N5" i="23"/>
  <c r="R5" i="22"/>
  <c r="Q5" i="22"/>
  <c r="P5" i="22"/>
  <c r="O5" i="22"/>
  <c r="N5" i="22"/>
  <c r="O5" i="18"/>
  <c r="O8" i="18" s="1"/>
  <c r="O11" i="18" s="1"/>
  <c r="P5" i="18"/>
  <c r="Q5" i="18"/>
  <c r="R5" i="18"/>
  <c r="N5" i="18"/>
  <c r="I12" i="21" l="1"/>
  <c r="I16" i="21"/>
  <c r="I6" i="21"/>
  <c r="I11" i="21"/>
  <c r="I21" i="21"/>
  <c r="I7" i="21"/>
  <c r="I22" i="21"/>
  <c r="I20" i="21"/>
  <c r="I13" i="21"/>
  <c r="I10" i="21"/>
  <c r="I8" i="21"/>
  <c r="I18" i="21"/>
  <c r="I23" i="21"/>
  <c r="I17" i="21"/>
  <c r="I24" i="21"/>
  <c r="I14" i="21"/>
  <c r="I19" i="21"/>
  <c r="I9" i="21"/>
  <c r="O12" i="22"/>
  <c r="Q11" i="23"/>
  <c r="P11" i="23"/>
  <c r="Q6" i="23"/>
  <c r="P10" i="23"/>
  <c r="R9" i="23"/>
  <c r="O8" i="23"/>
  <c r="O10" i="23"/>
  <c r="Q7" i="23"/>
  <c r="O12" i="23"/>
  <c r="Q11" i="22"/>
  <c r="P11" i="22"/>
  <c r="O6" i="22"/>
  <c r="P7" i="23"/>
  <c r="Q7" i="22"/>
  <c r="O6" i="23"/>
  <c r="R9" i="22"/>
  <c r="O8" i="22"/>
  <c r="P6" i="22"/>
  <c r="P10" i="22"/>
  <c r="P7" i="22"/>
  <c r="Q9" i="22"/>
  <c r="O10" i="22"/>
  <c r="P9" i="22"/>
  <c r="Q9" i="23"/>
  <c r="R7" i="23"/>
  <c r="P8" i="23"/>
  <c r="N9" i="23"/>
  <c r="R11" i="23"/>
  <c r="O7" i="23"/>
  <c r="Q10" i="23"/>
  <c r="Q12" i="23"/>
  <c r="R6" i="23"/>
  <c r="N8" i="23"/>
  <c r="N10" i="23"/>
  <c r="N12" i="23"/>
  <c r="P6" i="23"/>
  <c r="N7" i="23"/>
  <c r="N11" i="23"/>
  <c r="P12" i="23"/>
  <c r="Q8" i="23"/>
  <c r="O9" i="23"/>
  <c r="O11" i="23"/>
  <c r="N6" i="23"/>
  <c r="R8" i="23"/>
  <c r="P9" i="23"/>
  <c r="R10" i="23"/>
  <c r="R12" i="23"/>
  <c r="N7" i="22"/>
  <c r="P8" i="22"/>
  <c r="N9" i="22"/>
  <c r="P12" i="22"/>
  <c r="Q6" i="22"/>
  <c r="O7" i="22"/>
  <c r="Q8" i="22"/>
  <c r="O9" i="22"/>
  <c r="Q10" i="22"/>
  <c r="O11" i="22"/>
  <c r="Q12" i="22"/>
  <c r="R7" i="22"/>
  <c r="N11" i="22"/>
  <c r="R11" i="22"/>
  <c r="N6" i="22"/>
  <c r="R6" i="22"/>
  <c r="N8" i="22"/>
  <c r="R8" i="22"/>
  <c r="N10" i="22"/>
  <c r="R10" i="22"/>
  <c r="N12" i="22"/>
  <c r="R12" i="22"/>
  <c r="N6" i="18" l="1"/>
  <c r="G5" i="21"/>
  <c r="O6" i="18"/>
  <c r="O9" i="18" s="1"/>
  <c r="O12" i="18" s="1"/>
  <c r="N12" i="18"/>
  <c r="N11" i="18"/>
  <c r="N7" i="18"/>
  <c r="N8" i="18"/>
  <c r="P10" i="18"/>
  <c r="Q6" i="18"/>
  <c r="Q12" i="18"/>
  <c r="R10" i="18"/>
  <c r="Q8" i="18"/>
  <c r="N10" i="18"/>
  <c r="Q11" i="18"/>
  <c r="P9" i="18"/>
  <c r="N9" i="18"/>
  <c r="R6" i="18"/>
  <c r="R12" i="18"/>
  <c r="R8" i="18"/>
  <c r="Q10" i="18"/>
  <c r="P12" i="18"/>
  <c r="P8" i="18"/>
  <c r="P6" i="18"/>
  <c r="R9" i="18"/>
  <c r="Q7" i="18"/>
  <c r="R11" i="18"/>
  <c r="R7" i="18"/>
  <c r="Q9" i="18"/>
  <c r="P11" i="18"/>
  <c r="P7" i="18"/>
  <c r="H25" i="21" l="1"/>
  <c r="H26" i="21"/>
  <c r="H33" i="21" s="1"/>
  <c r="G41" i="21" s="1"/>
  <c r="S6" i="21"/>
  <c r="G25" i="21"/>
  <c r="G26" i="21"/>
  <c r="G33" i="21" s="1"/>
  <c r="G40" i="21" s="1"/>
  <c r="I5" i="21"/>
  <c r="G32" i="21" l="1"/>
  <c r="F40" i="21" s="1"/>
  <c r="G46" i="21" s="1"/>
  <c r="G28" i="21"/>
  <c r="H32" i="21"/>
  <c r="F41" i="21" s="1"/>
  <c r="G47" i="21" s="1"/>
  <c r="H28" i="21"/>
  <c r="S5" i="21"/>
  <c r="I26" i="21"/>
  <c r="I25" i="21"/>
  <c r="K30" i="21" s="1"/>
  <c r="L30" i="21" l="1"/>
  <c r="I33" i="21"/>
  <c r="S26" i="21"/>
  <c r="I32" i="21"/>
  <c r="F46" i="21" s="1"/>
  <c r="S25" i="21"/>
  <c r="M30" i="21"/>
  <c r="I28" i="21"/>
</calcChain>
</file>

<file path=xl/sharedStrings.xml><?xml version="1.0" encoding="utf-8"?>
<sst xmlns="http://schemas.openxmlformats.org/spreadsheetml/2006/main" count="671" uniqueCount="388">
  <si>
    <t>Carimbo de data/hora</t>
  </si>
  <si>
    <t>Comentários e/ou Sugestões:</t>
  </si>
  <si>
    <t>Ruim</t>
  </si>
  <si>
    <t>CACS</t>
  </si>
  <si>
    <t>GESTOR</t>
  </si>
  <si>
    <t>Como ficou sabendo da Capacitação?</t>
  </si>
  <si>
    <t>Grupos de WhatsApp</t>
  </si>
  <si>
    <t>Outro</t>
  </si>
  <si>
    <t>Oficio de convocação feito pelo FNDE</t>
  </si>
  <si>
    <t>Nome Completo:</t>
  </si>
  <si>
    <t>CPF</t>
  </si>
  <si>
    <t>e-mail</t>
  </si>
  <si>
    <t>Município que representa:</t>
  </si>
  <si>
    <t>Você faz parte do:</t>
  </si>
  <si>
    <t>Avaliar de 1 a 5 (1 significa "ruim" e 5 significa "excelente") [Inscrição]</t>
  </si>
  <si>
    <t>Avaliar de 1 a 5 (1 significa "ruim" e 5 significa "excelente") [Divulgação]</t>
  </si>
  <si>
    <t>Avaliar de 1 a 5 (1 significa "ruim" e 5 significa "excelente") [Data da Formação]</t>
  </si>
  <si>
    <t>Avaliar de 1 a 5 (1 significa "ruim" e 5 significa "excelente") [Horário da Formação]</t>
  </si>
  <si>
    <t>Avaliar de 1 a 5 (1 significa "ruim" e 5 significa "excelente") [Local da Formação]</t>
  </si>
  <si>
    <t>Avaliar de 1 a 5 (1 significa "ruim" e 5 significa "excelente") [Duração da Formação]</t>
  </si>
  <si>
    <t>Avaliar de 1 a 5 (1 significa "ruim" e 5 significa "excelente") [Como você avalia a Formação]</t>
  </si>
  <si>
    <t>Indique dois aspectos que você mais gostou na Formação:</t>
  </si>
  <si>
    <t>Indique dois aspectos que poderiam ser melhorados na Formação (com detalhes);</t>
  </si>
  <si>
    <t>Instituição vinculada:</t>
  </si>
  <si>
    <t>Mencionar a Instituição vinculada</t>
  </si>
  <si>
    <t>CACS-FUNDEB</t>
  </si>
  <si>
    <t>Conselheira (o) do CACS/Fundeb</t>
  </si>
  <si>
    <t>Gestão municipal</t>
  </si>
  <si>
    <t>Secretaria Municipal de Educação;</t>
  </si>
  <si>
    <t>E-mail encaminhado pelo CECATE/CO</t>
  </si>
  <si>
    <t>Município</t>
  </si>
  <si>
    <t>Faz parte</t>
  </si>
  <si>
    <t xml:space="preserve">Inscrição </t>
  </si>
  <si>
    <t xml:space="preserve">Divulgação </t>
  </si>
  <si>
    <t xml:space="preserve">Data da Formação </t>
  </si>
  <si>
    <t xml:space="preserve">Horário da Formação </t>
  </si>
  <si>
    <t xml:space="preserve">Local da Formação </t>
  </si>
  <si>
    <t xml:space="preserve">Duração da Formação </t>
  </si>
  <si>
    <t xml:space="preserve">Como você avalia a Formação </t>
  </si>
  <si>
    <t>Excelente</t>
  </si>
  <si>
    <t xml:space="preserve"> Muito Bom</t>
  </si>
  <si>
    <t xml:space="preserve"> Neutro</t>
  </si>
  <si>
    <t xml:space="preserve"> Regular</t>
  </si>
  <si>
    <t>TOTAL</t>
  </si>
  <si>
    <t>Data</t>
  </si>
  <si>
    <t>Código IBGE  </t>
  </si>
  <si>
    <t>Distância (km) </t>
  </si>
  <si>
    <t>Presentes</t>
  </si>
  <si>
    <t>Pessoas Inscritas</t>
  </si>
  <si>
    <t>Municípios com pelo menos um representante inscrito</t>
  </si>
  <si>
    <t>Avaliadores</t>
  </si>
  <si>
    <t>Nº de Avaliações</t>
  </si>
  <si>
    <t>Nº de Participantes</t>
  </si>
  <si>
    <t>GESTORES</t>
  </si>
  <si>
    <t>E-mail encaminhado pelo CECATE/CO, Oficio de convocação feito pelo FNDE</t>
  </si>
  <si>
    <t>Código IBGE</t>
  </si>
  <si>
    <t>Tudo</t>
  </si>
  <si>
    <t>Telefone (XX)XXXXX-XXXX</t>
  </si>
  <si>
    <t xml:space="preserve">Sugestão de temas para futuras capacitações 
(Webinar, vídeos de Youtube, postagens de Instagram, etc.) </t>
  </si>
  <si>
    <t>Webinar</t>
  </si>
  <si>
    <t>Organização e gestão do tempo</t>
  </si>
  <si>
    <t>Não tem.</t>
  </si>
  <si>
    <t>Bom nível dos formadores</t>
  </si>
  <si>
    <t>Ser por estado</t>
  </si>
  <si>
    <t>Dinâmica adotada foi boa.</t>
  </si>
  <si>
    <t>Pela primeira vez participando gostei bastante.</t>
  </si>
  <si>
    <t>Conhecimento e informações</t>
  </si>
  <si>
    <t>Nenhum</t>
  </si>
  <si>
    <t>Sete</t>
  </si>
  <si>
    <t>mais dinâmica</t>
  </si>
  <si>
    <t>exatamente</t>
  </si>
  <si>
    <t>não tenho</t>
  </si>
  <si>
    <t>A plataforma do Sete.</t>
  </si>
  <si>
    <t>Não observei nada. Foi perfeito.</t>
  </si>
  <si>
    <t>Formadores e abordagem</t>
  </si>
  <si>
    <t>O tempo que é pouco para aprender.</t>
  </si>
  <si>
    <t>Aprendizado, experiência</t>
  </si>
  <si>
    <t>Gostei bastante, nunca tinha participado</t>
  </si>
  <si>
    <t>Os formadores são responsáveis e entendem dos assuntos trabalhados!</t>
  </si>
  <si>
    <t>A climatização do ambiente</t>
  </si>
  <si>
    <t>Palestra</t>
  </si>
  <si>
    <t>material interessante e ajuda pratica</t>
  </si>
  <si>
    <t>horario da formação e os dias</t>
  </si>
  <si>
    <t>Explicação e localização</t>
  </si>
  <si>
    <t>Prefeitura;</t>
  </si>
  <si>
    <t>Os professores e as atenção com todos</t>
  </si>
  <si>
    <t>Nada a declarar</t>
  </si>
  <si>
    <t>A aplicação é a forma do conteúdo</t>
  </si>
  <si>
    <t>Tempo e dinâmica</t>
  </si>
  <si>
    <t>Do primeiro horário a dinâmica como foi desenvolvido o assunto e gostei da prática sobre alimentar o programa e os vídeos.</t>
  </si>
  <si>
    <t>Poderia ser mais rápido o período da tarde e ter uma dinâmica melhor .</t>
  </si>
  <si>
    <t>São instrutores muito calmos e procuraram sanar as dúvidas de todos, estão de parabéns!</t>
  </si>
  <si>
    <t>O local e o tempo</t>
  </si>
  <si>
    <t>Todos os tópicos</t>
  </si>
  <si>
    <t>.</t>
  </si>
  <si>
    <t>Local e a formação em geral</t>
  </si>
  <si>
    <t>Horário, um pouco puxado das 08:00 às 18:00</t>
  </si>
  <si>
    <t>Tempo do curso</t>
  </si>
  <si>
    <t>Os formadores e pela propriedade do assunto</t>
  </si>
  <si>
    <t>Climatização</t>
  </si>
  <si>
    <t>A Didática dos professores.</t>
  </si>
  <si>
    <t>A formação foi muito boa, mas o tempo foi pouco deveria ser no mínimo uns dois dias. Porque senti que no final na apresentação do sete foi muito corrido</t>
  </si>
  <si>
    <t>Apresentação e e assessoria para entendimento do cursista</t>
  </si>
  <si>
    <t>Ambiente e paciência dos Instrutores</t>
  </si>
  <si>
    <t>Nada a acrescentar</t>
  </si>
  <si>
    <t>Troca de experiências</t>
  </si>
  <si>
    <t>Transparência e o SETA</t>
  </si>
  <si>
    <t>Microfone para ouvir melhor</t>
  </si>
  <si>
    <t>A praticidade no cadastro</t>
  </si>
  <si>
    <t>Sem</t>
  </si>
  <si>
    <t>Conhecimento e entendimento de muita coisa que estava em dúvidas. E professores atenciosos e objetivos.</t>
  </si>
  <si>
    <t>Como sou nova no setor d e transporte, para mim quase tudo e novidade, senti a necessidade de mais tempo de formação.</t>
  </si>
  <si>
    <t>clareza e conteúdo</t>
  </si>
  <si>
    <t>redução de tempo, intercalar com intervalos para ir ao banheiro/tomar água</t>
  </si>
  <si>
    <t>Todos</t>
  </si>
  <si>
    <t>Tá ótimo</t>
  </si>
  <si>
    <t>Abordagem e didática</t>
  </si>
  <si>
    <t xml:space="preserve">Celeridade 
</t>
  </si>
  <si>
    <t>A parte da manhã</t>
  </si>
  <si>
    <t>A explicação no pedido da tarde atrasos</t>
  </si>
  <si>
    <t>Clareza dos formadores e espaço físico</t>
  </si>
  <si>
    <t>Acontecer com mais frequência</t>
  </si>
  <si>
    <t>Informações sem complicar</t>
  </si>
  <si>
    <t>Material didático impresso</t>
  </si>
  <si>
    <t>Sobre sete</t>
  </si>
  <si>
    <t>Mais tempo pra falar sobre sete</t>
  </si>
  <si>
    <t>Boas explicações</t>
  </si>
  <si>
    <t>Menor tempo</t>
  </si>
  <si>
    <t>capacitação</t>
  </si>
  <si>
    <t>tempo de duração da capacitação</t>
  </si>
  <si>
    <t>Didática e conhecimento</t>
  </si>
  <si>
    <t>A forma da aplicação na prática, e informação de melhorias</t>
  </si>
  <si>
    <t>Teoria e prática</t>
  </si>
  <si>
    <t>Muito boa</t>
  </si>
  <si>
    <t>Tudo Tudo</t>
  </si>
  <si>
    <t>Nada Nada</t>
  </si>
  <si>
    <t>Da apresentação do sistema SETE e das informações gerais</t>
  </si>
  <si>
    <t>Ter mais momentos presenciais para tirar dúvidas</t>
  </si>
  <si>
    <t>Material audiovisual e metodologia.</t>
  </si>
  <si>
    <t>Local e custeio.</t>
  </si>
  <si>
    <t>Sete e cacs/Fundeb</t>
  </si>
  <si>
    <t>Local</t>
  </si>
  <si>
    <t>Prática</t>
  </si>
  <si>
    <t>Reunião online</t>
  </si>
  <si>
    <t>Clareza nas informações e oportunidades de perguntas e ter as respostas satisfatórias</t>
  </si>
  <si>
    <t>Nada a reclamar 
Pois, local confortável professores abertos ao diálogo</t>
  </si>
  <si>
    <t>Estudo do SETE</t>
  </si>
  <si>
    <t>Mais capacitação</t>
  </si>
  <si>
    <t>Dinâmica, Objetiva</t>
  </si>
  <si>
    <t>Frequência,</t>
  </si>
  <si>
    <t>Boa explicação e assuntos importantes</t>
  </si>
  <si>
    <t>Horário</t>
  </si>
  <si>
    <t>As orientações repassadas</t>
  </si>
  <si>
    <t>No momento não vejo, pois, os professores orientaram muito bem</t>
  </si>
  <si>
    <t>Conteúdo e esplanacao</t>
  </si>
  <si>
    <t>Mas tempo</t>
  </si>
  <si>
    <t>Clareza nas informações e detalhamento de como proceder com a inserção das informações no SETE.</t>
  </si>
  <si>
    <t>Exportar dados com o programa do nosso estado MS.(NEXXUS)</t>
  </si>
  <si>
    <t>Sistema sete</t>
  </si>
  <si>
    <t>clareza do assunto</t>
  </si>
  <si>
    <t>parte teórica e parte prática no mesmo dia.</t>
  </si>
  <si>
    <t>Informações prestação contas, plataforma Sete</t>
  </si>
  <si>
    <t>Foi bom</t>
  </si>
  <si>
    <t xml:space="preserve">Muito bom dinâmico e esclarecedor 
</t>
  </si>
  <si>
    <t>Na minha opinião tá ótimo da forma que tá</t>
  </si>
  <si>
    <t>Professores com boa oratório e discernimento sobre o tema.</t>
  </si>
  <si>
    <t>Não consta</t>
  </si>
  <si>
    <t>E-mail encaminhado pelo CECATE/CO, Grupos de WhatsApp</t>
  </si>
  <si>
    <t>Duração e local</t>
  </si>
  <si>
    <t>Certificado bem detalhado sobre os assuntos abordados</t>
  </si>
  <si>
    <t>Secretaria Estadual de Educação;</t>
  </si>
  <si>
    <t>Clareza nas exposições e divisão nas apresentações</t>
  </si>
  <si>
    <t>ajuda nos preenchimentos do programa senti</t>
  </si>
  <si>
    <t>1. A RECEPÇÃO 2. O DOMÍNIO DOS PALESTRANTES</t>
  </si>
  <si>
    <t>1. A PARTE PRÁTICA/OPERACIONALIZAÇÃO DO SISTEMA '</t>
  </si>
  <si>
    <t>Os formadores e horários</t>
  </si>
  <si>
    <t>Colocar nas portas as informaçao dos cursos,</t>
  </si>
  <si>
    <t>-</t>
  </si>
  <si>
    <t>mesmo dia.</t>
  </si>
  <si>
    <t>ajuda programa</t>
  </si>
  <si>
    <t>OPERACIONALIZAÇÃO DO SISTEMA</t>
  </si>
  <si>
    <t>perfeito</t>
  </si>
  <si>
    <t>gostei</t>
  </si>
  <si>
    <t>Nada</t>
  </si>
  <si>
    <t xml:space="preserve"> frequência</t>
  </si>
  <si>
    <t>Tempo, Intervalos</t>
  </si>
  <si>
    <t>ótimo</t>
  </si>
  <si>
    <t>mais tempo</t>
  </si>
  <si>
    <t>Detalhes</t>
  </si>
  <si>
    <t>Microfone</t>
  </si>
  <si>
    <t>nada</t>
  </si>
  <si>
    <t>dinâmica</t>
  </si>
  <si>
    <t>Tempo, dinâmica</t>
  </si>
  <si>
    <t>prática</t>
  </si>
  <si>
    <t>Atrasos</t>
  </si>
  <si>
    <t>Mais momentos</t>
  </si>
  <si>
    <t>Material Impresso</t>
  </si>
  <si>
    <t>Bom</t>
  </si>
  <si>
    <t>On-line</t>
  </si>
  <si>
    <t>Juliana da Rosa Miranda</t>
  </si>
  <si>
    <t>000.653.941-60</t>
  </si>
  <si>
    <t>Rosajuliana94@gmail.com</t>
  </si>
  <si>
    <t>(61)99329-7351</t>
  </si>
  <si>
    <t>FLORES DE GOIÁS</t>
  </si>
  <si>
    <t>Detalhamento e pontuação</t>
  </si>
  <si>
    <t>Formas de exportar dados no sistema</t>
  </si>
  <si>
    <t>Eliana Mendes Ferreira Barbosa</t>
  </si>
  <si>
    <t>002.478.031-62</t>
  </si>
  <si>
    <t>elianna.yl@gmail.com</t>
  </si>
  <si>
    <t>(61)99854-7404</t>
  </si>
  <si>
    <t>VILA BOA</t>
  </si>
  <si>
    <t>Informações, pendências</t>
  </si>
  <si>
    <t>Mais tempo</t>
  </si>
  <si>
    <t>Instagram</t>
  </si>
  <si>
    <t>Marlei Nunes do Nascimento Leite</t>
  </si>
  <si>
    <t>002.997.861-02</t>
  </si>
  <si>
    <t>marleijk@hotmail.com</t>
  </si>
  <si>
    <t>(62)99947-8091</t>
  </si>
  <si>
    <t>GUARANI DE GOIÁS</t>
  </si>
  <si>
    <t>Geral</t>
  </si>
  <si>
    <t>Mais formação</t>
  </si>
  <si>
    <t>Núbia Gabriela Silva</t>
  </si>
  <si>
    <t>009.653.111-80</t>
  </si>
  <si>
    <t>nubia-gabi@hotmail.com</t>
  </si>
  <si>
    <t>(62)99952-1117</t>
  </si>
  <si>
    <t>IACIARA</t>
  </si>
  <si>
    <t>Aula prática</t>
  </si>
  <si>
    <t>O laboratório de informática tinha poucos computadores</t>
  </si>
  <si>
    <t>Wesley de Moura costa</t>
  </si>
  <si>
    <t>014.998.801-03</t>
  </si>
  <si>
    <t>wesleymourambi@gmail.com</t>
  </si>
  <si>
    <t>(62)99917-5708</t>
  </si>
  <si>
    <t>MAMBAÍ</t>
  </si>
  <si>
    <t>Forma de explicação</t>
  </si>
  <si>
    <t>Tenpo</t>
  </si>
  <si>
    <t>Ranicleia de Jesus Cirino Viana</t>
  </si>
  <si>
    <t>016.119.711-60</t>
  </si>
  <si>
    <t>ranicleiadejesus@gmail.com</t>
  </si>
  <si>
    <t>(62)99629-3658</t>
  </si>
  <si>
    <t>Acessibilidade e clareza</t>
  </si>
  <si>
    <t>Formação contínua e acompanhamento</t>
  </si>
  <si>
    <t>Webinar e postagens</t>
  </si>
  <si>
    <t>Edilaine Nunes da Silva</t>
  </si>
  <si>
    <t>020.148.371-80</t>
  </si>
  <si>
    <t>Edilaine25ns@gmail.com</t>
  </si>
  <si>
    <t>(62)99606-5940</t>
  </si>
  <si>
    <t>Formadores e conhecimento</t>
  </si>
  <si>
    <t>Localização</t>
  </si>
  <si>
    <t>Preenchimento Simec</t>
  </si>
  <si>
    <t>Romilson Ferreira da Conceição</t>
  </si>
  <si>
    <t>024.401.441-85</t>
  </si>
  <si>
    <t>romilsonroma@hotmail.com</t>
  </si>
  <si>
    <t>(62)99693-1178</t>
  </si>
  <si>
    <t>NOVA ROMA</t>
  </si>
  <si>
    <t>Dinâmica</t>
  </si>
  <si>
    <t>Horário de almoço</t>
  </si>
  <si>
    <t>Vanessa Ferreira da costa Souza</t>
  </si>
  <si>
    <t>024.685.281-43</t>
  </si>
  <si>
    <t>vanessaguar@hotmail.com</t>
  </si>
  <si>
    <t>(62)99608-5963</t>
  </si>
  <si>
    <t>Os assuntos abordados</t>
  </si>
  <si>
    <t>Cleysonn de Souza Araújo</t>
  </si>
  <si>
    <t>044.677.481-21</t>
  </si>
  <si>
    <t>cleysonnaraujo@gmail.com</t>
  </si>
  <si>
    <t>(61)99666-4928</t>
  </si>
  <si>
    <t>Clareza e comunicação</t>
  </si>
  <si>
    <t>Não sei opinar</t>
  </si>
  <si>
    <t>Interação entre sistemas e entendimento geral de indicadores do transporte escolar</t>
  </si>
  <si>
    <t>Idarley Oliveira da Silva</t>
  </si>
  <si>
    <t>053.185.631-39</t>
  </si>
  <si>
    <t>idarleyoliver@hotmail.com</t>
  </si>
  <si>
    <t>(62)99839-8131</t>
  </si>
  <si>
    <t>ALVORADA DO NORTE</t>
  </si>
  <si>
    <t>Teoria e prática.</t>
  </si>
  <si>
    <t>Gestão de tempo é menos disponibilidade de extensão de assuntos chatos por pessoas que a gente percebe que só querem protagonismo.</t>
  </si>
  <si>
    <t>SETE na prática</t>
  </si>
  <si>
    <t>Boas apresentações e firmeza nas falas.</t>
  </si>
  <si>
    <t>Robert Ferreira de Santana</t>
  </si>
  <si>
    <t>053.718.491-06</t>
  </si>
  <si>
    <t>robert1santanago@gmail.com</t>
  </si>
  <si>
    <t>(62)99832-0197</t>
  </si>
  <si>
    <t>Qualidade da Didática dos professores</t>
  </si>
  <si>
    <t>Nenhuma sugestão</t>
  </si>
  <si>
    <t>João Rodrigues Barbosa Neto</t>
  </si>
  <si>
    <t>247.133.681-72</t>
  </si>
  <si>
    <t>joaorodrigues.barbosa@gmail.com</t>
  </si>
  <si>
    <t>(62)99677-9721</t>
  </si>
  <si>
    <t>Conhecimento dos profissionais e educação</t>
  </si>
  <si>
    <t>Obediência aos horários</t>
  </si>
  <si>
    <t>Vanderlei José Valente</t>
  </si>
  <si>
    <t>392.118.431-20</t>
  </si>
  <si>
    <t>secretariadeeducacaonovaroma@gmail.com</t>
  </si>
  <si>
    <t>(62)99961-8209</t>
  </si>
  <si>
    <t>O sistema</t>
  </si>
  <si>
    <t>Mais tempo de formação</t>
  </si>
  <si>
    <t>Muito</t>
  </si>
  <si>
    <t>Ana Karollinne Bandeira</t>
  </si>
  <si>
    <t>701.911.891-70</t>
  </si>
  <si>
    <t>Karollinne.bandeira@hotmail.com</t>
  </si>
  <si>
    <t>(62)99860-5113</t>
  </si>
  <si>
    <t>Welerson Brito Santos</t>
  </si>
  <si>
    <t>702.116.781-47</t>
  </si>
  <si>
    <t>welersonbrito@hotmail.com</t>
  </si>
  <si>
    <t>(62)99657-8732</t>
  </si>
  <si>
    <t>SÍTIO D'ABADIA</t>
  </si>
  <si>
    <t>Tutores cm boa interação e método muito prático na aprendizagem</t>
  </si>
  <si>
    <t>Maria de Fátima Elias Campelo</t>
  </si>
  <si>
    <t>703.028.551-49</t>
  </si>
  <si>
    <t>fatimaeliasferreira@hotmail.com</t>
  </si>
  <si>
    <t>(62)99683-6418</t>
  </si>
  <si>
    <t>O Sistema Sete</t>
  </si>
  <si>
    <t>A fomação foi ótima</t>
  </si>
  <si>
    <t>Montar documentação pra prestação de contas</t>
  </si>
  <si>
    <t>Viviany Moreira de Paula</t>
  </si>
  <si>
    <t>808.493.851-72</t>
  </si>
  <si>
    <t>vivianymoreira2@gmail.com</t>
  </si>
  <si>
    <t>(62)99691-3703</t>
  </si>
  <si>
    <t>CAVALCANTE</t>
  </si>
  <si>
    <t>Do aplicativo SETE e as informações do primeiro momento.</t>
  </si>
  <si>
    <t>Não tenho o que reclamar.</t>
  </si>
  <si>
    <t>Continuar com o SETE</t>
  </si>
  <si>
    <t>Alexandre Querino de Melo</t>
  </si>
  <si>
    <t>827.511.021-15</t>
  </si>
  <si>
    <t>Querinogyn@gmail.com</t>
  </si>
  <si>
    <t>(62)99468-3131</t>
  </si>
  <si>
    <t>POSSE</t>
  </si>
  <si>
    <t>Muito didático e bem analisado</t>
  </si>
  <si>
    <t>Postagem</t>
  </si>
  <si>
    <t>André Oliveira Lima</t>
  </si>
  <si>
    <t>857.649.141-91</t>
  </si>
  <si>
    <t>andreoliveiralima@hotmail.com</t>
  </si>
  <si>
    <t>(94)98413-5970</t>
  </si>
  <si>
    <t>Conhecido de causa dos formadores</t>
  </si>
  <si>
    <t>Duração do curso deveria ser maior</t>
  </si>
  <si>
    <t>Emissão de parecer dos Cacs Fundeb</t>
  </si>
  <si>
    <t>Instagram, Outro</t>
  </si>
  <si>
    <t>Agradecemos a coordenação da coordenação da cecate centro oeste por nos conceder a oportunidade de participar da formação referente ao transporte escolar no município de Posse Go</t>
  </si>
  <si>
    <t>Maria das Vitórias de Medeiros</t>
  </si>
  <si>
    <t>863.921.071-34</t>
  </si>
  <si>
    <t>mariavitoriamedeiros73@gmail.com</t>
  </si>
  <si>
    <t>(62)99685-7065</t>
  </si>
  <si>
    <t>O assunto referente a plataforma sete</t>
  </si>
  <si>
    <t>Gestão de tempo</t>
  </si>
  <si>
    <t>Genildo de Souza Lima</t>
  </si>
  <si>
    <t>881.789.191-68</t>
  </si>
  <si>
    <t>limabrown@hotmail.com</t>
  </si>
  <si>
    <t>(62)99668-1096</t>
  </si>
  <si>
    <t>Aula prática de uso do sete</t>
  </si>
  <si>
    <t>Como avaliar balancetes na prática com a contabilidade</t>
  </si>
  <si>
    <t>Wesley de Souza Salão</t>
  </si>
  <si>
    <t>975.024.561-04</t>
  </si>
  <si>
    <t>wesley-bbt@hotmail.com</t>
  </si>
  <si>
    <t>(61)99254-7901</t>
  </si>
  <si>
    <t>O conhecimento dos professores, resolução e esclarecimento das dúvidas.</t>
  </si>
  <si>
    <t xml:space="preserve">Ter almoço disponível(tivemos que procurar restaurante).
</t>
  </si>
  <si>
    <t>Mais do mesmo.</t>
  </si>
  <si>
    <t>Ivaneide José da Rocha</t>
  </si>
  <si>
    <t>980.367.691-15</t>
  </si>
  <si>
    <t>neidymbi@hotmail.com</t>
  </si>
  <si>
    <t>(62)99995-2128</t>
  </si>
  <si>
    <t>A explanação e pontualidade</t>
  </si>
  <si>
    <t>Tudo muito bem</t>
  </si>
  <si>
    <t>Silmar Moreira dos Santos</t>
  </si>
  <si>
    <t>998.733.111-49</t>
  </si>
  <si>
    <t>professorsilmar.10@gmail.com</t>
  </si>
  <si>
    <t>(62)99839-6244</t>
  </si>
  <si>
    <t>O tema relevante e a clareza nas informações</t>
  </si>
  <si>
    <t>De modo pessoal, o local não foi centralizado o suficiente</t>
  </si>
  <si>
    <t>Alvorada do Norte</t>
  </si>
  <si>
    <t>Buritinópolis</t>
  </si>
  <si>
    <t>Campos Belos</t>
  </si>
  <si>
    <t>Cavalcante</t>
  </si>
  <si>
    <t>Damianópolis</t>
  </si>
  <si>
    <t>Divinópolis de Goiás</t>
  </si>
  <si>
    <t>Flores de Goiás</t>
  </si>
  <si>
    <t>Guarani de Goiás</t>
  </si>
  <si>
    <t>Iaciara</t>
  </si>
  <si>
    <t>Mambaí</t>
  </si>
  <si>
    <t>Monte Alegre de Goiás</t>
  </si>
  <si>
    <t>Nova Roma</t>
  </si>
  <si>
    <t>Posse</t>
  </si>
  <si>
    <t>São Domingos</t>
  </si>
  <si>
    <t>Simolândia</t>
  </si>
  <si>
    <t>Sítio d'Abadia</t>
  </si>
  <si>
    <t>Teresina de Goiás</t>
  </si>
  <si>
    <t>Vila Boa</t>
  </si>
  <si>
    <t>São João d'Aliança</t>
  </si>
  <si>
    <t>Santana do Araguaia (PA)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</si>
</sst>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7" x14ac:knownFonts="1">
    <font>
      <sz val="12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Times New Roman"/>
      <family val="1"/>
    </font>
    <font>
      <sz val="10"/>
      <color rgb="FFFFFFFF"/>
      <name val="Roboto"/>
    </font>
    <font>
      <b/>
      <sz val="10"/>
      <color rgb="FFFFFFFF"/>
      <name val="Roboto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434343"/>
      <name val="Roboto"/>
    </font>
    <font>
      <sz val="5"/>
      <color theme="1" tint="0.499984740745262"/>
      <name val="Arial"/>
      <family val="2"/>
    </font>
    <font>
      <b/>
      <sz val="5"/>
      <color theme="1" tint="0.499984740745262"/>
      <name val="Arial"/>
      <family val="2"/>
    </font>
    <font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sz val="1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3F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4" fontId="0" fillId="2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4" fillId="7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9" fontId="7" fillId="0" borderId="0" xfId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center"/>
    </xf>
    <xf numFmtId="0" fontId="16" fillId="9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4" fillId="10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left" vertical="center" indent="1"/>
    </xf>
    <xf numFmtId="0" fontId="14" fillId="11" borderId="2" xfId="0" applyFont="1" applyFill="1" applyBorder="1" applyAlignment="1">
      <alignment horizontal="left" vertical="center" indent="1"/>
    </xf>
    <xf numFmtId="0" fontId="2" fillId="11" borderId="2" xfId="0" applyFont="1" applyFill="1" applyBorder="1" applyAlignment="1">
      <alignment vertical="center" wrapText="1"/>
    </xf>
    <xf numFmtId="9" fontId="7" fillId="2" borderId="0" xfId="1" applyFont="1" applyFill="1" applyAlignment="1">
      <alignment horizontal="center"/>
    </xf>
    <xf numFmtId="164" fontId="7" fillId="2" borderId="0" xfId="1" applyNumberFormat="1" applyFont="1" applyFill="1"/>
    <xf numFmtId="0" fontId="7" fillId="2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 wrapText="1"/>
    </xf>
    <xf numFmtId="0" fontId="0" fillId="0" borderId="0" xfId="0" applyBorder="1"/>
    <xf numFmtId="22" fontId="8" fillId="0" borderId="0" xfId="0" applyNumberFormat="1" applyFont="1" applyBorder="1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right" vertical="center" wrapText="1"/>
    </xf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7" fillId="0" borderId="0" xfId="0" applyFont="1" applyBorder="1" applyAlignment="1">
      <alignment wrapText="1"/>
    </xf>
    <xf numFmtId="0" fontId="7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14" fillId="12" borderId="2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Todos!$N$5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510-8F42-35154F25B434}"/>
            </c:ext>
          </c:extLst>
        </c:ser>
        <c:ser>
          <c:idx val="1"/>
          <c:order val="1"/>
          <c:tx>
            <c:strRef>
              <c:f>Todos!$O$5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510-8F42-35154F25B434}"/>
            </c:ext>
          </c:extLst>
        </c:ser>
        <c:ser>
          <c:idx val="2"/>
          <c:order val="2"/>
          <c:tx>
            <c:strRef>
              <c:f>Todos!$P$5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Todos!$P$6:$P$12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E-4510-8F42-35154F25B434}"/>
            </c:ext>
          </c:extLst>
        </c:ser>
        <c:ser>
          <c:idx val="3"/>
          <c:order val="3"/>
          <c:tx>
            <c:strRef>
              <c:f>Todos!$Q$5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Todos!$Q$6:$Q$12</c:f>
              <c:numCache>
                <c:formatCode>0.0%</c:formatCode>
                <c:ptCount val="7"/>
                <c:pt idx="0">
                  <c:v>0.28000000000000003</c:v>
                </c:pt>
                <c:pt idx="1">
                  <c:v>0.56000000000000005</c:v>
                </c:pt>
                <c:pt idx="2">
                  <c:v>0.4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E-4510-8F42-35154F25B434}"/>
            </c:ext>
          </c:extLst>
        </c:ser>
        <c:ser>
          <c:idx val="4"/>
          <c:order val="4"/>
          <c:tx>
            <c:strRef>
              <c:f>Todos!$R$5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Todos!$R$6:$R$12</c:f>
              <c:numCache>
                <c:formatCode>0.0%</c:formatCode>
                <c:ptCount val="7"/>
                <c:pt idx="0">
                  <c:v>0.72</c:v>
                </c:pt>
                <c:pt idx="1">
                  <c:v>0.44</c:v>
                </c:pt>
                <c:pt idx="2">
                  <c:v>0.6</c:v>
                </c:pt>
                <c:pt idx="3">
                  <c:v>0.72</c:v>
                </c:pt>
                <c:pt idx="4">
                  <c:v>0.64</c:v>
                </c:pt>
                <c:pt idx="5">
                  <c:v>0.64</c:v>
                </c:pt>
                <c:pt idx="6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E-4510-8F42-35154F25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CACS!$N$5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1-4361-B35C-2076A2B285F1}"/>
            </c:ext>
          </c:extLst>
        </c:ser>
        <c:ser>
          <c:idx val="1"/>
          <c:order val="1"/>
          <c:tx>
            <c:strRef>
              <c:f>CACS!$O$5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0.1111111111111111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1-4361-B35C-2076A2B285F1}"/>
            </c:ext>
          </c:extLst>
        </c:ser>
        <c:ser>
          <c:idx val="2"/>
          <c:order val="2"/>
          <c:tx>
            <c:strRef>
              <c:f>CACS!$P$5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CACS!$P$6:$P$12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0.1111111111111111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1-4361-B35C-2076A2B285F1}"/>
            </c:ext>
          </c:extLst>
        </c:ser>
        <c:ser>
          <c:idx val="3"/>
          <c:order val="3"/>
          <c:tx>
            <c:strRef>
              <c:f>CACS!$Q$5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CACS!$Q$6:$Q$12</c:f>
              <c:numCache>
                <c:formatCode>0.0%</c:formatCode>
                <c:ptCount val="7"/>
                <c:pt idx="0">
                  <c:v>0.22222222222222221</c:v>
                </c:pt>
                <c:pt idx="1">
                  <c:v>0.44444444444444442</c:v>
                </c:pt>
                <c:pt idx="2">
                  <c:v>0.33333333333333331</c:v>
                </c:pt>
                <c:pt idx="3">
                  <c:v>0.22222222222222221</c:v>
                </c:pt>
                <c:pt idx="4">
                  <c:v>0.22222222222222221</c:v>
                </c:pt>
                <c:pt idx="5">
                  <c:v>0.22222222222222221</c:v>
                </c:pt>
                <c:pt idx="6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361-B35C-2076A2B285F1}"/>
            </c:ext>
          </c:extLst>
        </c:ser>
        <c:ser>
          <c:idx val="4"/>
          <c:order val="4"/>
          <c:tx>
            <c:strRef>
              <c:f>CACS!$R$5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CACS!$R$6:$R$12</c:f>
              <c:numCache>
                <c:formatCode>0.0%</c:formatCode>
                <c:ptCount val="7"/>
                <c:pt idx="0">
                  <c:v>0.77777777777777779</c:v>
                </c:pt>
                <c:pt idx="1">
                  <c:v>0.55555555555555558</c:v>
                </c:pt>
                <c:pt idx="2">
                  <c:v>0.66666666666666663</c:v>
                </c:pt>
                <c:pt idx="3">
                  <c:v>0.77777777777777779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0.77777777777777779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01-4361-B35C-2076A2B2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GESTORES!$N$5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6-4242-BC4D-4640E2418CAA}"/>
            </c:ext>
          </c:extLst>
        </c:ser>
        <c:ser>
          <c:idx val="1"/>
          <c:order val="1"/>
          <c:tx>
            <c:strRef>
              <c:f>GESTORES!$O$5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6.25E-2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16-4242-BC4D-4640E2418CAA}"/>
            </c:ext>
          </c:extLst>
        </c:ser>
        <c:ser>
          <c:idx val="2"/>
          <c:order val="2"/>
          <c:tx>
            <c:strRef>
              <c:f>GESTORES!$P$5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GESTORES!$P$6:$P$12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16-4242-BC4D-4640E2418CAA}"/>
            </c:ext>
          </c:extLst>
        </c:ser>
        <c:ser>
          <c:idx val="3"/>
          <c:order val="3"/>
          <c:tx>
            <c:strRef>
              <c:f>GESTORES!$Q$5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GESTORES!$Q$6:$Q$12</c:f>
              <c:numCache>
                <c:formatCode>0.0%</c:formatCode>
                <c:ptCount val="7"/>
                <c:pt idx="0">
                  <c:v>0.3125</c:v>
                </c:pt>
                <c:pt idx="1">
                  <c:v>0.625</c:v>
                </c:pt>
                <c:pt idx="2">
                  <c:v>0.4375</c:v>
                </c:pt>
                <c:pt idx="3">
                  <c:v>0.3125</c:v>
                </c:pt>
                <c:pt idx="4">
                  <c:v>0.3125</c:v>
                </c:pt>
                <c:pt idx="5">
                  <c:v>0.375</c:v>
                </c:pt>
                <c:pt idx="6">
                  <c:v>0.3125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16-4242-BC4D-4640E2418CAA}"/>
            </c:ext>
          </c:extLst>
        </c:ser>
        <c:ser>
          <c:idx val="4"/>
          <c:order val="4"/>
          <c:tx>
            <c:strRef>
              <c:f>GESTORES!$R$5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GESTORES!$R$6:$R$12</c:f>
              <c:numCache>
                <c:formatCode>0.0%</c:formatCode>
                <c:ptCount val="7"/>
                <c:pt idx="0">
                  <c:v>0.6875</c:v>
                </c:pt>
                <c:pt idx="1">
                  <c:v>0.375</c:v>
                </c:pt>
                <c:pt idx="2">
                  <c:v>0.5625</c:v>
                </c:pt>
                <c:pt idx="3">
                  <c:v>0.6875</c:v>
                </c:pt>
                <c:pt idx="4">
                  <c:v>0.625</c:v>
                </c:pt>
                <c:pt idx="5">
                  <c:v>0.625</c:v>
                </c:pt>
                <c:pt idx="6">
                  <c:v>0.6875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16-4242-BC4D-4640E241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'Resumo '!$F$39</c:f>
              <c:strCache>
                <c:ptCount val="1"/>
                <c:pt idx="0">
                  <c:v>Nº de Avaliações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explosion val="5"/>
          <c:dPt>
            <c:idx val="1"/>
            <c:bubble3D val="0"/>
            <c:spPr>
              <a:solidFill>
                <a:srgbClr val="FFCD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'!$E$40:$E$41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'!$F$40:$F$41</c:f>
              <c:numCache>
                <c:formatCode>General</c:formatCode>
                <c:ptCount val="2"/>
                <c:pt idx="0">
                  <c:v>9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7D-4BA3-A136-F9F438ADC8D9}"/>
            </c:ext>
          </c:extLst>
        </c:ser>
        <c:ser>
          <c:idx val="0"/>
          <c:order val="1"/>
          <c:tx>
            <c:strRef>
              <c:f>'Resumo '!$G$31</c:f>
              <c:strCache>
                <c:ptCount val="1"/>
                <c:pt idx="0">
                  <c:v>CACS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rgbClr val="FFCD2F"/>
              </a:solidFill>
            </c:spPr>
            <c:extLst>
              <c:ext xmlns:c16="http://schemas.microsoft.com/office/drawing/2014/chart" uri="{C3380CC4-5D6E-409C-BE32-E72D297353CC}">
                <c16:uniqueId val="{0000000C-BE7D-4BA3-A136-F9F438ADC8D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'!$E$40:$E$41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'!$G$32:$G$33</c:f>
              <c:numCache>
                <c:formatCode>General</c:formatCode>
                <c:ptCount val="2"/>
                <c:pt idx="0">
                  <c:v>9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7D-4BA3-A136-F9F438ADC8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0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219940</xdr:colOff>
      <xdr:row>2</xdr:row>
      <xdr:rowOff>9525</xdr:rowOff>
    </xdr:from>
    <xdr:to>
      <xdr:col>30</xdr:col>
      <xdr:colOff>120360</xdr:colOff>
      <xdr:row>13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195C50-D8D4-336A-2C67-3F3ACACA2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75E78E-27A5-47A2-A8F5-D631E50B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14</xdr:row>
      <xdr:rowOff>0</xdr:rowOff>
    </xdr:from>
    <xdr:to>
      <xdr:col>18</xdr:col>
      <xdr:colOff>575829</xdr:colOff>
      <xdr:row>25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77BFC5-3938-468A-84DF-53DFED50E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36</xdr:row>
      <xdr:rowOff>23812</xdr:rowOff>
    </xdr:from>
    <xdr:to>
      <xdr:col>12</xdr:col>
      <xdr:colOff>590550</xdr:colOff>
      <xdr:row>46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C7C01-7A9E-1338-7402-F1BE8F39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F349-0C43-482B-9AE7-FF09C1F6FABC}">
  <dimension ref="A1:AD161"/>
  <sheetViews>
    <sheetView topLeftCell="Q1" zoomScale="85" zoomScaleNormal="85" workbookViewId="0">
      <selection activeCell="V2" sqref="V2:V26"/>
    </sheetView>
  </sheetViews>
  <sheetFormatPr defaultColWidth="9" defaultRowHeight="19.5" x14ac:dyDescent="0.4"/>
  <cols>
    <col min="1" max="1" width="22.5" style="64" customWidth="1"/>
    <col min="2" max="2" width="30.5" style="61" bestFit="1" customWidth="1"/>
    <col min="3" max="3" width="28.375" style="61" customWidth="1"/>
    <col min="4" max="4" width="37.375" style="61" customWidth="1"/>
    <col min="5" max="5" width="15.375" style="64" customWidth="1"/>
    <col min="6" max="6" width="23.75" style="64" customWidth="1"/>
    <col min="7" max="7" width="17.5" style="64" customWidth="1"/>
    <col min="8" max="14" width="9" style="61" customWidth="1"/>
    <col min="15" max="15" width="60.375" style="61" customWidth="1"/>
    <col min="16" max="16" width="88.25" style="61" customWidth="1"/>
    <col min="17" max="17" width="25.75" style="61" customWidth="1"/>
    <col min="18" max="18" width="25" style="61" customWidth="1"/>
    <col min="19" max="19" width="85.5" style="61" customWidth="1"/>
    <col min="20" max="20" width="44.375" style="61" customWidth="1"/>
    <col min="21" max="21" width="56.75" style="61" customWidth="1"/>
    <col min="22" max="22" width="27.5" style="61" bestFit="1" customWidth="1"/>
    <col min="23" max="23" width="9.25" style="61" bestFit="1" customWidth="1"/>
    <col min="24" max="24" width="28.125" style="61" bestFit="1" customWidth="1"/>
    <col min="25" max="32" width="8.75" style="61" customWidth="1"/>
    <col min="33" max="16384" width="9" style="61"/>
  </cols>
  <sheetData>
    <row r="1" spans="1:30" s="55" customFormat="1" ht="25.5" x14ac:dyDescent="0.4">
      <c r="A1" s="49" t="s">
        <v>0</v>
      </c>
      <c r="B1" s="50" t="s">
        <v>9</v>
      </c>
      <c r="C1" s="50" t="s">
        <v>10</v>
      </c>
      <c r="D1" s="50" t="s">
        <v>11</v>
      </c>
      <c r="E1" s="51" t="s">
        <v>57</v>
      </c>
      <c r="F1" s="52" t="s">
        <v>12</v>
      </c>
      <c r="G1" s="52" t="s">
        <v>13</v>
      </c>
      <c r="H1" s="53" t="s">
        <v>14</v>
      </c>
      <c r="I1" s="53" t="s">
        <v>15</v>
      </c>
      <c r="J1" s="53" t="s">
        <v>16</v>
      </c>
      <c r="K1" s="53" t="s">
        <v>17</v>
      </c>
      <c r="L1" s="53" t="s">
        <v>18</v>
      </c>
      <c r="M1" s="53" t="s">
        <v>19</v>
      </c>
      <c r="N1" s="53" t="s">
        <v>20</v>
      </c>
      <c r="O1" s="53" t="s">
        <v>21</v>
      </c>
      <c r="P1" s="53" t="s">
        <v>22</v>
      </c>
      <c r="Q1" s="53" t="s">
        <v>23</v>
      </c>
      <c r="R1" s="53" t="s">
        <v>24</v>
      </c>
      <c r="S1" s="54" t="s">
        <v>58</v>
      </c>
      <c r="T1" s="53" t="s">
        <v>5</v>
      </c>
      <c r="U1" s="53" t="s">
        <v>1</v>
      </c>
    </row>
    <row r="2" spans="1:30" x14ac:dyDescent="0.4">
      <c r="A2" s="56">
        <v>46183.633657407408</v>
      </c>
      <c r="B2" s="57" t="s">
        <v>242</v>
      </c>
      <c r="C2" s="57" t="s">
        <v>243</v>
      </c>
      <c r="D2" s="57" t="s">
        <v>244</v>
      </c>
      <c r="E2" s="58" t="s">
        <v>245</v>
      </c>
      <c r="F2" s="58" t="s">
        <v>203</v>
      </c>
      <c r="G2" s="58" t="s">
        <v>25</v>
      </c>
      <c r="H2" s="59">
        <v>5</v>
      </c>
      <c r="I2" s="59">
        <v>4</v>
      </c>
      <c r="J2" s="59">
        <v>5</v>
      </c>
      <c r="K2" s="59">
        <v>5</v>
      </c>
      <c r="L2" s="59">
        <v>2</v>
      </c>
      <c r="M2" s="59">
        <v>3</v>
      </c>
      <c r="N2" s="59">
        <v>4</v>
      </c>
      <c r="O2" s="57" t="s">
        <v>246</v>
      </c>
      <c r="P2" s="57" t="s">
        <v>247</v>
      </c>
      <c r="Q2" s="57" t="s">
        <v>28</v>
      </c>
      <c r="R2" s="60"/>
      <c r="S2" s="60" t="s">
        <v>248</v>
      </c>
      <c r="T2" s="57" t="s">
        <v>29</v>
      </c>
      <c r="U2" s="60"/>
      <c r="V2" s="61" t="str">
        <f>F2</f>
        <v>FLORES DE GOIÁS</v>
      </c>
      <c r="W2" s="55"/>
      <c r="X2" s="55"/>
      <c r="Y2" s="55"/>
      <c r="Z2" s="55"/>
      <c r="AA2" s="55"/>
      <c r="AB2" s="55"/>
      <c r="AC2" s="55"/>
      <c r="AD2" s="55"/>
    </row>
    <row r="3" spans="1:30" ht="28.5" x14ac:dyDescent="0.4">
      <c r="A3" s="56">
        <v>46183.631226851852</v>
      </c>
      <c r="B3" s="57" t="s">
        <v>256</v>
      </c>
      <c r="C3" s="57" t="s">
        <v>257</v>
      </c>
      <c r="D3" s="57" t="s">
        <v>258</v>
      </c>
      <c r="E3" s="58" t="s">
        <v>259</v>
      </c>
      <c r="F3" s="58" t="s">
        <v>218</v>
      </c>
      <c r="G3" s="58" t="s">
        <v>25</v>
      </c>
      <c r="H3" s="59">
        <v>5</v>
      </c>
      <c r="I3" s="59">
        <v>5</v>
      </c>
      <c r="J3" s="59">
        <v>5</v>
      </c>
      <c r="K3" s="59">
        <v>5</v>
      </c>
      <c r="L3" s="59">
        <v>5</v>
      </c>
      <c r="M3" s="57">
        <v>5</v>
      </c>
      <c r="N3" s="57">
        <v>5</v>
      </c>
      <c r="O3" s="57" t="s">
        <v>260</v>
      </c>
      <c r="P3" s="60" t="s">
        <v>183</v>
      </c>
      <c r="Q3" s="57" t="s">
        <v>26</v>
      </c>
      <c r="R3" s="57"/>
      <c r="S3" s="57"/>
      <c r="T3" s="62" t="s">
        <v>54</v>
      </c>
      <c r="U3" s="62"/>
      <c r="V3" s="61" t="str">
        <f t="shared" ref="V3:V26" si="0">F3</f>
        <v>GUARANI DE GOIÁS</v>
      </c>
      <c r="W3" s="55"/>
      <c r="X3" s="55"/>
      <c r="Y3" s="55"/>
    </row>
    <row r="4" spans="1:30" ht="25.5" x14ac:dyDescent="0.4">
      <c r="A4" s="56">
        <v>46183.681666666664</v>
      </c>
      <c r="B4" s="57" t="s">
        <v>268</v>
      </c>
      <c r="C4" s="57" t="s">
        <v>269</v>
      </c>
      <c r="D4" s="57" t="s">
        <v>270</v>
      </c>
      <c r="E4" s="58" t="s">
        <v>271</v>
      </c>
      <c r="F4" s="58" t="s">
        <v>272</v>
      </c>
      <c r="G4" s="58" t="s">
        <v>25</v>
      </c>
      <c r="H4" s="59">
        <v>4</v>
      </c>
      <c r="I4" s="59">
        <v>4</v>
      </c>
      <c r="J4" s="59">
        <v>4</v>
      </c>
      <c r="K4" s="59">
        <v>4</v>
      </c>
      <c r="L4" s="59">
        <v>4</v>
      </c>
      <c r="M4" s="59">
        <v>4</v>
      </c>
      <c r="N4" s="59">
        <v>4</v>
      </c>
      <c r="O4" s="57" t="s">
        <v>273</v>
      </c>
      <c r="P4" s="57" t="s">
        <v>274</v>
      </c>
      <c r="Q4" s="57" t="s">
        <v>28</v>
      </c>
      <c r="R4" s="60"/>
      <c r="S4" s="57" t="s">
        <v>275</v>
      </c>
      <c r="T4" s="57" t="s">
        <v>29</v>
      </c>
      <c r="U4" s="57" t="s">
        <v>276</v>
      </c>
      <c r="V4" s="61" t="str">
        <f t="shared" si="0"/>
        <v>ALVORADA DO NORTE</v>
      </c>
      <c r="W4" s="55"/>
      <c r="X4" s="55"/>
      <c r="Y4" s="55"/>
      <c r="Z4" s="55"/>
      <c r="AA4" s="55"/>
      <c r="AB4" s="55"/>
      <c r="AC4" s="55"/>
      <c r="AD4" s="55"/>
    </row>
    <row r="5" spans="1:30" x14ac:dyDescent="0.4">
      <c r="A5" s="56">
        <v>46183.657187500001</v>
      </c>
      <c r="B5" s="57" t="s">
        <v>306</v>
      </c>
      <c r="C5" s="57" t="s">
        <v>307</v>
      </c>
      <c r="D5" s="57" t="s">
        <v>308</v>
      </c>
      <c r="E5" s="58" t="s">
        <v>309</v>
      </c>
      <c r="F5" s="58" t="s">
        <v>253</v>
      </c>
      <c r="G5" s="58" t="s">
        <v>25</v>
      </c>
      <c r="H5" s="59">
        <v>4</v>
      </c>
      <c r="I5" s="59">
        <v>4</v>
      </c>
      <c r="J5" s="59">
        <v>4</v>
      </c>
      <c r="K5" s="59">
        <v>5</v>
      </c>
      <c r="L5" s="59">
        <v>5</v>
      </c>
      <c r="M5" s="57">
        <v>5</v>
      </c>
      <c r="N5" s="57">
        <v>5</v>
      </c>
      <c r="O5" s="57" t="s">
        <v>310</v>
      </c>
      <c r="P5" s="60" t="s">
        <v>311</v>
      </c>
      <c r="Q5" s="60" t="s">
        <v>26</v>
      </c>
      <c r="R5" s="57"/>
      <c r="S5" s="60" t="s">
        <v>312</v>
      </c>
      <c r="T5" s="62" t="s">
        <v>7</v>
      </c>
      <c r="U5" s="62"/>
      <c r="V5" s="61" t="str">
        <f t="shared" si="0"/>
        <v>NOVA ROMA</v>
      </c>
      <c r="W5" s="55"/>
      <c r="X5" s="55"/>
      <c r="Y5" s="55"/>
      <c r="Z5" s="55"/>
      <c r="AA5" s="55"/>
      <c r="AB5" s="55"/>
      <c r="AC5" s="55"/>
      <c r="AD5" s="55"/>
    </row>
    <row r="6" spans="1:30" ht="41.25" x14ac:dyDescent="0.4">
      <c r="A6" s="56">
        <v>46183.569675925923</v>
      </c>
      <c r="B6" s="57" t="s">
        <v>328</v>
      </c>
      <c r="C6" s="57" t="s">
        <v>329</v>
      </c>
      <c r="D6" s="57" t="s">
        <v>330</v>
      </c>
      <c r="E6" s="58" t="s">
        <v>331</v>
      </c>
      <c r="F6" s="58" t="s">
        <v>325</v>
      </c>
      <c r="G6" s="58" t="s">
        <v>25</v>
      </c>
      <c r="H6" s="59">
        <v>5</v>
      </c>
      <c r="I6" s="59">
        <v>4</v>
      </c>
      <c r="J6" s="59">
        <v>4</v>
      </c>
      <c r="K6" s="59">
        <v>4</v>
      </c>
      <c r="L6" s="59">
        <v>5</v>
      </c>
      <c r="M6" s="57">
        <v>4</v>
      </c>
      <c r="N6" s="57">
        <v>5</v>
      </c>
      <c r="O6" s="57" t="s">
        <v>332</v>
      </c>
      <c r="P6" s="60" t="s">
        <v>333</v>
      </c>
      <c r="Q6" s="60" t="s">
        <v>26</v>
      </c>
      <c r="R6" s="57"/>
      <c r="S6" s="60" t="s">
        <v>334</v>
      </c>
      <c r="T6" s="62" t="s">
        <v>335</v>
      </c>
      <c r="U6" s="62" t="s">
        <v>336</v>
      </c>
      <c r="V6" s="61" t="str">
        <f t="shared" si="0"/>
        <v>POSSE</v>
      </c>
      <c r="W6" s="55"/>
      <c r="X6" s="55"/>
      <c r="Y6" s="55"/>
      <c r="Z6" s="55"/>
      <c r="AA6" s="55"/>
      <c r="AB6" s="55"/>
      <c r="AC6" s="55"/>
      <c r="AD6" s="55"/>
    </row>
    <row r="7" spans="1:30" x14ac:dyDescent="0.4">
      <c r="A7" s="56">
        <v>46183.656747685185</v>
      </c>
      <c r="B7" s="57" t="s">
        <v>337</v>
      </c>
      <c r="C7" s="57" t="s">
        <v>338</v>
      </c>
      <c r="D7" s="57" t="s">
        <v>339</v>
      </c>
      <c r="E7" s="58" t="s">
        <v>340</v>
      </c>
      <c r="F7" s="58" t="s">
        <v>253</v>
      </c>
      <c r="G7" s="58" t="s">
        <v>25</v>
      </c>
      <c r="H7" s="59">
        <v>5</v>
      </c>
      <c r="I7" s="59">
        <v>5</v>
      </c>
      <c r="J7" s="59">
        <v>5</v>
      </c>
      <c r="K7" s="59">
        <v>5</v>
      </c>
      <c r="L7" s="59">
        <v>5</v>
      </c>
      <c r="M7" s="57">
        <v>5</v>
      </c>
      <c r="N7" s="57">
        <v>5</v>
      </c>
      <c r="O7" s="57" t="s">
        <v>341</v>
      </c>
      <c r="P7" s="60" t="s">
        <v>342</v>
      </c>
      <c r="Q7" s="57" t="s">
        <v>28</v>
      </c>
      <c r="R7" s="57"/>
      <c r="S7" s="60" t="s">
        <v>59</v>
      </c>
      <c r="T7" s="62" t="s">
        <v>7</v>
      </c>
      <c r="U7" s="62"/>
      <c r="V7" s="61" t="str">
        <f t="shared" si="0"/>
        <v>NOVA ROMA</v>
      </c>
      <c r="W7" s="55"/>
      <c r="X7" s="55"/>
      <c r="Y7" s="55"/>
    </row>
    <row r="8" spans="1:30" x14ac:dyDescent="0.4">
      <c r="A8" s="56">
        <v>46183.656342592592</v>
      </c>
      <c r="B8" s="57" t="s">
        <v>343</v>
      </c>
      <c r="C8" s="57" t="s">
        <v>344</v>
      </c>
      <c r="D8" s="57" t="s">
        <v>345</v>
      </c>
      <c r="E8" s="58" t="s">
        <v>346</v>
      </c>
      <c r="F8" s="58" t="s">
        <v>225</v>
      </c>
      <c r="G8" s="58" t="s">
        <v>25</v>
      </c>
      <c r="H8" s="59">
        <v>5</v>
      </c>
      <c r="I8" s="59">
        <v>5</v>
      </c>
      <c r="J8" s="59">
        <v>5</v>
      </c>
      <c r="K8" s="59">
        <v>5</v>
      </c>
      <c r="L8" s="59">
        <v>5</v>
      </c>
      <c r="M8" s="57">
        <v>5</v>
      </c>
      <c r="N8" s="57">
        <v>5</v>
      </c>
      <c r="O8" s="57" t="s">
        <v>310</v>
      </c>
      <c r="P8" s="60" t="s">
        <v>347</v>
      </c>
      <c r="Q8" s="60" t="s">
        <v>84</v>
      </c>
      <c r="R8" s="57"/>
      <c r="S8" s="60" t="s">
        <v>348</v>
      </c>
      <c r="T8" s="62" t="s">
        <v>29</v>
      </c>
      <c r="U8" s="62"/>
      <c r="V8" s="61" t="str">
        <f t="shared" si="0"/>
        <v>IACIARA</v>
      </c>
      <c r="W8" s="55"/>
      <c r="X8" s="55"/>
      <c r="Y8" s="55"/>
      <c r="Z8" s="55"/>
      <c r="AA8" s="55"/>
      <c r="AB8" s="55"/>
      <c r="AC8" s="55"/>
      <c r="AD8" s="55"/>
    </row>
    <row r="9" spans="1:30" ht="25.5" x14ac:dyDescent="0.4">
      <c r="A9" s="56">
        <v>46183.656469907408</v>
      </c>
      <c r="B9" s="57" t="s">
        <v>356</v>
      </c>
      <c r="C9" s="57" t="s">
        <v>357</v>
      </c>
      <c r="D9" s="57" t="s">
        <v>358</v>
      </c>
      <c r="E9" s="58" t="s">
        <v>359</v>
      </c>
      <c r="F9" s="58" t="s">
        <v>232</v>
      </c>
      <c r="G9" s="58" t="s">
        <v>25</v>
      </c>
      <c r="H9" s="59">
        <v>5</v>
      </c>
      <c r="I9" s="59">
        <v>5</v>
      </c>
      <c r="J9" s="59">
        <v>5</v>
      </c>
      <c r="K9" s="59">
        <v>5</v>
      </c>
      <c r="L9" s="59">
        <v>5</v>
      </c>
      <c r="M9" s="57">
        <v>5</v>
      </c>
      <c r="N9" s="57">
        <v>5</v>
      </c>
      <c r="O9" s="57" t="s">
        <v>360</v>
      </c>
      <c r="P9" s="60" t="s">
        <v>361</v>
      </c>
      <c r="Q9" s="60" t="s">
        <v>170</v>
      </c>
      <c r="R9" s="57"/>
      <c r="S9" s="60" t="s">
        <v>213</v>
      </c>
      <c r="T9" s="62" t="s">
        <v>8</v>
      </c>
      <c r="U9" s="62"/>
      <c r="V9" s="61" t="str">
        <f t="shared" si="0"/>
        <v>MAMBAÍ</v>
      </c>
      <c r="W9" s="55"/>
      <c r="X9" s="55"/>
      <c r="Y9" s="55"/>
      <c r="Z9" s="55"/>
      <c r="AA9" s="55"/>
      <c r="AB9" s="55"/>
      <c r="AC9" s="55"/>
      <c r="AD9" s="55"/>
    </row>
    <row r="10" spans="1:30" x14ac:dyDescent="0.4">
      <c r="A10" s="56">
        <v>46183.656238425923</v>
      </c>
      <c r="B10" s="57" t="s">
        <v>362</v>
      </c>
      <c r="C10" s="57" t="s">
        <v>363</v>
      </c>
      <c r="D10" s="57" t="s">
        <v>364</v>
      </c>
      <c r="E10" s="58" t="s">
        <v>365</v>
      </c>
      <c r="F10" s="58" t="s">
        <v>317</v>
      </c>
      <c r="G10" s="58" t="s">
        <v>25</v>
      </c>
      <c r="H10" s="59">
        <v>5</v>
      </c>
      <c r="I10" s="59">
        <v>5</v>
      </c>
      <c r="J10" s="59">
        <v>5</v>
      </c>
      <c r="K10" s="59">
        <v>5</v>
      </c>
      <c r="L10" s="59">
        <v>4</v>
      </c>
      <c r="M10" s="57">
        <v>5</v>
      </c>
      <c r="N10" s="57">
        <v>5</v>
      </c>
      <c r="O10" s="57" t="s">
        <v>366</v>
      </c>
      <c r="P10" s="60" t="s">
        <v>367</v>
      </c>
      <c r="Q10" s="57" t="s">
        <v>26</v>
      </c>
      <c r="R10" s="57"/>
      <c r="S10" s="57"/>
      <c r="T10" s="62" t="s">
        <v>8</v>
      </c>
      <c r="U10" s="62"/>
      <c r="V10" s="61" t="str">
        <f t="shared" si="0"/>
        <v>CAVALCANTE</v>
      </c>
      <c r="W10" s="55"/>
      <c r="X10" s="55"/>
      <c r="Y10" s="55"/>
    </row>
    <row r="11" spans="1:30" x14ac:dyDescent="0.4">
      <c r="A11" s="56">
        <v>46183.692175925928</v>
      </c>
      <c r="B11" s="57" t="s">
        <v>199</v>
      </c>
      <c r="C11" s="57" t="s">
        <v>200</v>
      </c>
      <c r="D11" s="57" t="s">
        <v>201</v>
      </c>
      <c r="E11" s="58" t="s">
        <v>202</v>
      </c>
      <c r="F11" s="58" t="s">
        <v>203</v>
      </c>
      <c r="G11" s="58" t="s">
        <v>27</v>
      </c>
      <c r="H11" s="59">
        <v>4</v>
      </c>
      <c r="I11" s="59">
        <v>4</v>
      </c>
      <c r="J11" s="59">
        <v>4</v>
      </c>
      <c r="K11" s="59">
        <v>4</v>
      </c>
      <c r="L11" s="59">
        <v>2</v>
      </c>
      <c r="M11" s="59">
        <v>4</v>
      </c>
      <c r="N11" s="59">
        <v>4</v>
      </c>
      <c r="O11" s="57" t="s">
        <v>204</v>
      </c>
      <c r="P11" s="57" t="s">
        <v>205</v>
      </c>
      <c r="Q11" s="57" t="s">
        <v>28</v>
      </c>
      <c r="R11" s="60"/>
      <c r="S11" s="57"/>
      <c r="T11" s="57" t="s">
        <v>167</v>
      </c>
      <c r="U11" s="60"/>
      <c r="V11" s="61" t="str">
        <f t="shared" si="0"/>
        <v>FLORES DE GOIÁS</v>
      </c>
      <c r="W11" s="55"/>
      <c r="X11" s="55"/>
      <c r="Y11" s="55"/>
      <c r="Z11" s="55"/>
      <c r="AA11" s="55"/>
      <c r="AB11" s="55"/>
      <c r="AC11" s="55"/>
      <c r="AD11" s="55"/>
    </row>
    <row r="12" spans="1:30" x14ac:dyDescent="0.4">
      <c r="A12" s="56">
        <v>46183.682650462964</v>
      </c>
      <c r="B12" s="57" t="s">
        <v>206</v>
      </c>
      <c r="C12" s="57" t="s">
        <v>207</v>
      </c>
      <c r="D12" s="57" t="s">
        <v>208</v>
      </c>
      <c r="E12" s="58" t="s">
        <v>209</v>
      </c>
      <c r="F12" s="58" t="s">
        <v>210</v>
      </c>
      <c r="G12" s="58" t="s">
        <v>27</v>
      </c>
      <c r="H12" s="59">
        <v>5</v>
      </c>
      <c r="I12" s="59">
        <v>5</v>
      </c>
      <c r="J12" s="59">
        <v>5</v>
      </c>
      <c r="K12" s="59">
        <v>5</v>
      </c>
      <c r="L12" s="59">
        <v>5</v>
      </c>
      <c r="M12" s="59">
        <v>5</v>
      </c>
      <c r="N12" s="59">
        <v>5</v>
      </c>
      <c r="O12" s="57" t="s">
        <v>211</v>
      </c>
      <c r="P12" s="57" t="s">
        <v>212</v>
      </c>
      <c r="Q12" s="57" t="s">
        <v>28</v>
      </c>
      <c r="R12" s="60"/>
      <c r="S12" s="60" t="s">
        <v>213</v>
      </c>
      <c r="T12" s="57" t="s">
        <v>29</v>
      </c>
      <c r="U12" s="60"/>
      <c r="V12" s="61" t="str">
        <f t="shared" si="0"/>
        <v>VILA BOA</v>
      </c>
      <c r="W12" s="55"/>
      <c r="X12" s="55"/>
      <c r="Y12" s="55"/>
      <c r="Z12" s="55"/>
      <c r="AA12" s="55"/>
      <c r="AB12" s="55"/>
      <c r="AC12" s="55"/>
      <c r="AD12" s="55"/>
    </row>
    <row r="13" spans="1:30" x14ac:dyDescent="0.4">
      <c r="A13" s="56">
        <v>46183.689189814817</v>
      </c>
      <c r="B13" s="57" t="s">
        <v>214</v>
      </c>
      <c r="C13" s="57" t="s">
        <v>215</v>
      </c>
      <c r="D13" s="57" t="s">
        <v>216</v>
      </c>
      <c r="E13" s="58" t="s">
        <v>217</v>
      </c>
      <c r="F13" s="58" t="s">
        <v>218</v>
      </c>
      <c r="G13" s="58" t="s">
        <v>27</v>
      </c>
      <c r="H13" s="59">
        <v>5</v>
      </c>
      <c r="I13" s="59">
        <v>4</v>
      </c>
      <c r="J13" s="59">
        <v>4</v>
      </c>
      <c r="K13" s="59">
        <v>5</v>
      </c>
      <c r="L13" s="59">
        <v>5</v>
      </c>
      <c r="M13" s="59">
        <v>5</v>
      </c>
      <c r="N13" s="59">
        <v>5</v>
      </c>
      <c r="O13" s="57" t="s">
        <v>219</v>
      </c>
      <c r="P13" s="57" t="s">
        <v>220</v>
      </c>
      <c r="Q13" s="57" t="s">
        <v>28</v>
      </c>
      <c r="R13" s="60"/>
      <c r="S13" s="60"/>
      <c r="T13" s="57" t="s">
        <v>29</v>
      </c>
      <c r="U13" s="60"/>
      <c r="V13" s="61" t="str">
        <f t="shared" si="0"/>
        <v>GUARANI DE GOIÁS</v>
      </c>
      <c r="W13" s="55"/>
      <c r="X13" s="55"/>
      <c r="Y13" s="55"/>
      <c r="Z13" s="55"/>
      <c r="AA13" s="55"/>
      <c r="AB13" s="55"/>
      <c r="AC13" s="55"/>
      <c r="AD13" s="55"/>
    </row>
    <row r="14" spans="1:30" x14ac:dyDescent="0.4">
      <c r="A14" s="56">
        <v>46183.682557870372</v>
      </c>
      <c r="B14" s="57" t="s">
        <v>221</v>
      </c>
      <c r="C14" s="57" t="s">
        <v>222</v>
      </c>
      <c r="D14" s="57" t="s">
        <v>223</v>
      </c>
      <c r="E14" s="58" t="s">
        <v>224</v>
      </c>
      <c r="F14" s="58" t="s">
        <v>225</v>
      </c>
      <c r="G14" s="58" t="s">
        <v>27</v>
      </c>
      <c r="H14" s="59">
        <v>5</v>
      </c>
      <c r="I14" s="59">
        <v>5</v>
      </c>
      <c r="J14" s="59">
        <v>5</v>
      </c>
      <c r="K14" s="59">
        <v>5</v>
      </c>
      <c r="L14" s="59">
        <v>5</v>
      </c>
      <c r="M14" s="59">
        <v>5</v>
      </c>
      <c r="N14" s="59">
        <v>5</v>
      </c>
      <c r="O14" s="57" t="s">
        <v>226</v>
      </c>
      <c r="P14" s="57" t="s">
        <v>227</v>
      </c>
      <c r="Q14" s="57" t="s">
        <v>28</v>
      </c>
      <c r="R14" s="60"/>
      <c r="S14" s="57" t="s">
        <v>59</v>
      </c>
      <c r="T14" s="57" t="s">
        <v>29</v>
      </c>
      <c r="U14" s="57"/>
      <c r="V14" s="61" t="str">
        <f t="shared" si="0"/>
        <v>IACIARA</v>
      </c>
      <c r="W14" s="55"/>
      <c r="X14" s="55"/>
      <c r="Y14" s="55"/>
      <c r="Z14" s="55"/>
      <c r="AA14" s="55"/>
      <c r="AB14" s="55"/>
      <c r="AC14" s="55"/>
      <c r="AD14" s="55"/>
    </row>
    <row r="15" spans="1:30" x14ac:dyDescent="0.4">
      <c r="A15" s="56">
        <v>46183.68377314815</v>
      </c>
      <c r="B15" s="57" t="s">
        <v>228</v>
      </c>
      <c r="C15" s="57" t="s">
        <v>229</v>
      </c>
      <c r="D15" s="57" t="s">
        <v>230</v>
      </c>
      <c r="E15" s="58" t="s">
        <v>231</v>
      </c>
      <c r="F15" s="58" t="s">
        <v>232</v>
      </c>
      <c r="G15" s="58" t="s">
        <v>27</v>
      </c>
      <c r="H15" s="59">
        <v>5</v>
      </c>
      <c r="I15" s="59">
        <v>5</v>
      </c>
      <c r="J15" s="59">
        <v>5</v>
      </c>
      <c r="K15" s="59">
        <v>5</v>
      </c>
      <c r="L15" s="59">
        <v>5</v>
      </c>
      <c r="M15" s="57">
        <v>5</v>
      </c>
      <c r="N15" s="57">
        <v>5</v>
      </c>
      <c r="O15" s="57" t="s">
        <v>233</v>
      </c>
      <c r="P15" s="60" t="s">
        <v>234</v>
      </c>
      <c r="Q15" s="57" t="s">
        <v>28</v>
      </c>
      <c r="R15" s="57"/>
      <c r="S15" s="60"/>
      <c r="T15" s="62" t="s">
        <v>8</v>
      </c>
      <c r="U15" s="62"/>
      <c r="V15" s="61" t="str">
        <f t="shared" si="0"/>
        <v>MAMBAÍ</v>
      </c>
      <c r="W15" s="55"/>
      <c r="X15" s="55"/>
      <c r="Y15" s="55"/>
    </row>
    <row r="16" spans="1:30" x14ac:dyDescent="0.4">
      <c r="A16" s="56">
        <v>46183.681585648148</v>
      </c>
      <c r="B16" s="57" t="s">
        <v>235</v>
      </c>
      <c r="C16" s="57" t="s">
        <v>236</v>
      </c>
      <c r="D16" s="57" t="s">
        <v>237</v>
      </c>
      <c r="E16" s="58" t="s">
        <v>238</v>
      </c>
      <c r="F16" s="58" t="s">
        <v>232</v>
      </c>
      <c r="G16" s="58" t="s">
        <v>27</v>
      </c>
      <c r="H16" s="59">
        <v>4</v>
      </c>
      <c r="I16" s="59">
        <v>4</v>
      </c>
      <c r="J16" s="59">
        <v>4</v>
      </c>
      <c r="K16" s="59">
        <v>4</v>
      </c>
      <c r="L16" s="59">
        <v>4</v>
      </c>
      <c r="M16" s="59">
        <v>4</v>
      </c>
      <c r="N16" s="59">
        <v>4</v>
      </c>
      <c r="O16" s="57" t="s">
        <v>239</v>
      </c>
      <c r="P16" s="57" t="s">
        <v>240</v>
      </c>
      <c r="Q16" s="57" t="s">
        <v>28</v>
      </c>
      <c r="R16" s="60"/>
      <c r="S16" s="60" t="s">
        <v>241</v>
      </c>
      <c r="T16" s="57" t="s">
        <v>8</v>
      </c>
      <c r="U16" s="60"/>
      <c r="V16" s="61" t="str">
        <f t="shared" si="0"/>
        <v>MAMBAÍ</v>
      </c>
      <c r="W16" s="55"/>
      <c r="X16" s="55"/>
      <c r="Y16" s="55"/>
      <c r="Z16" s="55"/>
      <c r="AA16" s="55"/>
      <c r="AB16" s="55"/>
      <c r="AC16" s="55"/>
      <c r="AD16" s="55"/>
    </row>
    <row r="17" spans="1:30" x14ac:dyDescent="0.4">
      <c r="A17" s="56">
        <v>46183.682673611111</v>
      </c>
      <c r="B17" s="57" t="s">
        <v>249</v>
      </c>
      <c r="C17" s="57" t="s">
        <v>250</v>
      </c>
      <c r="D17" s="57" t="s">
        <v>251</v>
      </c>
      <c r="E17" s="58" t="s">
        <v>252</v>
      </c>
      <c r="F17" s="58" t="s">
        <v>253</v>
      </c>
      <c r="G17" s="58" t="s">
        <v>27</v>
      </c>
      <c r="H17" s="59">
        <v>5</v>
      </c>
      <c r="I17" s="59">
        <v>4</v>
      </c>
      <c r="J17" s="59">
        <v>5</v>
      </c>
      <c r="K17" s="59">
        <v>5</v>
      </c>
      <c r="L17" s="59">
        <v>5</v>
      </c>
      <c r="M17" s="57">
        <v>4</v>
      </c>
      <c r="N17" s="57">
        <v>5</v>
      </c>
      <c r="O17" s="57" t="s">
        <v>254</v>
      </c>
      <c r="P17" s="60" t="s">
        <v>255</v>
      </c>
      <c r="Q17" s="60" t="s">
        <v>84</v>
      </c>
      <c r="R17" s="57"/>
      <c r="S17" s="57"/>
      <c r="T17" s="62" t="s">
        <v>7</v>
      </c>
      <c r="U17" s="62"/>
      <c r="V17" s="61" t="str">
        <f t="shared" si="0"/>
        <v>NOVA ROMA</v>
      </c>
      <c r="W17" s="55"/>
      <c r="X17" s="55"/>
      <c r="Y17" s="55"/>
    </row>
    <row r="18" spans="1:30" x14ac:dyDescent="0.4">
      <c r="A18" s="56">
        <v>46183.567650462966</v>
      </c>
      <c r="B18" s="57" t="s">
        <v>261</v>
      </c>
      <c r="C18" s="57" t="s">
        <v>262</v>
      </c>
      <c r="D18" s="57" t="s">
        <v>263</v>
      </c>
      <c r="E18" s="58" t="s">
        <v>264</v>
      </c>
      <c r="F18" s="58" t="s">
        <v>203</v>
      </c>
      <c r="G18" s="58" t="s">
        <v>27</v>
      </c>
      <c r="H18" s="59">
        <v>5</v>
      </c>
      <c r="I18" s="59">
        <v>4</v>
      </c>
      <c r="J18" s="59">
        <v>5</v>
      </c>
      <c r="K18" s="59">
        <v>5</v>
      </c>
      <c r="L18" s="59">
        <v>5</v>
      </c>
      <c r="M18" s="57">
        <v>5</v>
      </c>
      <c r="N18" s="57">
        <v>5</v>
      </c>
      <c r="O18" s="57" t="s">
        <v>265</v>
      </c>
      <c r="P18" s="60" t="s">
        <v>266</v>
      </c>
      <c r="Q18" s="57" t="s">
        <v>28</v>
      </c>
      <c r="R18" s="57"/>
      <c r="S18" s="60" t="s">
        <v>267</v>
      </c>
      <c r="T18" s="62" t="s">
        <v>7</v>
      </c>
      <c r="U18" s="62"/>
      <c r="V18" s="61" t="str">
        <f t="shared" si="0"/>
        <v>FLORES DE GOIÁS</v>
      </c>
      <c r="W18" s="55"/>
      <c r="X18" s="55"/>
      <c r="Y18" s="55"/>
    </row>
    <row r="19" spans="1:30" x14ac:dyDescent="0.4">
      <c r="A19" s="56">
        <v>46183.681192129632</v>
      </c>
      <c r="B19" s="57" t="s">
        <v>277</v>
      </c>
      <c r="C19" s="57" t="s">
        <v>278</v>
      </c>
      <c r="D19" s="57" t="s">
        <v>279</v>
      </c>
      <c r="E19" s="58" t="s">
        <v>280</v>
      </c>
      <c r="F19" s="58" t="s">
        <v>210</v>
      </c>
      <c r="G19" s="58" t="s">
        <v>27</v>
      </c>
      <c r="H19" s="59">
        <v>5</v>
      </c>
      <c r="I19" s="59">
        <v>4</v>
      </c>
      <c r="J19" s="59">
        <v>5</v>
      </c>
      <c r="K19" s="59">
        <v>5</v>
      </c>
      <c r="L19" s="59">
        <v>5</v>
      </c>
      <c r="M19" s="59">
        <v>5</v>
      </c>
      <c r="N19" s="59">
        <v>5</v>
      </c>
      <c r="O19" s="57" t="s">
        <v>281</v>
      </c>
      <c r="P19" s="57" t="s">
        <v>282</v>
      </c>
      <c r="Q19" s="57" t="s">
        <v>28</v>
      </c>
      <c r="R19" s="60"/>
      <c r="S19" s="60"/>
      <c r="T19" s="57" t="s">
        <v>7</v>
      </c>
      <c r="U19" s="57"/>
      <c r="V19" s="61" t="str">
        <f t="shared" si="0"/>
        <v>VILA BOA</v>
      </c>
      <c r="W19" s="55"/>
      <c r="X19" s="55"/>
      <c r="Y19" s="55"/>
      <c r="Z19" s="55"/>
      <c r="AA19" s="55"/>
      <c r="AB19" s="55"/>
      <c r="AC19" s="55"/>
      <c r="AD19" s="55"/>
    </row>
    <row r="20" spans="1:30" x14ac:dyDescent="0.4">
      <c r="A20" s="56">
        <v>46183.681932870371</v>
      </c>
      <c r="B20" s="57" t="s">
        <v>283</v>
      </c>
      <c r="C20" s="57" t="s">
        <v>284</v>
      </c>
      <c r="D20" s="57" t="s">
        <v>285</v>
      </c>
      <c r="E20" s="58" t="s">
        <v>286</v>
      </c>
      <c r="F20" s="58" t="s">
        <v>225</v>
      </c>
      <c r="G20" s="58" t="s">
        <v>27</v>
      </c>
      <c r="H20" s="59">
        <v>4</v>
      </c>
      <c r="I20" s="59">
        <v>4</v>
      </c>
      <c r="J20" s="59">
        <v>4</v>
      </c>
      <c r="K20" s="59">
        <v>4</v>
      </c>
      <c r="L20" s="59">
        <v>4</v>
      </c>
      <c r="M20" s="57">
        <v>4</v>
      </c>
      <c r="N20" s="57">
        <v>4</v>
      </c>
      <c r="O20" s="57" t="s">
        <v>287</v>
      </c>
      <c r="P20" s="60" t="s">
        <v>288</v>
      </c>
      <c r="Q20" s="57" t="s">
        <v>28</v>
      </c>
      <c r="R20" s="57"/>
      <c r="S20" s="60"/>
      <c r="T20" s="62" t="s">
        <v>29</v>
      </c>
      <c r="U20" s="62"/>
      <c r="V20" s="61" t="str">
        <f t="shared" si="0"/>
        <v>IACIARA</v>
      </c>
      <c r="W20" s="55"/>
      <c r="X20" s="55"/>
      <c r="Y20" s="55"/>
      <c r="Z20" s="55"/>
      <c r="AA20" s="55"/>
      <c r="AB20" s="55"/>
      <c r="AC20" s="55"/>
      <c r="AD20" s="55"/>
    </row>
    <row r="21" spans="1:30" x14ac:dyDescent="0.4">
      <c r="A21" s="56">
        <v>46183.685393518521</v>
      </c>
      <c r="B21" s="57" t="s">
        <v>289</v>
      </c>
      <c r="C21" s="57" t="s">
        <v>290</v>
      </c>
      <c r="D21" s="57" t="s">
        <v>291</v>
      </c>
      <c r="E21" s="58" t="s">
        <v>292</v>
      </c>
      <c r="F21" s="58" t="s">
        <v>253</v>
      </c>
      <c r="G21" s="58" t="s">
        <v>27</v>
      </c>
      <c r="H21" s="59">
        <v>4</v>
      </c>
      <c r="I21" s="59">
        <v>4</v>
      </c>
      <c r="J21" s="59">
        <v>4</v>
      </c>
      <c r="K21" s="59">
        <v>4</v>
      </c>
      <c r="L21" s="59">
        <v>4</v>
      </c>
      <c r="M21" s="59">
        <v>4</v>
      </c>
      <c r="N21" s="59">
        <v>4</v>
      </c>
      <c r="O21" s="57" t="s">
        <v>293</v>
      </c>
      <c r="P21" s="57" t="s">
        <v>294</v>
      </c>
      <c r="Q21" s="57" t="s">
        <v>84</v>
      </c>
      <c r="R21" s="60"/>
      <c r="S21" s="60"/>
      <c r="T21" s="57" t="s">
        <v>8</v>
      </c>
      <c r="U21" s="60" t="s">
        <v>295</v>
      </c>
      <c r="V21" s="61" t="str">
        <f t="shared" si="0"/>
        <v>NOVA ROMA</v>
      </c>
      <c r="W21" s="55"/>
      <c r="X21" s="55"/>
      <c r="Y21" s="55"/>
      <c r="Z21" s="55"/>
      <c r="AA21" s="55"/>
      <c r="AB21" s="55"/>
      <c r="AC21" s="55"/>
      <c r="AD21" s="55"/>
    </row>
    <row r="22" spans="1:30" ht="25.5" x14ac:dyDescent="0.4">
      <c r="A22" s="56">
        <v>46183.679930555554</v>
      </c>
      <c r="B22" s="57" t="s">
        <v>296</v>
      </c>
      <c r="C22" s="57" t="s">
        <v>297</v>
      </c>
      <c r="D22" s="57" t="s">
        <v>298</v>
      </c>
      <c r="E22" s="58" t="s">
        <v>299</v>
      </c>
      <c r="F22" s="58" t="s">
        <v>218</v>
      </c>
      <c r="G22" s="58" t="s">
        <v>27</v>
      </c>
      <c r="H22" s="59">
        <v>4</v>
      </c>
      <c r="I22" s="59">
        <v>4</v>
      </c>
      <c r="J22" s="59">
        <v>4</v>
      </c>
      <c r="K22" s="59">
        <v>4</v>
      </c>
      <c r="L22" s="59">
        <v>4</v>
      </c>
      <c r="M22" s="57">
        <v>4</v>
      </c>
      <c r="N22" s="57">
        <v>4</v>
      </c>
      <c r="O22" s="57" t="s">
        <v>56</v>
      </c>
      <c r="P22" s="60" t="s">
        <v>94</v>
      </c>
      <c r="Q22" s="60" t="s">
        <v>28</v>
      </c>
      <c r="R22" s="57"/>
      <c r="S22" s="60"/>
      <c r="T22" s="62" t="s">
        <v>8</v>
      </c>
      <c r="U22" s="62"/>
      <c r="V22" s="61" t="str">
        <f t="shared" si="0"/>
        <v>GUARANI DE GOIÁS</v>
      </c>
      <c r="W22" s="55"/>
      <c r="X22" s="55"/>
      <c r="Y22" s="55"/>
    </row>
    <row r="23" spans="1:30" x14ac:dyDescent="0.4">
      <c r="A23" s="56">
        <v>46183.693020833336</v>
      </c>
      <c r="B23" s="57" t="s">
        <v>300</v>
      </c>
      <c r="C23" s="57" t="s">
        <v>301</v>
      </c>
      <c r="D23" s="57" t="s">
        <v>302</v>
      </c>
      <c r="E23" s="58" t="s">
        <v>303</v>
      </c>
      <c r="F23" s="58" t="s">
        <v>304</v>
      </c>
      <c r="G23" s="58" t="s">
        <v>27</v>
      </c>
      <c r="H23" s="59">
        <v>5</v>
      </c>
      <c r="I23" s="59">
        <v>4</v>
      </c>
      <c r="J23" s="59">
        <v>4</v>
      </c>
      <c r="K23" s="59">
        <v>5</v>
      </c>
      <c r="L23" s="59">
        <v>4</v>
      </c>
      <c r="M23" s="59">
        <v>5</v>
      </c>
      <c r="N23" s="59">
        <v>5</v>
      </c>
      <c r="O23" s="57" t="s">
        <v>305</v>
      </c>
      <c r="P23" s="57" t="s">
        <v>94</v>
      </c>
      <c r="Q23" s="57" t="s">
        <v>84</v>
      </c>
      <c r="R23" s="60"/>
      <c r="S23" s="57"/>
      <c r="T23" s="57" t="s">
        <v>6</v>
      </c>
      <c r="U23" s="57"/>
      <c r="V23" s="61" t="str">
        <f t="shared" si="0"/>
        <v>SÍTIO D'ABADIA</v>
      </c>
      <c r="W23" s="55"/>
      <c r="X23" s="55"/>
      <c r="Y23" s="55"/>
      <c r="Z23" s="55"/>
      <c r="AA23" s="55"/>
      <c r="AB23" s="55"/>
      <c r="AC23" s="55"/>
      <c r="AD23" s="55"/>
    </row>
    <row r="24" spans="1:30" x14ac:dyDescent="0.4">
      <c r="A24" s="56">
        <v>46183.692685185182</v>
      </c>
      <c r="B24" s="57" t="s">
        <v>313</v>
      </c>
      <c r="C24" s="57" t="s">
        <v>314</v>
      </c>
      <c r="D24" s="57" t="s">
        <v>315</v>
      </c>
      <c r="E24" s="58" t="s">
        <v>316</v>
      </c>
      <c r="F24" s="58" t="s">
        <v>317</v>
      </c>
      <c r="G24" s="58" t="s">
        <v>27</v>
      </c>
      <c r="H24" s="59">
        <v>5</v>
      </c>
      <c r="I24" s="59">
        <v>5</v>
      </c>
      <c r="J24" s="59">
        <v>5</v>
      </c>
      <c r="K24" s="59">
        <v>5</v>
      </c>
      <c r="L24" s="59">
        <v>5</v>
      </c>
      <c r="M24" s="59">
        <v>5</v>
      </c>
      <c r="N24" s="59">
        <v>5</v>
      </c>
      <c r="O24" s="57" t="s">
        <v>318</v>
      </c>
      <c r="P24" s="57" t="s">
        <v>319</v>
      </c>
      <c r="Q24" s="57" t="s">
        <v>28</v>
      </c>
      <c r="R24" s="60"/>
      <c r="S24" s="57" t="s">
        <v>320</v>
      </c>
      <c r="T24" s="57" t="s">
        <v>8</v>
      </c>
      <c r="U24" s="60"/>
      <c r="V24" s="61" t="str">
        <f t="shared" si="0"/>
        <v>CAVALCANTE</v>
      </c>
      <c r="W24" s="55"/>
      <c r="X24" s="55"/>
      <c r="Y24" s="55"/>
      <c r="Z24" s="55"/>
      <c r="AA24" s="55"/>
      <c r="AB24" s="55"/>
      <c r="AC24" s="55"/>
      <c r="AD24" s="55"/>
    </row>
    <row r="25" spans="1:30" x14ac:dyDescent="0.4">
      <c r="A25" s="56">
        <v>46183.685636574075</v>
      </c>
      <c r="B25" s="57" t="s">
        <v>321</v>
      </c>
      <c r="C25" s="57" t="s">
        <v>322</v>
      </c>
      <c r="D25" s="57" t="s">
        <v>323</v>
      </c>
      <c r="E25" s="58" t="s">
        <v>324</v>
      </c>
      <c r="F25" s="58" t="s">
        <v>325</v>
      </c>
      <c r="G25" s="58" t="s">
        <v>27</v>
      </c>
      <c r="H25" s="59">
        <v>5</v>
      </c>
      <c r="I25" s="59">
        <v>5</v>
      </c>
      <c r="J25" s="59">
        <v>5</v>
      </c>
      <c r="K25" s="59">
        <v>5</v>
      </c>
      <c r="L25" s="59">
        <v>5</v>
      </c>
      <c r="M25" s="59">
        <v>5</v>
      </c>
      <c r="N25" s="59">
        <v>5</v>
      </c>
      <c r="O25" s="57" t="s">
        <v>326</v>
      </c>
      <c r="P25" s="57" t="s">
        <v>86</v>
      </c>
      <c r="Q25" s="57" t="s">
        <v>28</v>
      </c>
      <c r="R25" s="60"/>
      <c r="S25" s="60" t="s">
        <v>327</v>
      </c>
      <c r="T25" s="57" t="s">
        <v>7</v>
      </c>
      <c r="U25" s="60" t="s">
        <v>86</v>
      </c>
      <c r="V25" s="61" t="str">
        <f t="shared" si="0"/>
        <v>POSSE</v>
      </c>
      <c r="W25" s="55"/>
      <c r="X25" s="55"/>
      <c r="Y25" s="55"/>
      <c r="Z25" s="55"/>
      <c r="AA25" s="55"/>
      <c r="AB25" s="55"/>
      <c r="AC25" s="55"/>
      <c r="AD25" s="55"/>
    </row>
    <row r="26" spans="1:30" ht="38.25" x14ac:dyDescent="0.4">
      <c r="A26" s="56">
        <v>46183.570590277777</v>
      </c>
      <c r="B26" s="57" t="s">
        <v>349</v>
      </c>
      <c r="C26" s="57" t="s">
        <v>350</v>
      </c>
      <c r="D26" s="57" t="s">
        <v>351</v>
      </c>
      <c r="E26" s="58" t="s">
        <v>352</v>
      </c>
      <c r="F26" s="58" t="s">
        <v>203</v>
      </c>
      <c r="G26" s="58" t="s">
        <v>27</v>
      </c>
      <c r="H26" s="59">
        <v>5</v>
      </c>
      <c r="I26" s="59">
        <v>5</v>
      </c>
      <c r="J26" s="59">
        <v>5</v>
      </c>
      <c r="K26" s="59">
        <v>5</v>
      </c>
      <c r="L26" s="59">
        <v>5</v>
      </c>
      <c r="M26" s="57">
        <v>5</v>
      </c>
      <c r="N26" s="57">
        <v>5</v>
      </c>
      <c r="O26" s="57" t="s">
        <v>353</v>
      </c>
      <c r="P26" s="60" t="s">
        <v>354</v>
      </c>
      <c r="Q26" s="60" t="s">
        <v>170</v>
      </c>
      <c r="R26" s="57"/>
      <c r="S26" s="60" t="s">
        <v>355</v>
      </c>
      <c r="T26" s="62" t="s">
        <v>29</v>
      </c>
      <c r="U26" s="62"/>
      <c r="V26" s="61" t="str">
        <f t="shared" si="0"/>
        <v>FLORES DE GOIÁS</v>
      </c>
      <c r="W26" s="55"/>
      <c r="X26" s="55"/>
      <c r="Y26" s="55"/>
      <c r="Z26" s="55"/>
      <c r="AA26" s="55"/>
      <c r="AB26" s="55"/>
      <c r="AC26" s="55"/>
      <c r="AD26" s="55"/>
    </row>
    <row r="27" spans="1:30" x14ac:dyDescent="0.4">
      <c r="A27" s="56"/>
      <c r="B27" s="57"/>
      <c r="C27" s="57"/>
      <c r="D27" s="57"/>
      <c r="E27" s="58"/>
      <c r="F27" s="58"/>
      <c r="G27" s="58"/>
      <c r="H27" s="59"/>
      <c r="I27" s="59"/>
      <c r="J27" s="59"/>
      <c r="K27" s="59"/>
      <c r="L27" s="59"/>
      <c r="M27" s="57"/>
      <c r="N27" s="57"/>
      <c r="O27" s="57"/>
      <c r="P27" s="60"/>
      <c r="Q27" s="60"/>
      <c r="R27" s="57"/>
      <c r="S27" s="60"/>
      <c r="T27" s="62"/>
      <c r="U27" s="62"/>
      <c r="W27" s="55"/>
      <c r="X27" s="55"/>
      <c r="Y27" s="55"/>
      <c r="Z27" s="55"/>
      <c r="AA27" s="55"/>
      <c r="AB27" s="55"/>
      <c r="AC27" s="55"/>
      <c r="AD27" s="55"/>
    </row>
    <row r="28" spans="1:30" x14ac:dyDescent="0.4">
      <c r="A28" s="56"/>
      <c r="B28" s="57"/>
      <c r="C28" s="57"/>
      <c r="D28" s="57"/>
      <c r="E28" s="58"/>
      <c r="F28" s="58"/>
      <c r="G28" s="58"/>
      <c r="H28" s="59"/>
      <c r="I28" s="59"/>
      <c r="J28" s="59"/>
      <c r="K28" s="59"/>
      <c r="L28" s="59"/>
      <c r="M28" s="57"/>
      <c r="N28" s="57"/>
      <c r="O28" s="57"/>
      <c r="P28" s="60"/>
      <c r="Q28" s="57"/>
      <c r="R28" s="57"/>
      <c r="S28" s="60"/>
      <c r="T28" s="62"/>
      <c r="U28" s="62"/>
      <c r="W28" s="55"/>
      <c r="X28" s="55"/>
      <c r="Y28" s="55"/>
    </row>
    <row r="29" spans="1:30" x14ac:dyDescent="0.4">
      <c r="A29" s="56"/>
      <c r="B29" s="57"/>
      <c r="C29" s="57"/>
      <c r="D29" s="57"/>
      <c r="E29" s="58"/>
      <c r="F29" s="58"/>
      <c r="G29" s="58"/>
      <c r="H29" s="59"/>
      <c r="I29" s="59"/>
      <c r="J29" s="59"/>
      <c r="K29" s="59"/>
      <c r="L29" s="59"/>
      <c r="M29" s="57"/>
      <c r="N29" s="57"/>
      <c r="O29" s="57"/>
      <c r="P29" s="60"/>
      <c r="Q29" s="60"/>
      <c r="R29" s="57"/>
      <c r="S29" s="57"/>
      <c r="T29" s="62"/>
      <c r="U29" s="62"/>
      <c r="W29" s="55"/>
      <c r="X29" s="55"/>
      <c r="Y29" s="55"/>
    </row>
    <row r="30" spans="1:30" x14ac:dyDescent="0.4">
      <c r="A30" s="56"/>
      <c r="B30" s="57"/>
      <c r="C30" s="57"/>
      <c r="D30" s="57"/>
      <c r="E30" s="58"/>
      <c r="F30" s="58"/>
      <c r="G30" s="58"/>
      <c r="H30" s="59"/>
      <c r="I30" s="59"/>
      <c r="J30" s="59"/>
      <c r="K30" s="59"/>
      <c r="L30" s="59"/>
      <c r="M30" s="57"/>
      <c r="N30" s="57"/>
      <c r="O30" s="57"/>
      <c r="P30" s="60"/>
      <c r="Q30" s="60"/>
      <c r="R30" s="57"/>
      <c r="S30" s="60"/>
      <c r="T30" s="62"/>
      <c r="U30" s="62"/>
      <c r="W30" s="55"/>
      <c r="X30" s="55"/>
      <c r="Y30" s="55"/>
    </row>
    <row r="31" spans="1:30" x14ac:dyDescent="0.4">
      <c r="A31" s="56"/>
      <c r="B31" s="57"/>
      <c r="C31" s="57"/>
      <c r="D31" s="57"/>
      <c r="E31" s="58"/>
      <c r="F31" s="58"/>
      <c r="G31" s="58"/>
      <c r="H31" s="59"/>
      <c r="I31" s="59"/>
      <c r="J31" s="59"/>
      <c r="K31" s="59"/>
      <c r="L31" s="59"/>
      <c r="M31" s="59"/>
      <c r="N31" s="59"/>
      <c r="O31" s="57"/>
      <c r="P31" s="57"/>
      <c r="Q31" s="57"/>
      <c r="R31" s="60"/>
      <c r="S31" s="60"/>
      <c r="T31" s="57"/>
      <c r="U31" s="60"/>
      <c r="W31" s="55"/>
      <c r="X31" s="55"/>
      <c r="Y31" s="55"/>
      <c r="Z31" s="55"/>
      <c r="AA31" s="55"/>
      <c r="AB31" s="55"/>
      <c r="AC31" s="55"/>
      <c r="AD31" s="55"/>
    </row>
    <row r="32" spans="1:30" x14ac:dyDescent="0.4">
      <c r="A32" s="56"/>
      <c r="B32" s="57"/>
      <c r="C32" s="57"/>
      <c r="D32" s="57"/>
      <c r="E32" s="58"/>
      <c r="F32" s="58"/>
      <c r="G32" s="58"/>
      <c r="H32" s="59"/>
      <c r="I32" s="59"/>
      <c r="J32" s="59"/>
      <c r="K32" s="59"/>
      <c r="L32" s="59"/>
      <c r="M32" s="59"/>
      <c r="N32" s="59"/>
      <c r="O32" s="57"/>
      <c r="P32" s="57"/>
      <c r="Q32" s="57"/>
      <c r="R32" s="60"/>
      <c r="S32" s="60"/>
      <c r="T32" s="57"/>
      <c r="U32" s="60"/>
      <c r="W32" s="55"/>
      <c r="X32" s="55"/>
      <c r="Y32" s="55"/>
      <c r="Z32" s="55"/>
      <c r="AA32" s="55"/>
      <c r="AB32" s="55"/>
      <c r="AC32" s="55"/>
      <c r="AD32" s="55"/>
    </row>
    <row r="33" spans="1:30" x14ac:dyDescent="0.4">
      <c r="A33" s="56"/>
      <c r="B33" s="57"/>
      <c r="C33" s="57"/>
      <c r="D33" s="57"/>
      <c r="E33" s="58"/>
      <c r="F33" s="58"/>
      <c r="G33" s="58"/>
      <c r="H33" s="59"/>
      <c r="I33" s="59"/>
      <c r="J33" s="59"/>
      <c r="K33" s="59"/>
      <c r="L33" s="59"/>
      <c r="M33" s="57"/>
      <c r="N33" s="57"/>
      <c r="O33" s="57"/>
      <c r="P33" s="60"/>
      <c r="Q33" s="57"/>
      <c r="R33" s="57"/>
      <c r="S33" s="60"/>
      <c r="T33" s="62"/>
      <c r="U33" s="62"/>
      <c r="W33" s="55"/>
      <c r="X33" s="55"/>
      <c r="Y33" s="55"/>
    </row>
    <row r="34" spans="1:30" x14ac:dyDescent="0.4">
      <c r="A34" s="56"/>
      <c r="B34" s="57"/>
      <c r="C34" s="57"/>
      <c r="D34" s="57"/>
      <c r="E34" s="58"/>
      <c r="F34" s="58"/>
      <c r="G34" s="58"/>
      <c r="H34" s="59"/>
      <c r="I34" s="59"/>
      <c r="J34" s="59"/>
      <c r="K34" s="59"/>
      <c r="L34" s="59"/>
      <c r="M34" s="57"/>
      <c r="N34" s="57"/>
      <c r="O34" s="57"/>
      <c r="P34" s="60"/>
      <c r="Q34" s="60"/>
      <c r="R34" s="57"/>
      <c r="S34" s="60"/>
      <c r="T34" s="62"/>
      <c r="U34" s="62"/>
      <c r="W34" s="55"/>
      <c r="X34" s="55"/>
      <c r="Y34" s="55"/>
    </row>
    <row r="35" spans="1:30" x14ac:dyDescent="0.4">
      <c r="A35" s="56"/>
      <c r="B35" s="57"/>
      <c r="C35" s="57"/>
      <c r="D35" s="57"/>
      <c r="E35" s="58"/>
      <c r="F35" s="58"/>
      <c r="G35" s="58"/>
      <c r="H35" s="59"/>
      <c r="I35" s="59"/>
      <c r="J35" s="59"/>
      <c r="K35" s="59"/>
      <c r="L35" s="59"/>
      <c r="M35" s="57"/>
      <c r="N35" s="57"/>
      <c r="O35" s="57"/>
      <c r="P35" s="60"/>
      <c r="Q35" s="57"/>
      <c r="R35" s="57"/>
      <c r="S35" s="60"/>
      <c r="T35" s="62"/>
      <c r="U35" s="62"/>
      <c r="W35" s="55"/>
      <c r="X35" s="55"/>
      <c r="Y35" s="55"/>
    </row>
    <row r="36" spans="1:30" x14ac:dyDescent="0.4">
      <c r="A36" s="56"/>
      <c r="B36" s="57"/>
      <c r="C36" s="57"/>
      <c r="D36" s="57"/>
      <c r="E36" s="58"/>
      <c r="F36" s="58"/>
      <c r="G36" s="58"/>
      <c r="H36" s="59"/>
      <c r="I36" s="59"/>
      <c r="J36" s="59"/>
      <c r="K36" s="59"/>
      <c r="L36" s="59"/>
      <c r="M36" s="57"/>
      <c r="N36" s="57"/>
      <c r="O36" s="57"/>
      <c r="P36" s="60"/>
      <c r="Q36" s="57"/>
      <c r="R36" s="57"/>
      <c r="S36" s="60"/>
      <c r="T36" s="62"/>
      <c r="U36" s="62"/>
      <c r="W36" s="55"/>
      <c r="X36" s="55"/>
      <c r="Y36" s="55"/>
      <c r="Z36" s="55"/>
      <c r="AA36" s="55"/>
      <c r="AB36" s="55"/>
      <c r="AC36" s="55"/>
      <c r="AD36" s="55"/>
    </row>
    <row r="37" spans="1:30" x14ac:dyDescent="0.4">
      <c r="A37" s="56"/>
      <c r="B37" s="57"/>
      <c r="C37" s="57"/>
      <c r="D37" s="57"/>
      <c r="E37" s="58"/>
      <c r="F37" s="58"/>
      <c r="G37" s="58"/>
      <c r="H37" s="59"/>
      <c r="I37" s="59"/>
      <c r="J37" s="59"/>
      <c r="K37" s="59"/>
      <c r="L37" s="59"/>
      <c r="M37" s="57"/>
      <c r="N37" s="57"/>
      <c r="O37" s="57"/>
      <c r="P37" s="60"/>
      <c r="Q37" s="57"/>
      <c r="R37" s="57"/>
      <c r="S37" s="57"/>
      <c r="T37" s="62"/>
      <c r="U37" s="62"/>
      <c r="W37" s="55"/>
      <c r="X37" s="55"/>
      <c r="Y37" s="55"/>
      <c r="Z37" s="55"/>
      <c r="AA37" s="55"/>
      <c r="AB37" s="55"/>
      <c r="AC37" s="55"/>
      <c r="AD37" s="55"/>
    </row>
    <row r="38" spans="1:30" x14ac:dyDescent="0.4">
      <c r="A38" s="56"/>
      <c r="B38" s="57"/>
      <c r="C38" s="57"/>
      <c r="D38" s="57"/>
      <c r="E38" s="58"/>
      <c r="F38" s="58"/>
      <c r="G38" s="58"/>
      <c r="H38" s="59"/>
      <c r="I38" s="59"/>
      <c r="J38" s="59"/>
      <c r="K38" s="59"/>
      <c r="L38" s="59"/>
      <c r="M38" s="59"/>
      <c r="N38" s="59"/>
      <c r="O38" s="57"/>
      <c r="P38" s="57"/>
      <c r="Q38" s="57"/>
      <c r="R38" s="60"/>
      <c r="S38" s="60"/>
      <c r="T38" s="57"/>
      <c r="U38" s="60"/>
      <c r="W38" s="55"/>
      <c r="X38" s="55"/>
      <c r="Y38" s="55"/>
      <c r="Z38" s="55"/>
      <c r="AA38" s="55"/>
      <c r="AB38" s="55"/>
      <c r="AC38" s="55"/>
      <c r="AD38" s="55"/>
    </row>
    <row r="39" spans="1:30" x14ac:dyDescent="0.4">
      <c r="A39" s="56"/>
      <c r="B39" s="57"/>
      <c r="C39" s="57"/>
      <c r="D39" s="57"/>
      <c r="E39" s="58"/>
      <c r="F39" s="58"/>
      <c r="G39" s="58"/>
      <c r="H39" s="59"/>
      <c r="I39" s="59"/>
      <c r="J39" s="59"/>
      <c r="K39" s="59"/>
      <c r="L39" s="59"/>
      <c r="M39" s="59"/>
      <c r="N39" s="59"/>
      <c r="O39" s="57"/>
      <c r="P39" s="57"/>
      <c r="Q39" s="57"/>
      <c r="R39" s="60"/>
      <c r="S39" s="60"/>
      <c r="T39" s="57"/>
      <c r="U39" s="60"/>
      <c r="W39" s="55"/>
      <c r="X39" s="55"/>
      <c r="Y39" s="55"/>
      <c r="Z39" s="55"/>
      <c r="AA39" s="55"/>
      <c r="AB39" s="55"/>
      <c r="AC39" s="55"/>
      <c r="AD39" s="55"/>
    </row>
    <row r="40" spans="1:30" x14ac:dyDescent="0.4">
      <c r="A40" s="56"/>
      <c r="B40" s="57"/>
      <c r="C40" s="57"/>
      <c r="D40" s="57"/>
      <c r="E40" s="58"/>
      <c r="F40" s="58"/>
      <c r="G40" s="58"/>
      <c r="H40" s="59"/>
      <c r="I40" s="59"/>
      <c r="J40" s="59"/>
      <c r="K40" s="59"/>
      <c r="L40" s="59"/>
      <c r="M40" s="57"/>
      <c r="N40" s="57"/>
      <c r="O40" s="57"/>
      <c r="P40" s="60"/>
      <c r="Q40" s="57"/>
      <c r="R40" s="57"/>
      <c r="S40" s="60"/>
      <c r="T40" s="62"/>
      <c r="U40" s="62"/>
      <c r="W40" s="55"/>
      <c r="X40" s="55"/>
      <c r="Y40" s="55"/>
    </row>
    <row r="41" spans="1:30" x14ac:dyDescent="0.4">
      <c r="A41" s="56"/>
      <c r="B41" s="57"/>
      <c r="C41" s="57"/>
      <c r="D41" s="57"/>
      <c r="E41" s="58"/>
      <c r="F41" s="58"/>
      <c r="G41" s="58"/>
      <c r="H41" s="59"/>
      <c r="I41" s="59"/>
      <c r="J41" s="59"/>
      <c r="K41" s="59"/>
      <c r="L41" s="59"/>
      <c r="M41" s="59"/>
      <c r="N41" s="59"/>
      <c r="O41" s="57"/>
      <c r="P41" s="57"/>
      <c r="Q41" s="57"/>
      <c r="R41" s="60"/>
      <c r="S41" s="60"/>
      <c r="T41" s="57"/>
      <c r="U41" s="60"/>
      <c r="W41" s="55"/>
      <c r="X41" s="55"/>
      <c r="Y41" s="55"/>
      <c r="Z41" s="55"/>
      <c r="AA41" s="55"/>
      <c r="AB41" s="55"/>
      <c r="AC41" s="55"/>
      <c r="AD41" s="55"/>
    </row>
    <row r="42" spans="1:30" x14ac:dyDescent="0.4">
      <c r="A42" s="56"/>
      <c r="B42" s="57"/>
      <c r="C42" s="57"/>
      <c r="D42" s="57"/>
      <c r="E42" s="58"/>
      <c r="F42" s="58"/>
      <c r="G42" s="58"/>
      <c r="H42" s="59"/>
      <c r="I42" s="59"/>
      <c r="J42" s="59"/>
      <c r="K42" s="59"/>
      <c r="L42" s="59"/>
      <c r="M42" s="59"/>
      <c r="N42" s="59"/>
      <c r="O42" s="57"/>
      <c r="P42" s="57"/>
      <c r="Q42" s="57"/>
      <c r="R42" s="60"/>
      <c r="S42" s="57"/>
      <c r="T42" s="57"/>
      <c r="U42" s="57"/>
      <c r="W42" s="55"/>
      <c r="X42" s="55"/>
      <c r="Y42" s="55"/>
      <c r="Z42" s="55"/>
      <c r="AA42" s="55"/>
      <c r="AB42" s="55"/>
      <c r="AC42" s="55"/>
      <c r="AD42" s="55"/>
    </row>
    <row r="43" spans="1:30" x14ac:dyDescent="0.4">
      <c r="A43" s="56"/>
      <c r="B43" s="57"/>
      <c r="C43" s="57"/>
      <c r="D43" s="57"/>
      <c r="E43" s="58"/>
      <c r="F43" s="58"/>
      <c r="G43" s="58"/>
      <c r="H43" s="59"/>
      <c r="I43" s="59"/>
      <c r="J43" s="59"/>
      <c r="K43" s="59"/>
      <c r="L43" s="59"/>
      <c r="M43" s="57"/>
      <c r="N43" s="57"/>
      <c r="O43" s="57"/>
      <c r="P43" s="60"/>
      <c r="Q43" s="60"/>
      <c r="R43" s="57"/>
      <c r="S43" s="60"/>
      <c r="T43" s="62"/>
      <c r="U43" s="62"/>
      <c r="W43" s="55"/>
      <c r="X43" s="55"/>
      <c r="Y43" s="55"/>
      <c r="Z43" s="55"/>
      <c r="AA43" s="55"/>
      <c r="AB43" s="55"/>
      <c r="AC43" s="55"/>
      <c r="AD43" s="55"/>
    </row>
    <row r="44" spans="1:30" x14ac:dyDescent="0.4">
      <c r="A44" s="56"/>
      <c r="B44" s="57"/>
      <c r="C44" s="57"/>
      <c r="D44" s="57"/>
      <c r="E44" s="58"/>
      <c r="F44" s="58"/>
      <c r="G44" s="58"/>
      <c r="H44" s="59"/>
      <c r="I44" s="59"/>
      <c r="J44" s="59"/>
      <c r="K44" s="59"/>
      <c r="L44" s="59"/>
      <c r="M44" s="59"/>
      <c r="N44" s="59"/>
      <c r="O44" s="57"/>
      <c r="P44" s="57"/>
      <c r="Q44" s="57"/>
      <c r="R44" s="60"/>
      <c r="S44" s="57"/>
      <c r="T44" s="57"/>
      <c r="U44" s="57"/>
      <c r="W44" s="55"/>
      <c r="X44" s="55"/>
      <c r="Y44" s="55"/>
      <c r="Z44" s="55"/>
      <c r="AA44" s="55"/>
      <c r="AB44" s="55"/>
      <c r="AC44" s="55"/>
      <c r="AD44" s="55"/>
    </row>
    <row r="45" spans="1:30" x14ac:dyDescent="0.4">
      <c r="A45" s="56"/>
      <c r="B45" s="57"/>
      <c r="C45" s="57"/>
      <c r="D45" s="57"/>
      <c r="E45" s="58"/>
      <c r="F45" s="58"/>
      <c r="G45" s="58"/>
      <c r="H45" s="59"/>
      <c r="I45" s="59"/>
      <c r="J45" s="59"/>
      <c r="K45" s="59"/>
      <c r="L45" s="59"/>
      <c r="M45" s="59"/>
      <c r="N45" s="59"/>
      <c r="O45" s="57"/>
      <c r="P45" s="57"/>
      <c r="Q45" s="57"/>
      <c r="R45" s="60"/>
      <c r="S45" s="57"/>
      <c r="T45" s="57"/>
      <c r="U45" s="57"/>
      <c r="W45" s="55"/>
      <c r="X45" s="55"/>
      <c r="Y45" s="55"/>
      <c r="Z45" s="55"/>
      <c r="AA45" s="55"/>
      <c r="AB45" s="55"/>
      <c r="AC45" s="55"/>
      <c r="AD45" s="55"/>
    </row>
    <row r="46" spans="1:30" x14ac:dyDescent="0.4">
      <c r="A46" s="56"/>
      <c r="B46" s="57"/>
      <c r="C46" s="57"/>
      <c r="D46" s="57"/>
      <c r="E46" s="58"/>
      <c r="F46" s="58"/>
      <c r="G46" s="58"/>
      <c r="H46" s="59"/>
      <c r="I46" s="59"/>
      <c r="J46" s="59"/>
      <c r="K46" s="59"/>
      <c r="L46" s="59"/>
      <c r="M46" s="57"/>
      <c r="N46" s="57"/>
      <c r="O46" s="57"/>
      <c r="P46" s="60"/>
      <c r="Q46" s="57"/>
      <c r="R46" s="57"/>
      <c r="S46" s="57"/>
      <c r="T46" s="62"/>
      <c r="U46" s="62"/>
      <c r="W46" s="55"/>
      <c r="X46" s="55"/>
      <c r="Y46" s="55"/>
    </row>
    <row r="47" spans="1:30" x14ac:dyDescent="0.4">
      <c r="A47" s="56"/>
      <c r="B47" s="57"/>
      <c r="C47" s="57"/>
      <c r="D47" s="57"/>
      <c r="E47" s="58"/>
      <c r="F47" s="58"/>
      <c r="G47" s="58"/>
      <c r="H47" s="59"/>
      <c r="I47" s="59"/>
      <c r="J47" s="59"/>
      <c r="K47" s="59"/>
      <c r="L47" s="59"/>
      <c r="M47" s="57"/>
      <c r="N47" s="57"/>
      <c r="O47" s="57"/>
      <c r="P47" s="60"/>
      <c r="Q47" s="60"/>
      <c r="R47" s="57"/>
      <c r="S47" s="60"/>
      <c r="T47" s="62"/>
      <c r="U47" s="62"/>
      <c r="W47" s="55"/>
      <c r="X47" s="55"/>
      <c r="Y47" s="55"/>
    </row>
    <row r="48" spans="1:30" x14ac:dyDescent="0.4">
      <c r="A48" s="56"/>
      <c r="B48" s="57"/>
      <c r="C48" s="57"/>
      <c r="D48" s="57"/>
      <c r="E48" s="58"/>
      <c r="F48" s="58"/>
      <c r="G48" s="58"/>
      <c r="H48" s="59"/>
      <c r="I48" s="59"/>
      <c r="J48" s="59"/>
      <c r="K48" s="59"/>
      <c r="L48" s="59"/>
      <c r="M48" s="59"/>
      <c r="N48" s="59"/>
      <c r="O48" s="57"/>
      <c r="P48" s="57"/>
      <c r="Q48" s="57"/>
      <c r="R48" s="60"/>
      <c r="S48" s="57"/>
      <c r="T48" s="57"/>
      <c r="U48" s="60"/>
      <c r="W48" s="55"/>
      <c r="X48" s="55"/>
      <c r="Y48" s="55"/>
      <c r="Z48" s="55"/>
      <c r="AA48" s="55"/>
      <c r="AB48" s="55"/>
      <c r="AC48" s="55"/>
      <c r="AD48" s="55"/>
    </row>
    <row r="49" spans="1:30" x14ac:dyDescent="0.4">
      <c r="A49" s="56"/>
      <c r="B49" s="57"/>
      <c r="C49" s="57"/>
      <c r="D49" s="57"/>
      <c r="E49" s="58"/>
      <c r="F49" s="58"/>
      <c r="G49" s="58"/>
      <c r="H49" s="59"/>
      <c r="I49" s="59"/>
      <c r="J49" s="59"/>
      <c r="K49" s="59"/>
      <c r="L49" s="59"/>
      <c r="M49" s="57"/>
      <c r="N49" s="57"/>
      <c r="O49" s="57"/>
      <c r="P49" s="60"/>
      <c r="Q49" s="57"/>
      <c r="R49" s="57"/>
      <c r="S49" s="57"/>
      <c r="T49" s="62"/>
      <c r="U49" s="62"/>
      <c r="W49" s="55"/>
      <c r="X49" s="55"/>
      <c r="Y49" s="55"/>
    </row>
    <row r="50" spans="1:30" x14ac:dyDescent="0.4">
      <c r="A50" s="56"/>
      <c r="B50" s="57"/>
      <c r="C50" s="57"/>
      <c r="D50" s="57"/>
      <c r="E50" s="58"/>
      <c r="F50" s="58"/>
      <c r="G50" s="58"/>
      <c r="H50" s="59"/>
      <c r="I50" s="59"/>
      <c r="J50" s="59"/>
      <c r="K50" s="59"/>
      <c r="L50" s="59"/>
      <c r="M50" s="59"/>
      <c r="N50" s="59"/>
      <c r="O50" s="57"/>
      <c r="P50" s="57"/>
      <c r="Q50" s="57"/>
      <c r="R50" s="60"/>
      <c r="S50" s="60"/>
      <c r="T50" s="57"/>
      <c r="U50" s="60"/>
      <c r="W50" s="55"/>
      <c r="X50" s="55"/>
      <c r="Y50" s="55"/>
      <c r="Z50" s="55"/>
      <c r="AA50" s="55"/>
      <c r="AB50" s="55"/>
      <c r="AC50" s="55"/>
      <c r="AD50" s="55"/>
    </row>
    <row r="51" spans="1:30" x14ac:dyDescent="0.4">
      <c r="A51" s="56"/>
      <c r="B51" s="57"/>
      <c r="C51" s="57"/>
      <c r="D51" s="57"/>
      <c r="E51" s="58"/>
      <c r="F51" s="58"/>
      <c r="G51" s="58"/>
      <c r="H51" s="59"/>
      <c r="I51" s="59"/>
      <c r="J51" s="59"/>
      <c r="K51" s="59"/>
      <c r="L51" s="59"/>
      <c r="M51" s="59"/>
      <c r="N51" s="59"/>
      <c r="O51" s="57"/>
      <c r="P51" s="57"/>
      <c r="Q51" s="57"/>
      <c r="R51" s="60"/>
      <c r="S51" s="60"/>
      <c r="T51" s="57"/>
      <c r="U51" s="60"/>
      <c r="W51" s="55"/>
      <c r="X51" s="55"/>
      <c r="Y51" s="55"/>
      <c r="Z51" s="55"/>
      <c r="AA51" s="55"/>
      <c r="AB51" s="55"/>
      <c r="AC51" s="55"/>
      <c r="AD51" s="55"/>
    </row>
    <row r="52" spans="1:30" x14ac:dyDescent="0.4">
      <c r="A52" s="56"/>
      <c r="B52" s="57"/>
      <c r="C52" s="57"/>
      <c r="D52" s="57"/>
      <c r="E52" s="58"/>
      <c r="F52" s="58"/>
      <c r="G52" s="58"/>
      <c r="H52" s="59"/>
      <c r="I52" s="59"/>
      <c r="J52" s="59"/>
      <c r="K52" s="59"/>
      <c r="L52" s="59"/>
      <c r="M52" s="57"/>
      <c r="N52" s="57"/>
      <c r="O52" s="57"/>
      <c r="P52" s="60"/>
      <c r="Q52" s="60"/>
      <c r="R52" s="57"/>
      <c r="S52" s="60"/>
      <c r="T52" s="62"/>
      <c r="U52" s="62"/>
      <c r="W52" s="55"/>
      <c r="X52" s="55"/>
      <c r="Y52" s="55"/>
      <c r="Z52" s="55"/>
      <c r="AA52" s="55"/>
      <c r="AB52" s="55"/>
      <c r="AC52" s="55"/>
      <c r="AD52" s="55"/>
    </row>
    <row r="53" spans="1:30" x14ac:dyDescent="0.4">
      <c r="A53" s="56"/>
      <c r="B53" s="57"/>
      <c r="C53" s="57"/>
      <c r="D53" s="57"/>
      <c r="E53" s="58"/>
      <c r="F53" s="58"/>
      <c r="G53" s="58"/>
      <c r="H53" s="59"/>
      <c r="I53" s="59"/>
      <c r="J53" s="59"/>
      <c r="K53" s="59"/>
      <c r="L53" s="59"/>
      <c r="M53" s="57"/>
      <c r="N53" s="57"/>
      <c r="O53" s="57"/>
      <c r="P53" s="60"/>
      <c r="Q53" s="60"/>
      <c r="R53" s="57"/>
      <c r="S53" s="60"/>
      <c r="T53" s="62"/>
      <c r="U53" s="62"/>
      <c r="W53" s="55"/>
      <c r="X53" s="55"/>
      <c r="Y53" s="55"/>
    </row>
    <row r="54" spans="1:30" x14ac:dyDescent="0.4">
      <c r="A54" s="56"/>
      <c r="B54" s="57"/>
      <c r="C54" s="57"/>
      <c r="D54" s="57"/>
      <c r="E54" s="58"/>
      <c r="F54" s="58"/>
      <c r="G54" s="58"/>
      <c r="H54" s="59"/>
      <c r="I54" s="59"/>
      <c r="J54" s="59"/>
      <c r="K54" s="59"/>
      <c r="L54" s="59"/>
      <c r="M54" s="57"/>
      <c r="N54" s="57"/>
      <c r="O54" s="57"/>
      <c r="P54" s="60"/>
      <c r="Q54" s="60"/>
      <c r="R54" s="57"/>
      <c r="S54" s="60"/>
      <c r="T54" s="62"/>
      <c r="U54" s="62"/>
      <c r="W54" s="55"/>
      <c r="X54" s="55"/>
      <c r="Y54" s="55"/>
    </row>
    <row r="55" spans="1:30" x14ac:dyDescent="0.4">
      <c r="A55" s="56"/>
      <c r="B55" s="57"/>
      <c r="C55" s="57"/>
      <c r="D55" s="57"/>
      <c r="E55" s="58"/>
      <c r="F55" s="58"/>
      <c r="G55" s="58"/>
      <c r="H55" s="59"/>
      <c r="I55" s="59"/>
      <c r="J55" s="59"/>
      <c r="K55" s="59"/>
      <c r="L55" s="59"/>
      <c r="M55" s="59"/>
      <c r="N55" s="59"/>
      <c r="O55" s="57"/>
      <c r="P55" s="57"/>
      <c r="Q55" s="57"/>
      <c r="R55" s="60"/>
      <c r="S55" s="60"/>
      <c r="T55" s="57"/>
      <c r="U55" s="60"/>
      <c r="W55" s="55"/>
      <c r="X55" s="55"/>
      <c r="Y55" s="55"/>
      <c r="Z55" s="55"/>
      <c r="AA55" s="55"/>
      <c r="AB55" s="55"/>
      <c r="AC55" s="55"/>
      <c r="AD55" s="55"/>
    </row>
    <row r="56" spans="1:30" x14ac:dyDescent="0.4">
      <c r="A56" s="56"/>
      <c r="B56" s="57"/>
      <c r="C56" s="57"/>
      <c r="D56" s="57"/>
      <c r="E56" s="58"/>
      <c r="F56" s="58"/>
      <c r="G56" s="58"/>
      <c r="H56" s="59"/>
      <c r="I56" s="59"/>
      <c r="J56" s="59"/>
      <c r="K56" s="59"/>
      <c r="L56" s="59"/>
      <c r="M56" s="59"/>
      <c r="N56" s="59"/>
      <c r="O56" s="57"/>
      <c r="P56" s="57"/>
      <c r="Q56" s="57"/>
      <c r="R56" s="60"/>
      <c r="S56" s="60"/>
      <c r="T56" s="57"/>
      <c r="U56" s="60"/>
      <c r="W56" s="55"/>
      <c r="X56" s="55"/>
      <c r="Y56" s="55"/>
      <c r="Z56" s="55"/>
      <c r="AA56" s="55"/>
      <c r="AB56" s="55"/>
      <c r="AC56" s="55"/>
      <c r="AD56" s="55"/>
    </row>
    <row r="57" spans="1:30" x14ac:dyDescent="0.4">
      <c r="A57" s="56"/>
      <c r="B57" s="57"/>
      <c r="C57" s="57"/>
      <c r="D57" s="57"/>
      <c r="E57" s="58"/>
      <c r="F57" s="58"/>
      <c r="G57" s="58"/>
      <c r="H57" s="59"/>
      <c r="I57" s="59"/>
      <c r="J57" s="59"/>
      <c r="K57" s="59"/>
      <c r="L57" s="59"/>
      <c r="M57" s="59"/>
      <c r="N57" s="59"/>
      <c r="O57" s="57"/>
      <c r="P57" s="57"/>
      <c r="Q57" s="57"/>
      <c r="R57" s="60"/>
      <c r="S57" s="60"/>
      <c r="T57" s="57"/>
      <c r="U57" s="60"/>
      <c r="W57" s="55"/>
      <c r="X57" s="55"/>
      <c r="Y57" s="55"/>
      <c r="Z57" s="55"/>
      <c r="AA57" s="55"/>
      <c r="AB57" s="55"/>
      <c r="AC57" s="55"/>
      <c r="AD57" s="55"/>
    </row>
    <row r="58" spans="1:30" x14ac:dyDescent="0.4">
      <c r="A58" s="56"/>
      <c r="B58" s="57"/>
      <c r="C58" s="57"/>
      <c r="D58" s="57"/>
      <c r="E58" s="58"/>
      <c r="F58" s="58"/>
      <c r="G58" s="58"/>
      <c r="H58" s="59"/>
      <c r="I58" s="59"/>
      <c r="J58" s="59"/>
      <c r="K58" s="59"/>
      <c r="L58" s="59"/>
      <c r="M58" s="57"/>
      <c r="N58" s="57"/>
      <c r="O58" s="57"/>
      <c r="P58" s="60"/>
      <c r="Q58" s="60"/>
      <c r="R58" s="57"/>
      <c r="S58" s="60"/>
      <c r="T58" s="62"/>
      <c r="U58" s="62"/>
      <c r="W58" s="55"/>
      <c r="X58" s="55"/>
      <c r="Y58" s="55"/>
    </row>
    <row r="59" spans="1:30" x14ac:dyDescent="0.4">
      <c r="A59" s="56"/>
      <c r="B59" s="57"/>
      <c r="C59" s="57"/>
      <c r="D59" s="57"/>
      <c r="E59" s="58"/>
      <c r="F59" s="58"/>
      <c r="G59" s="58"/>
      <c r="H59" s="59"/>
      <c r="I59" s="59"/>
      <c r="J59" s="59"/>
      <c r="K59" s="59"/>
      <c r="L59" s="59"/>
      <c r="M59" s="59"/>
      <c r="N59" s="59"/>
      <c r="O59" s="57"/>
      <c r="P59" s="57"/>
      <c r="Q59" s="57"/>
      <c r="R59" s="60"/>
      <c r="S59" s="60"/>
      <c r="T59" s="57"/>
      <c r="U59" s="60"/>
      <c r="W59" s="55"/>
      <c r="X59" s="55"/>
      <c r="Y59" s="55"/>
      <c r="Z59" s="55"/>
      <c r="AA59" s="55"/>
      <c r="AB59" s="55"/>
      <c r="AC59" s="55"/>
      <c r="AD59" s="55"/>
    </row>
    <row r="60" spans="1:30" x14ac:dyDescent="0.4">
      <c r="A60" s="56"/>
      <c r="B60" s="57"/>
      <c r="C60" s="57"/>
      <c r="D60" s="57"/>
      <c r="E60" s="58"/>
      <c r="F60" s="58"/>
      <c r="G60" s="58"/>
      <c r="H60" s="59"/>
      <c r="I60" s="59"/>
      <c r="J60" s="59"/>
      <c r="K60" s="59"/>
      <c r="L60" s="59"/>
      <c r="M60" s="57"/>
      <c r="N60" s="57"/>
      <c r="O60" s="57"/>
      <c r="P60" s="60"/>
      <c r="Q60" s="60"/>
      <c r="R60" s="57"/>
      <c r="S60" s="60"/>
      <c r="T60" s="62"/>
      <c r="U60" s="62"/>
      <c r="W60" s="55"/>
      <c r="X60" s="55"/>
      <c r="Y60" s="55"/>
    </row>
    <row r="61" spans="1:30" x14ac:dyDescent="0.4">
      <c r="A61" s="56"/>
      <c r="B61" s="57"/>
      <c r="C61" s="57"/>
      <c r="D61" s="57"/>
      <c r="E61" s="58"/>
      <c r="F61" s="58"/>
      <c r="G61" s="58"/>
      <c r="H61" s="59"/>
      <c r="I61" s="59"/>
      <c r="J61" s="59"/>
      <c r="K61" s="59"/>
      <c r="L61" s="59"/>
      <c r="M61" s="59"/>
      <c r="N61" s="59"/>
      <c r="O61" s="57"/>
      <c r="P61" s="57"/>
      <c r="Q61" s="57"/>
      <c r="R61" s="60"/>
      <c r="S61" s="60"/>
      <c r="T61" s="57"/>
      <c r="U61" s="60"/>
      <c r="W61" s="55"/>
      <c r="X61" s="55"/>
      <c r="Y61" s="55"/>
      <c r="Z61" s="55"/>
      <c r="AA61" s="55"/>
      <c r="AB61" s="55"/>
      <c r="AC61" s="55"/>
      <c r="AD61" s="55"/>
    </row>
    <row r="62" spans="1:30" x14ac:dyDescent="0.4">
      <c r="A62" s="63"/>
      <c r="B62" s="62"/>
      <c r="C62" s="62"/>
      <c r="D62" s="62"/>
      <c r="E62" s="63"/>
      <c r="F62" s="63"/>
      <c r="G62" s="63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55"/>
      <c r="W62" s="55"/>
      <c r="X62" s="55"/>
      <c r="Y62" s="55"/>
      <c r="Z62" s="55"/>
      <c r="AA62" s="55"/>
      <c r="AB62" s="55"/>
      <c r="AC62" s="55"/>
      <c r="AD62" s="55"/>
    </row>
    <row r="63" spans="1:30" x14ac:dyDescent="0.4">
      <c r="A63" s="63"/>
      <c r="B63" s="62"/>
      <c r="C63" s="62"/>
      <c r="D63" s="62"/>
      <c r="E63" s="63"/>
      <c r="F63" s="63"/>
      <c r="G63" s="63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55"/>
      <c r="W63" s="55"/>
      <c r="X63" s="55"/>
      <c r="Y63" s="55"/>
      <c r="Z63" s="55"/>
      <c r="AA63" s="55"/>
      <c r="AB63" s="55"/>
      <c r="AC63" s="55"/>
      <c r="AD63" s="55"/>
    </row>
    <row r="64" spans="1:30" x14ac:dyDescent="0.4">
      <c r="A64" s="63"/>
      <c r="B64" s="62"/>
      <c r="C64" s="62"/>
      <c r="D64" s="62"/>
      <c r="E64" s="63"/>
      <c r="F64" s="63"/>
      <c r="G64" s="63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55"/>
      <c r="W64" s="55"/>
      <c r="X64" s="55"/>
      <c r="Y64" s="55"/>
      <c r="Z64" s="55"/>
      <c r="AA64" s="55"/>
      <c r="AB64" s="55"/>
      <c r="AC64" s="55"/>
      <c r="AD64" s="55"/>
    </row>
    <row r="65" spans="1:30" x14ac:dyDescent="0.4">
      <c r="A65" s="63"/>
      <c r="B65" s="62"/>
      <c r="C65" s="62"/>
      <c r="D65" s="62"/>
      <c r="E65" s="63"/>
      <c r="F65" s="63"/>
      <c r="G65" s="63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55"/>
      <c r="W65" s="55"/>
      <c r="X65" s="55"/>
      <c r="Y65" s="55"/>
      <c r="Z65" s="55"/>
      <c r="AA65" s="55"/>
      <c r="AB65" s="55"/>
      <c r="AC65" s="55"/>
      <c r="AD65" s="55"/>
    </row>
    <row r="66" spans="1:30" x14ac:dyDescent="0.4">
      <c r="A66" s="63"/>
      <c r="B66" s="62"/>
      <c r="C66" s="62"/>
      <c r="D66" s="62"/>
      <c r="E66" s="63"/>
      <c r="F66" s="63"/>
      <c r="G66" s="63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55"/>
      <c r="W66" s="55"/>
      <c r="X66" s="55"/>
      <c r="Y66" s="55"/>
      <c r="Z66" s="55"/>
      <c r="AA66" s="55"/>
      <c r="AB66" s="55"/>
      <c r="AC66" s="55"/>
      <c r="AD66" s="55"/>
    </row>
    <row r="67" spans="1:30" x14ac:dyDescent="0.4">
      <c r="A67" s="63"/>
      <c r="B67" s="62"/>
      <c r="C67" s="62"/>
      <c r="D67" s="62"/>
      <c r="E67" s="63"/>
      <c r="F67" s="63"/>
      <c r="G67" s="63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55"/>
      <c r="W67" s="55"/>
      <c r="X67" s="55"/>
      <c r="Y67" s="55"/>
      <c r="Z67" s="55"/>
      <c r="AA67" s="55"/>
      <c r="AB67" s="55"/>
      <c r="AC67" s="55"/>
      <c r="AD67" s="55"/>
    </row>
    <row r="68" spans="1:30" x14ac:dyDescent="0.4">
      <c r="A68" s="63"/>
      <c r="B68" s="62"/>
      <c r="C68" s="62"/>
      <c r="D68" s="62"/>
      <c r="E68" s="63"/>
      <c r="F68" s="63"/>
      <c r="G68" s="63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55"/>
      <c r="W68" s="55"/>
      <c r="X68" s="55"/>
      <c r="Y68" s="55"/>
      <c r="Z68" s="55"/>
      <c r="AA68" s="55"/>
      <c r="AB68" s="55"/>
      <c r="AC68" s="55"/>
      <c r="AD68" s="55"/>
    </row>
    <row r="69" spans="1:30" x14ac:dyDescent="0.4">
      <c r="A69" s="63"/>
      <c r="B69" s="62"/>
      <c r="C69" s="62"/>
      <c r="D69" s="62"/>
      <c r="E69" s="63"/>
      <c r="F69" s="63"/>
      <c r="G69" s="63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55"/>
      <c r="W69" s="55"/>
      <c r="X69" s="55"/>
      <c r="Y69" s="55"/>
      <c r="Z69" s="55"/>
      <c r="AA69" s="55"/>
      <c r="AB69" s="55"/>
      <c r="AC69" s="55"/>
      <c r="AD69" s="55"/>
    </row>
    <row r="70" spans="1:30" x14ac:dyDescent="0.4">
      <c r="A70" s="63"/>
      <c r="B70" s="62"/>
      <c r="C70" s="62"/>
      <c r="D70" s="62"/>
      <c r="E70" s="63"/>
      <c r="F70" s="63"/>
      <c r="G70" s="63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55"/>
      <c r="W70" s="55"/>
      <c r="X70" s="55"/>
      <c r="Y70" s="55"/>
      <c r="Z70" s="55"/>
      <c r="AA70" s="55"/>
      <c r="AB70" s="55"/>
      <c r="AC70" s="55"/>
      <c r="AD70" s="55"/>
    </row>
    <row r="71" spans="1:30" x14ac:dyDescent="0.4">
      <c r="A71" s="63"/>
      <c r="B71" s="62"/>
      <c r="C71" s="62"/>
      <c r="D71" s="62"/>
      <c r="E71" s="63"/>
      <c r="F71" s="63"/>
      <c r="G71" s="63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55"/>
      <c r="W71" s="55"/>
      <c r="X71" s="55"/>
      <c r="Y71" s="55"/>
      <c r="Z71" s="55"/>
      <c r="AA71" s="55"/>
      <c r="AB71" s="55"/>
      <c r="AC71" s="55"/>
      <c r="AD71" s="55"/>
    </row>
    <row r="72" spans="1:30" x14ac:dyDescent="0.4">
      <c r="A72" s="63"/>
      <c r="B72" s="62"/>
      <c r="C72" s="62"/>
      <c r="D72" s="62"/>
      <c r="E72" s="63"/>
      <c r="F72" s="63"/>
      <c r="G72" s="63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55"/>
      <c r="W72" s="55"/>
      <c r="X72" s="55"/>
      <c r="Y72" s="55"/>
      <c r="Z72" s="55"/>
      <c r="AA72" s="55"/>
      <c r="AB72" s="55"/>
      <c r="AC72" s="55"/>
      <c r="AD72" s="55"/>
    </row>
    <row r="73" spans="1:30" x14ac:dyDescent="0.4">
      <c r="A73" s="63"/>
      <c r="B73" s="62"/>
      <c r="C73" s="62"/>
      <c r="D73" s="62"/>
      <c r="E73" s="63"/>
      <c r="F73" s="63"/>
      <c r="G73" s="63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55"/>
      <c r="W73" s="55"/>
      <c r="X73" s="55"/>
      <c r="Y73" s="55"/>
      <c r="Z73" s="55"/>
      <c r="AA73" s="55"/>
      <c r="AB73" s="55"/>
      <c r="AC73" s="55"/>
      <c r="AD73" s="55"/>
    </row>
    <row r="74" spans="1:30" x14ac:dyDescent="0.4">
      <c r="A74" s="63"/>
      <c r="B74" s="62"/>
      <c r="C74" s="62"/>
      <c r="D74" s="62"/>
      <c r="E74" s="63"/>
      <c r="F74" s="63"/>
      <c r="G74" s="63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55"/>
      <c r="W74" s="55"/>
      <c r="X74" s="55"/>
      <c r="Y74" s="55"/>
      <c r="Z74" s="55"/>
      <c r="AA74" s="55"/>
      <c r="AB74" s="55"/>
      <c r="AC74" s="55"/>
      <c r="AD74" s="55"/>
    </row>
    <row r="75" spans="1:30" x14ac:dyDescent="0.4">
      <c r="A75" s="63"/>
      <c r="B75" s="62"/>
      <c r="C75" s="62"/>
      <c r="D75" s="62"/>
      <c r="E75" s="63"/>
      <c r="F75" s="63"/>
      <c r="G75" s="63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55"/>
      <c r="W75" s="55"/>
      <c r="X75" s="55"/>
      <c r="Y75" s="55"/>
      <c r="Z75" s="55"/>
      <c r="AA75" s="55"/>
      <c r="AB75" s="55"/>
      <c r="AC75" s="55"/>
      <c r="AD75" s="55"/>
    </row>
    <row r="76" spans="1:30" x14ac:dyDescent="0.4">
      <c r="A76" s="63"/>
      <c r="B76" s="62"/>
      <c r="C76" s="62"/>
      <c r="D76" s="62"/>
      <c r="E76" s="63"/>
      <c r="F76" s="63"/>
      <c r="G76" s="63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55"/>
      <c r="W76" s="55"/>
      <c r="X76" s="55"/>
      <c r="Y76" s="55"/>
      <c r="Z76" s="55"/>
      <c r="AA76" s="55"/>
      <c r="AB76" s="55"/>
      <c r="AC76" s="55"/>
      <c r="AD76" s="55"/>
    </row>
    <row r="77" spans="1:30" x14ac:dyDescent="0.4">
      <c r="A77" s="63"/>
      <c r="B77" s="62"/>
      <c r="C77" s="62"/>
      <c r="D77" s="62"/>
      <c r="E77" s="63"/>
      <c r="F77" s="63"/>
      <c r="G77" s="63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55"/>
      <c r="W77" s="55"/>
      <c r="X77" s="55"/>
      <c r="Y77" s="55"/>
      <c r="Z77" s="55"/>
      <c r="AA77" s="55"/>
      <c r="AB77" s="55"/>
      <c r="AC77" s="55"/>
      <c r="AD77" s="55"/>
    </row>
    <row r="78" spans="1:30" x14ac:dyDescent="0.4">
      <c r="A78" s="63"/>
      <c r="B78" s="62"/>
      <c r="C78" s="62"/>
      <c r="D78" s="62"/>
      <c r="E78" s="63"/>
      <c r="F78" s="63"/>
      <c r="G78" s="63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55"/>
      <c r="W78" s="55"/>
      <c r="X78" s="55"/>
      <c r="Y78" s="55"/>
      <c r="Z78" s="55"/>
      <c r="AA78" s="55"/>
      <c r="AB78" s="55"/>
      <c r="AC78" s="55"/>
      <c r="AD78" s="55"/>
    </row>
    <row r="79" spans="1:30" x14ac:dyDescent="0.4">
      <c r="A79" s="63"/>
      <c r="B79" s="62"/>
      <c r="C79" s="62"/>
      <c r="D79" s="62"/>
      <c r="E79" s="63"/>
      <c r="F79" s="63"/>
      <c r="G79" s="63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55"/>
      <c r="W79" s="55"/>
      <c r="X79" s="55"/>
      <c r="Y79" s="55"/>
      <c r="Z79" s="55"/>
      <c r="AA79" s="55"/>
      <c r="AB79" s="55"/>
      <c r="AC79" s="55"/>
      <c r="AD79" s="55"/>
    </row>
    <row r="80" spans="1:30" x14ac:dyDescent="0.4">
      <c r="A80" s="63"/>
      <c r="B80" s="62"/>
      <c r="C80" s="62"/>
      <c r="D80" s="62"/>
      <c r="E80" s="63"/>
      <c r="F80" s="63"/>
      <c r="G80" s="63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55"/>
      <c r="W80" s="55"/>
      <c r="X80" s="55"/>
      <c r="Y80" s="55"/>
      <c r="Z80" s="55"/>
      <c r="AA80" s="55"/>
      <c r="AB80" s="55"/>
      <c r="AC80" s="55"/>
      <c r="AD80" s="55"/>
    </row>
    <row r="81" spans="1:30" x14ac:dyDescent="0.4">
      <c r="A81" s="63"/>
      <c r="B81" s="62"/>
      <c r="C81" s="62"/>
      <c r="D81" s="62"/>
      <c r="E81" s="63"/>
      <c r="F81" s="63"/>
      <c r="G81" s="63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55"/>
      <c r="W81" s="55"/>
      <c r="X81" s="55"/>
      <c r="Y81" s="55"/>
      <c r="Z81" s="55"/>
      <c r="AA81" s="55"/>
      <c r="AB81" s="55"/>
      <c r="AC81" s="55"/>
      <c r="AD81" s="55"/>
    </row>
    <row r="82" spans="1:30" x14ac:dyDescent="0.4">
      <c r="A82" s="63"/>
      <c r="B82" s="62"/>
      <c r="C82" s="62"/>
      <c r="D82" s="62"/>
      <c r="E82" s="63"/>
      <c r="F82" s="63"/>
      <c r="G82" s="63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55"/>
      <c r="W82" s="55"/>
      <c r="X82" s="55"/>
      <c r="Y82" s="55"/>
      <c r="Z82" s="55"/>
      <c r="AA82" s="55"/>
      <c r="AB82" s="55"/>
      <c r="AC82" s="55"/>
      <c r="AD82" s="55"/>
    </row>
    <row r="83" spans="1:30" x14ac:dyDescent="0.4">
      <c r="A83" s="63"/>
      <c r="B83" s="62"/>
      <c r="C83" s="62"/>
      <c r="D83" s="62"/>
      <c r="E83" s="63"/>
      <c r="F83" s="63"/>
      <c r="G83" s="63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55"/>
      <c r="W83" s="55"/>
      <c r="X83" s="55"/>
      <c r="Y83" s="55"/>
      <c r="Z83" s="55"/>
      <c r="AA83" s="55"/>
      <c r="AB83" s="55"/>
      <c r="AC83" s="55"/>
      <c r="AD83" s="55"/>
    </row>
    <row r="84" spans="1:30" x14ac:dyDescent="0.4">
      <c r="A84" s="63"/>
      <c r="B84" s="62"/>
      <c r="C84" s="62"/>
      <c r="D84" s="62"/>
      <c r="E84" s="63"/>
      <c r="F84" s="63"/>
      <c r="G84" s="63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55"/>
      <c r="W84" s="55"/>
      <c r="X84" s="55"/>
      <c r="Y84" s="55"/>
      <c r="Z84" s="55"/>
      <c r="AA84" s="55"/>
      <c r="AB84" s="55"/>
      <c r="AC84" s="55"/>
      <c r="AD84" s="55"/>
    </row>
    <row r="85" spans="1:30" x14ac:dyDescent="0.4">
      <c r="A85" s="63"/>
      <c r="B85" s="62"/>
      <c r="C85" s="62"/>
      <c r="D85" s="62"/>
      <c r="E85" s="63"/>
      <c r="F85" s="63"/>
      <c r="G85" s="63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55"/>
      <c r="W85" s="55"/>
      <c r="X85" s="55"/>
      <c r="Y85" s="55"/>
      <c r="Z85" s="55"/>
      <c r="AA85" s="55"/>
      <c r="AB85" s="55"/>
      <c r="AC85" s="55"/>
      <c r="AD85" s="55"/>
    </row>
    <row r="86" spans="1:30" x14ac:dyDescent="0.4">
      <c r="A86" s="63"/>
      <c r="B86" s="62"/>
      <c r="C86" s="62"/>
      <c r="D86" s="62"/>
      <c r="E86" s="63"/>
      <c r="F86" s="63"/>
      <c r="G86" s="63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55"/>
      <c r="W86" s="55"/>
      <c r="X86" s="55"/>
      <c r="Y86" s="55"/>
      <c r="Z86" s="55"/>
      <c r="AA86" s="55"/>
      <c r="AB86" s="55"/>
      <c r="AC86" s="55"/>
      <c r="AD86" s="55"/>
    </row>
    <row r="87" spans="1:30" x14ac:dyDescent="0.4">
      <c r="A87" s="63"/>
      <c r="B87" s="62"/>
      <c r="C87" s="62"/>
      <c r="D87" s="62"/>
      <c r="E87" s="63"/>
      <c r="F87" s="63"/>
      <c r="G87" s="63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55"/>
      <c r="W87" s="55"/>
      <c r="X87" s="55"/>
      <c r="Y87" s="55"/>
      <c r="Z87" s="55"/>
      <c r="AA87" s="55"/>
      <c r="AB87" s="55"/>
      <c r="AC87" s="55"/>
      <c r="AD87" s="55"/>
    </row>
    <row r="88" spans="1:30" x14ac:dyDescent="0.4">
      <c r="A88" s="63"/>
      <c r="B88" s="62"/>
      <c r="C88" s="62"/>
      <c r="D88" s="62"/>
      <c r="E88" s="63"/>
      <c r="F88" s="63"/>
      <c r="G88" s="63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55"/>
      <c r="W88" s="55"/>
      <c r="X88" s="55"/>
      <c r="Y88" s="55"/>
      <c r="Z88" s="55"/>
      <c r="AA88" s="55"/>
      <c r="AB88" s="55"/>
      <c r="AC88" s="55"/>
      <c r="AD88" s="55"/>
    </row>
    <row r="89" spans="1:30" x14ac:dyDescent="0.4">
      <c r="A89" s="63"/>
      <c r="B89" s="62"/>
      <c r="C89" s="62"/>
      <c r="D89" s="62"/>
      <c r="E89" s="63"/>
      <c r="F89" s="63"/>
      <c r="G89" s="63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55"/>
      <c r="W89" s="55"/>
      <c r="X89" s="55"/>
      <c r="Y89" s="55"/>
      <c r="Z89" s="55"/>
      <c r="AA89" s="55"/>
      <c r="AB89" s="55"/>
      <c r="AC89" s="55"/>
      <c r="AD89" s="55"/>
    </row>
    <row r="90" spans="1:30" x14ac:dyDescent="0.4">
      <c r="A90" s="63"/>
      <c r="B90" s="62"/>
      <c r="C90" s="62"/>
      <c r="D90" s="62"/>
      <c r="E90" s="63"/>
      <c r="F90" s="63"/>
      <c r="G90" s="63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55"/>
      <c r="W90" s="55"/>
      <c r="X90" s="55"/>
      <c r="Y90" s="55"/>
      <c r="Z90" s="55"/>
      <c r="AA90" s="55"/>
      <c r="AB90" s="55"/>
      <c r="AC90" s="55"/>
      <c r="AD90" s="55"/>
    </row>
    <row r="91" spans="1:30" x14ac:dyDescent="0.4">
      <c r="A91" s="63"/>
      <c r="B91" s="62"/>
      <c r="C91" s="62"/>
      <c r="D91" s="62"/>
      <c r="E91" s="63"/>
      <c r="F91" s="63"/>
      <c r="G91" s="63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55"/>
      <c r="W91" s="55"/>
      <c r="X91" s="55"/>
      <c r="Y91" s="55"/>
      <c r="Z91" s="55"/>
      <c r="AA91" s="55"/>
      <c r="AB91" s="55"/>
      <c r="AC91" s="55"/>
      <c r="AD91" s="55"/>
    </row>
    <row r="92" spans="1:30" x14ac:dyDescent="0.4">
      <c r="A92" s="63"/>
      <c r="B92" s="62"/>
      <c r="C92" s="62"/>
      <c r="D92" s="62"/>
      <c r="E92" s="63"/>
      <c r="F92" s="63"/>
      <c r="G92" s="63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55"/>
      <c r="W92" s="55"/>
      <c r="X92" s="55"/>
      <c r="Y92" s="55"/>
      <c r="Z92" s="55"/>
      <c r="AA92" s="55"/>
      <c r="AB92" s="55"/>
      <c r="AC92" s="55"/>
      <c r="AD92" s="55"/>
    </row>
    <row r="93" spans="1:30" x14ac:dyDescent="0.4">
      <c r="A93" s="63"/>
      <c r="B93" s="62"/>
      <c r="C93" s="62"/>
      <c r="D93" s="62"/>
      <c r="E93" s="63"/>
      <c r="F93" s="63"/>
      <c r="G93" s="63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55"/>
      <c r="W93" s="55"/>
      <c r="X93" s="55"/>
      <c r="Y93" s="55"/>
      <c r="Z93" s="55"/>
      <c r="AA93" s="55"/>
      <c r="AB93" s="55"/>
      <c r="AC93" s="55"/>
      <c r="AD93" s="55"/>
    </row>
    <row r="94" spans="1:30" x14ac:dyDescent="0.4">
      <c r="A94" s="63"/>
      <c r="B94" s="62"/>
      <c r="C94" s="62"/>
      <c r="D94" s="62"/>
      <c r="E94" s="63"/>
      <c r="F94" s="63"/>
      <c r="G94" s="63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55"/>
      <c r="W94" s="55"/>
      <c r="X94" s="55"/>
      <c r="Y94" s="55"/>
      <c r="Z94" s="55"/>
      <c r="AA94" s="55"/>
      <c r="AB94" s="55"/>
      <c r="AC94" s="55"/>
      <c r="AD94" s="55"/>
    </row>
    <row r="95" spans="1:30" x14ac:dyDescent="0.4">
      <c r="A95" s="63"/>
      <c r="B95" s="62"/>
      <c r="C95" s="62"/>
      <c r="D95" s="62"/>
      <c r="E95" s="63"/>
      <c r="F95" s="63"/>
      <c r="G95" s="63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55"/>
      <c r="W95" s="55"/>
      <c r="X95" s="55"/>
      <c r="Y95" s="55"/>
      <c r="Z95" s="55"/>
      <c r="AA95" s="55"/>
      <c r="AB95" s="55"/>
      <c r="AC95" s="55"/>
      <c r="AD95" s="55"/>
    </row>
    <row r="96" spans="1:30" x14ac:dyDescent="0.4">
      <c r="A96" s="63"/>
      <c r="B96" s="62"/>
      <c r="C96" s="62"/>
      <c r="D96" s="62"/>
      <c r="E96" s="63"/>
      <c r="F96" s="63"/>
      <c r="G96" s="63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55"/>
      <c r="W96" s="55"/>
      <c r="X96" s="55"/>
      <c r="Y96" s="55"/>
      <c r="Z96" s="55"/>
      <c r="AA96" s="55"/>
      <c r="AB96" s="55"/>
      <c r="AC96" s="55"/>
      <c r="AD96" s="55"/>
    </row>
    <row r="97" spans="1:30" x14ac:dyDescent="0.4">
      <c r="A97" s="63"/>
      <c r="B97" s="62"/>
      <c r="C97" s="62"/>
      <c r="D97" s="62"/>
      <c r="E97" s="63"/>
      <c r="F97" s="63"/>
      <c r="G97" s="63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55"/>
      <c r="W97" s="55"/>
      <c r="X97" s="55"/>
      <c r="Y97" s="55"/>
      <c r="Z97" s="55"/>
      <c r="AA97" s="55"/>
      <c r="AB97" s="55"/>
      <c r="AC97" s="55"/>
      <c r="AD97" s="55"/>
    </row>
    <row r="98" spans="1:30" x14ac:dyDescent="0.4">
      <c r="A98" s="63"/>
      <c r="B98" s="62"/>
      <c r="C98" s="62"/>
      <c r="D98" s="62"/>
      <c r="E98" s="63"/>
      <c r="F98" s="63"/>
      <c r="G98" s="63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55"/>
      <c r="W98" s="55"/>
      <c r="X98" s="55"/>
      <c r="Y98" s="55"/>
      <c r="Z98" s="55"/>
      <c r="AA98" s="55"/>
      <c r="AB98" s="55"/>
      <c r="AC98" s="55"/>
      <c r="AD98" s="55"/>
    </row>
    <row r="99" spans="1:30" x14ac:dyDescent="0.4">
      <c r="A99" s="63"/>
      <c r="B99" s="62"/>
      <c r="C99" s="62"/>
      <c r="D99" s="62"/>
      <c r="E99" s="63"/>
      <c r="F99" s="63"/>
      <c r="G99" s="63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55"/>
      <c r="W99" s="55"/>
      <c r="X99" s="55"/>
      <c r="Y99" s="55"/>
      <c r="Z99" s="55"/>
      <c r="AA99" s="55"/>
      <c r="AB99" s="55"/>
      <c r="AC99" s="55"/>
      <c r="AD99" s="55"/>
    </row>
    <row r="100" spans="1:30" x14ac:dyDescent="0.4">
      <c r="A100" s="63"/>
      <c r="B100" s="62"/>
      <c r="C100" s="62"/>
      <c r="D100" s="62"/>
      <c r="E100" s="63"/>
      <c r="F100" s="63"/>
      <c r="G100" s="63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55"/>
      <c r="W100" s="55"/>
      <c r="X100" s="55"/>
      <c r="Y100" s="55"/>
      <c r="Z100" s="55"/>
      <c r="AA100" s="55"/>
      <c r="AB100" s="55"/>
      <c r="AC100" s="55"/>
      <c r="AD100" s="55"/>
    </row>
    <row r="101" spans="1:30" x14ac:dyDescent="0.4">
      <c r="A101" s="63"/>
      <c r="B101" s="62"/>
      <c r="C101" s="62"/>
      <c r="D101" s="62"/>
      <c r="E101" s="63"/>
      <c r="F101" s="63"/>
      <c r="G101" s="63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55"/>
      <c r="W101" s="55"/>
      <c r="X101" s="55"/>
      <c r="Y101" s="55"/>
      <c r="Z101" s="55"/>
      <c r="AA101" s="55"/>
      <c r="AB101" s="55"/>
      <c r="AC101" s="55"/>
      <c r="AD101" s="55"/>
    </row>
    <row r="102" spans="1:30" x14ac:dyDescent="0.4">
      <c r="A102" s="63"/>
      <c r="B102" s="62"/>
      <c r="C102" s="62"/>
      <c r="D102" s="62"/>
      <c r="E102" s="63"/>
      <c r="F102" s="63"/>
      <c r="G102" s="63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55"/>
      <c r="W102" s="55"/>
      <c r="X102" s="55"/>
      <c r="Y102" s="55"/>
      <c r="Z102" s="55"/>
      <c r="AA102" s="55"/>
      <c r="AB102" s="55"/>
      <c r="AC102" s="55"/>
      <c r="AD102" s="55"/>
    </row>
    <row r="103" spans="1:30" x14ac:dyDescent="0.4">
      <c r="A103" s="63"/>
      <c r="B103" s="62"/>
      <c r="C103" s="62"/>
      <c r="D103" s="62"/>
      <c r="E103" s="63"/>
      <c r="F103" s="63"/>
      <c r="G103" s="63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55"/>
      <c r="W103" s="55"/>
      <c r="X103" s="55"/>
      <c r="Y103" s="55"/>
      <c r="Z103" s="55"/>
      <c r="AA103" s="55"/>
      <c r="AB103" s="55"/>
      <c r="AC103" s="55"/>
      <c r="AD103" s="55"/>
    </row>
    <row r="104" spans="1:30" x14ac:dyDescent="0.4">
      <c r="A104" s="63"/>
      <c r="B104" s="62"/>
      <c r="C104" s="62"/>
      <c r="D104" s="62"/>
      <c r="E104" s="63"/>
      <c r="F104" s="63"/>
      <c r="G104" s="63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55"/>
      <c r="W104" s="55"/>
      <c r="X104" s="55"/>
      <c r="Y104" s="55"/>
      <c r="Z104" s="55"/>
      <c r="AA104" s="55"/>
      <c r="AB104" s="55"/>
      <c r="AC104" s="55"/>
      <c r="AD104" s="55"/>
    </row>
    <row r="105" spans="1:30" x14ac:dyDescent="0.4">
      <c r="A105" s="63"/>
      <c r="B105" s="62"/>
      <c r="C105" s="62"/>
      <c r="D105" s="62"/>
      <c r="E105" s="63"/>
      <c r="F105" s="63"/>
      <c r="G105" s="63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55"/>
      <c r="W105" s="55"/>
      <c r="X105" s="55"/>
      <c r="Y105" s="55"/>
      <c r="Z105" s="55"/>
      <c r="AA105" s="55"/>
      <c r="AB105" s="55"/>
      <c r="AC105" s="55"/>
      <c r="AD105" s="55"/>
    </row>
    <row r="106" spans="1:30" x14ac:dyDescent="0.4">
      <c r="A106" s="63"/>
      <c r="B106" s="62"/>
      <c r="C106" s="62"/>
      <c r="D106" s="62"/>
      <c r="E106" s="63"/>
      <c r="F106" s="63"/>
      <c r="G106" s="63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55"/>
      <c r="W106" s="55"/>
      <c r="X106" s="55"/>
      <c r="Y106" s="55"/>
      <c r="Z106" s="55"/>
      <c r="AA106" s="55"/>
      <c r="AB106" s="55"/>
      <c r="AC106" s="55"/>
      <c r="AD106" s="55"/>
    </row>
    <row r="107" spans="1:30" x14ac:dyDescent="0.4">
      <c r="A107" s="63"/>
      <c r="B107" s="62"/>
      <c r="C107" s="62"/>
      <c r="D107" s="62"/>
      <c r="E107" s="63"/>
      <c r="F107" s="63"/>
      <c r="G107" s="63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55"/>
      <c r="W107" s="55"/>
      <c r="X107" s="55"/>
      <c r="Y107" s="55"/>
      <c r="Z107" s="55"/>
      <c r="AA107" s="55"/>
      <c r="AB107" s="55"/>
      <c r="AC107" s="55"/>
      <c r="AD107" s="55"/>
    </row>
    <row r="108" spans="1:30" x14ac:dyDescent="0.4">
      <c r="A108" s="63"/>
      <c r="B108" s="62"/>
      <c r="C108" s="62"/>
      <c r="D108" s="62"/>
      <c r="E108" s="63"/>
      <c r="F108" s="63"/>
      <c r="G108" s="63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55"/>
      <c r="W108" s="55"/>
      <c r="X108" s="55"/>
      <c r="Y108" s="55"/>
      <c r="Z108" s="55"/>
      <c r="AA108" s="55"/>
      <c r="AB108" s="55"/>
      <c r="AC108" s="55"/>
      <c r="AD108" s="55"/>
    </row>
    <row r="109" spans="1:30" x14ac:dyDescent="0.4">
      <c r="A109" s="63"/>
      <c r="B109" s="62"/>
      <c r="C109" s="62"/>
      <c r="D109" s="62"/>
      <c r="E109" s="63"/>
      <c r="F109" s="63"/>
      <c r="G109" s="63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55"/>
      <c r="W109" s="55"/>
      <c r="X109" s="55"/>
      <c r="Y109" s="55"/>
      <c r="Z109" s="55"/>
      <c r="AA109" s="55"/>
      <c r="AB109" s="55"/>
      <c r="AC109" s="55"/>
      <c r="AD109" s="55"/>
    </row>
    <row r="110" spans="1:30" x14ac:dyDescent="0.4">
      <c r="A110" s="63"/>
      <c r="B110" s="62"/>
      <c r="C110" s="62"/>
      <c r="D110" s="62"/>
      <c r="E110" s="63"/>
      <c r="F110" s="63"/>
      <c r="G110" s="63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55"/>
      <c r="W110" s="55"/>
      <c r="X110" s="55"/>
      <c r="Y110" s="55"/>
      <c r="Z110" s="55"/>
      <c r="AA110" s="55"/>
      <c r="AB110" s="55"/>
      <c r="AC110" s="55"/>
      <c r="AD110" s="55"/>
    </row>
    <row r="111" spans="1:30" x14ac:dyDescent="0.4">
      <c r="A111" s="63"/>
      <c r="B111" s="62"/>
      <c r="C111" s="62"/>
      <c r="D111" s="62"/>
      <c r="E111" s="63"/>
      <c r="F111" s="63"/>
      <c r="G111" s="63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55"/>
      <c r="W111" s="55"/>
      <c r="X111" s="55"/>
      <c r="Y111" s="55"/>
      <c r="Z111" s="55"/>
      <c r="AA111" s="55"/>
      <c r="AB111" s="55"/>
      <c r="AC111" s="55"/>
      <c r="AD111" s="55"/>
    </row>
    <row r="112" spans="1:30" x14ac:dyDescent="0.4">
      <c r="A112" s="63"/>
      <c r="B112" s="62"/>
      <c r="C112" s="62"/>
      <c r="D112" s="62"/>
      <c r="E112" s="63"/>
      <c r="F112" s="63"/>
      <c r="G112" s="63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55"/>
      <c r="W112" s="55"/>
      <c r="X112" s="55"/>
      <c r="Y112" s="55"/>
      <c r="Z112" s="55"/>
      <c r="AA112" s="55"/>
      <c r="AB112" s="55"/>
      <c r="AC112" s="55"/>
      <c r="AD112" s="55"/>
    </row>
    <row r="113" spans="1:30" x14ac:dyDescent="0.4">
      <c r="A113" s="63"/>
      <c r="B113" s="62"/>
      <c r="C113" s="62"/>
      <c r="D113" s="62"/>
      <c r="E113" s="63"/>
      <c r="F113" s="63"/>
      <c r="G113" s="63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55"/>
      <c r="W113" s="55"/>
      <c r="X113" s="55"/>
      <c r="Y113" s="55"/>
      <c r="Z113" s="55"/>
      <c r="AA113" s="55"/>
      <c r="AB113" s="55"/>
      <c r="AC113" s="55"/>
      <c r="AD113" s="55"/>
    </row>
    <row r="114" spans="1:30" x14ac:dyDescent="0.4">
      <c r="A114" s="63"/>
      <c r="B114" s="62"/>
      <c r="C114" s="62"/>
      <c r="D114" s="62"/>
      <c r="E114" s="63"/>
      <c r="F114" s="63"/>
      <c r="G114" s="63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55"/>
      <c r="W114" s="55"/>
      <c r="X114" s="55"/>
      <c r="Y114" s="55"/>
      <c r="Z114" s="55"/>
      <c r="AA114" s="55"/>
      <c r="AB114" s="55"/>
      <c r="AC114" s="55"/>
      <c r="AD114" s="55"/>
    </row>
    <row r="115" spans="1:30" x14ac:dyDescent="0.4">
      <c r="A115" s="63"/>
      <c r="B115" s="62"/>
      <c r="C115" s="62"/>
      <c r="D115" s="62"/>
      <c r="E115" s="63"/>
      <c r="F115" s="63"/>
      <c r="G115" s="63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55"/>
      <c r="W115" s="55"/>
      <c r="X115" s="55"/>
      <c r="Y115" s="55"/>
      <c r="Z115" s="55"/>
      <c r="AA115" s="55"/>
      <c r="AB115" s="55"/>
      <c r="AC115" s="55"/>
      <c r="AD115" s="55"/>
    </row>
    <row r="116" spans="1:30" x14ac:dyDescent="0.4">
      <c r="A116" s="63"/>
      <c r="B116" s="62"/>
      <c r="C116" s="62"/>
      <c r="D116" s="62"/>
      <c r="E116" s="63"/>
      <c r="F116" s="63"/>
      <c r="G116" s="63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55"/>
      <c r="W116" s="55"/>
      <c r="X116" s="55"/>
      <c r="Y116" s="55"/>
      <c r="Z116" s="55"/>
      <c r="AA116" s="55"/>
      <c r="AB116" s="55"/>
      <c r="AC116" s="55"/>
      <c r="AD116" s="55"/>
    </row>
    <row r="117" spans="1:30" x14ac:dyDescent="0.4">
      <c r="A117" s="63"/>
      <c r="B117" s="62"/>
      <c r="C117" s="62"/>
      <c r="D117" s="62"/>
      <c r="E117" s="63"/>
      <c r="F117" s="63"/>
      <c r="G117" s="63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55"/>
      <c r="W117" s="55"/>
      <c r="X117" s="55"/>
      <c r="Y117" s="55"/>
      <c r="Z117" s="55"/>
      <c r="AA117" s="55"/>
      <c r="AB117" s="55"/>
      <c r="AC117" s="55"/>
      <c r="AD117" s="55"/>
    </row>
    <row r="118" spans="1:30" x14ac:dyDescent="0.4">
      <c r="A118" s="63"/>
      <c r="B118" s="62"/>
      <c r="C118" s="62"/>
      <c r="D118" s="62"/>
      <c r="E118" s="63"/>
      <c r="F118" s="63"/>
      <c r="G118" s="63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55"/>
      <c r="W118" s="55"/>
      <c r="X118" s="55"/>
      <c r="Y118" s="55"/>
      <c r="Z118" s="55"/>
      <c r="AA118" s="55"/>
      <c r="AB118" s="55"/>
      <c r="AC118" s="55"/>
      <c r="AD118" s="55"/>
    </row>
    <row r="119" spans="1:30" x14ac:dyDescent="0.4">
      <c r="A119" s="63"/>
      <c r="B119" s="62"/>
      <c r="C119" s="62"/>
      <c r="D119" s="62"/>
      <c r="E119" s="63"/>
      <c r="F119" s="63"/>
      <c r="G119" s="63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55"/>
      <c r="W119" s="55"/>
      <c r="X119" s="55"/>
      <c r="Y119" s="55"/>
      <c r="Z119" s="55"/>
      <c r="AA119" s="55"/>
      <c r="AB119" s="55"/>
      <c r="AC119" s="55"/>
      <c r="AD119" s="55"/>
    </row>
    <row r="120" spans="1:30" x14ac:dyDescent="0.4">
      <c r="A120" s="63"/>
      <c r="B120" s="62"/>
      <c r="C120" s="62"/>
      <c r="D120" s="62"/>
      <c r="E120" s="63"/>
      <c r="F120" s="63"/>
      <c r="G120" s="63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55"/>
      <c r="W120" s="55"/>
      <c r="X120" s="55"/>
      <c r="Y120" s="55"/>
      <c r="Z120" s="55"/>
      <c r="AA120" s="55"/>
      <c r="AB120" s="55"/>
      <c r="AC120" s="55"/>
      <c r="AD120" s="55"/>
    </row>
    <row r="121" spans="1:30" x14ac:dyDescent="0.4">
      <c r="A121" s="63"/>
      <c r="B121" s="62"/>
      <c r="C121" s="62"/>
      <c r="D121" s="62"/>
      <c r="E121" s="63"/>
      <c r="F121" s="63"/>
      <c r="G121" s="63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55"/>
      <c r="W121" s="55"/>
      <c r="X121" s="55"/>
      <c r="Y121" s="55"/>
      <c r="Z121" s="55"/>
      <c r="AA121" s="55"/>
      <c r="AB121" s="55"/>
      <c r="AC121" s="55"/>
      <c r="AD121" s="55"/>
    </row>
    <row r="122" spans="1:30" x14ac:dyDescent="0.4">
      <c r="A122" s="63"/>
      <c r="B122" s="62"/>
      <c r="C122" s="62"/>
      <c r="D122" s="62"/>
      <c r="E122" s="63"/>
      <c r="F122" s="63"/>
      <c r="G122" s="63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55"/>
      <c r="W122" s="55"/>
      <c r="X122" s="55"/>
      <c r="Y122" s="55"/>
      <c r="Z122" s="55"/>
      <c r="AA122" s="55"/>
      <c r="AB122" s="55"/>
      <c r="AC122" s="55"/>
      <c r="AD122" s="55"/>
    </row>
    <row r="123" spans="1:30" x14ac:dyDescent="0.4">
      <c r="A123" s="63"/>
      <c r="B123" s="62"/>
      <c r="C123" s="62"/>
      <c r="D123" s="62"/>
      <c r="E123" s="63"/>
      <c r="F123" s="63"/>
      <c r="G123" s="63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55"/>
      <c r="W123" s="55"/>
      <c r="X123" s="55"/>
      <c r="Y123" s="55"/>
      <c r="Z123" s="55"/>
      <c r="AA123" s="55"/>
      <c r="AB123" s="55"/>
      <c r="AC123" s="55"/>
      <c r="AD123" s="55"/>
    </row>
    <row r="124" spans="1:30" x14ac:dyDescent="0.4">
      <c r="A124" s="63"/>
      <c r="B124" s="62"/>
      <c r="C124" s="62"/>
      <c r="D124" s="62"/>
      <c r="E124" s="63"/>
      <c r="F124" s="63"/>
      <c r="G124" s="63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55"/>
      <c r="W124" s="55"/>
      <c r="X124" s="55"/>
      <c r="Y124" s="55"/>
      <c r="Z124" s="55"/>
      <c r="AA124" s="55"/>
      <c r="AB124" s="55"/>
      <c r="AC124" s="55"/>
      <c r="AD124" s="55"/>
    </row>
    <row r="125" spans="1:30" x14ac:dyDescent="0.4">
      <c r="A125" s="63"/>
      <c r="B125" s="62"/>
      <c r="C125" s="62"/>
      <c r="D125" s="62"/>
      <c r="E125" s="63"/>
      <c r="F125" s="63"/>
      <c r="G125" s="63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55"/>
      <c r="W125" s="55"/>
      <c r="X125" s="55"/>
      <c r="Y125" s="55"/>
      <c r="Z125" s="55"/>
      <c r="AA125" s="55"/>
      <c r="AB125" s="55"/>
      <c r="AC125" s="55"/>
      <c r="AD125" s="55"/>
    </row>
    <row r="126" spans="1:30" x14ac:dyDescent="0.4">
      <c r="A126" s="63"/>
      <c r="B126" s="62"/>
      <c r="C126" s="62"/>
      <c r="D126" s="62"/>
      <c r="E126" s="63"/>
      <c r="F126" s="63"/>
      <c r="G126" s="63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55"/>
      <c r="W126" s="55"/>
      <c r="X126" s="55"/>
      <c r="Y126" s="55"/>
      <c r="Z126" s="55"/>
      <c r="AA126" s="55"/>
      <c r="AB126" s="55"/>
      <c r="AC126" s="55"/>
      <c r="AD126" s="55"/>
    </row>
    <row r="127" spans="1:30" x14ac:dyDescent="0.4">
      <c r="A127" s="63"/>
      <c r="B127" s="62"/>
      <c r="C127" s="62"/>
      <c r="D127" s="62"/>
      <c r="E127" s="63"/>
      <c r="F127" s="63"/>
      <c r="G127" s="63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55"/>
      <c r="W127" s="55"/>
      <c r="X127" s="55"/>
      <c r="Y127" s="55"/>
      <c r="Z127" s="55"/>
      <c r="AA127" s="55"/>
      <c r="AB127" s="55"/>
      <c r="AC127" s="55"/>
      <c r="AD127" s="55"/>
    </row>
    <row r="128" spans="1:30" x14ac:dyDescent="0.4">
      <c r="A128" s="63"/>
      <c r="B128" s="62"/>
      <c r="C128" s="62"/>
      <c r="D128" s="62"/>
      <c r="E128" s="63"/>
      <c r="F128" s="63"/>
      <c r="G128" s="63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55"/>
      <c r="W128" s="55"/>
      <c r="X128" s="55"/>
      <c r="Y128" s="55"/>
      <c r="Z128" s="55"/>
      <c r="AA128" s="55"/>
      <c r="AB128" s="55"/>
      <c r="AC128" s="55"/>
      <c r="AD128" s="55"/>
    </row>
    <row r="129" spans="1:30" x14ac:dyDescent="0.4">
      <c r="A129" s="63"/>
      <c r="B129" s="62"/>
      <c r="C129" s="62"/>
      <c r="D129" s="62"/>
      <c r="E129" s="63"/>
      <c r="F129" s="63"/>
      <c r="G129" s="63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55"/>
      <c r="W129" s="55"/>
      <c r="X129" s="55"/>
      <c r="Y129" s="55"/>
      <c r="Z129" s="55"/>
      <c r="AA129" s="55"/>
      <c r="AB129" s="55"/>
      <c r="AC129" s="55"/>
      <c r="AD129" s="55"/>
    </row>
    <row r="130" spans="1:30" x14ac:dyDescent="0.4">
      <c r="A130" s="63"/>
      <c r="B130" s="62"/>
      <c r="C130" s="62"/>
      <c r="D130" s="62"/>
      <c r="E130" s="63"/>
      <c r="F130" s="63"/>
      <c r="G130" s="63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55"/>
      <c r="W130" s="55"/>
      <c r="X130" s="55"/>
      <c r="Y130" s="55"/>
      <c r="Z130" s="55"/>
      <c r="AA130" s="55"/>
      <c r="AB130" s="55"/>
      <c r="AC130" s="55"/>
      <c r="AD130" s="55"/>
    </row>
    <row r="131" spans="1:30" x14ac:dyDescent="0.4">
      <c r="A131" s="63"/>
      <c r="B131" s="62"/>
      <c r="C131" s="62"/>
      <c r="D131" s="62"/>
      <c r="E131" s="63"/>
      <c r="F131" s="63"/>
      <c r="G131" s="63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55"/>
      <c r="W131" s="55"/>
      <c r="X131" s="55"/>
      <c r="Y131" s="55"/>
      <c r="Z131" s="55"/>
      <c r="AA131" s="55"/>
      <c r="AB131" s="55"/>
      <c r="AC131" s="55"/>
      <c r="AD131" s="55"/>
    </row>
    <row r="132" spans="1:30" x14ac:dyDescent="0.4">
      <c r="A132" s="63"/>
      <c r="B132" s="62"/>
      <c r="C132" s="62"/>
      <c r="D132" s="62"/>
      <c r="E132" s="63"/>
      <c r="F132" s="63"/>
      <c r="G132" s="63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55"/>
      <c r="W132" s="55"/>
      <c r="X132" s="55"/>
      <c r="Y132" s="55"/>
      <c r="Z132" s="55"/>
      <c r="AA132" s="55"/>
      <c r="AB132" s="55"/>
      <c r="AC132" s="55"/>
      <c r="AD132" s="55"/>
    </row>
    <row r="133" spans="1:30" x14ac:dyDescent="0.4">
      <c r="A133" s="63"/>
      <c r="B133" s="62"/>
      <c r="C133" s="62"/>
      <c r="D133" s="62"/>
      <c r="E133" s="63"/>
      <c r="F133" s="63"/>
      <c r="G133" s="63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55"/>
      <c r="W133" s="55"/>
      <c r="X133" s="55"/>
      <c r="Y133" s="55"/>
      <c r="Z133" s="55"/>
      <c r="AA133" s="55"/>
      <c r="AB133" s="55"/>
      <c r="AC133" s="55"/>
      <c r="AD133" s="55"/>
    </row>
    <row r="134" spans="1:30" x14ac:dyDescent="0.4">
      <c r="A134" s="63"/>
      <c r="B134" s="62"/>
      <c r="C134" s="62"/>
      <c r="D134" s="62"/>
      <c r="E134" s="63"/>
      <c r="F134" s="63"/>
      <c r="G134" s="63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55"/>
      <c r="W134" s="55"/>
      <c r="X134" s="55"/>
      <c r="Y134" s="55"/>
      <c r="Z134" s="55"/>
      <c r="AA134" s="55"/>
      <c r="AB134" s="55"/>
      <c r="AC134" s="55"/>
      <c r="AD134" s="55"/>
    </row>
    <row r="135" spans="1:30" x14ac:dyDescent="0.4">
      <c r="A135" s="63"/>
      <c r="B135" s="62"/>
      <c r="C135" s="62"/>
      <c r="D135" s="62"/>
      <c r="E135" s="63"/>
      <c r="F135" s="63"/>
      <c r="G135" s="63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55"/>
      <c r="W135" s="55"/>
      <c r="X135" s="55"/>
      <c r="Y135" s="55"/>
      <c r="Z135" s="55"/>
      <c r="AA135" s="55"/>
      <c r="AB135" s="55"/>
      <c r="AC135" s="55"/>
      <c r="AD135" s="55"/>
    </row>
    <row r="136" spans="1:30" x14ac:dyDescent="0.4">
      <c r="A136" s="63"/>
      <c r="B136" s="62"/>
      <c r="C136" s="62"/>
      <c r="D136" s="62"/>
      <c r="E136" s="63"/>
      <c r="F136" s="63"/>
      <c r="G136" s="63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55"/>
      <c r="W136" s="55"/>
      <c r="X136" s="55"/>
      <c r="Y136" s="55"/>
      <c r="Z136" s="55"/>
      <c r="AA136" s="55"/>
      <c r="AB136" s="55"/>
      <c r="AC136" s="55"/>
      <c r="AD136" s="55"/>
    </row>
    <row r="137" spans="1:30" x14ac:dyDescent="0.4">
      <c r="A137" s="63"/>
      <c r="B137" s="62"/>
      <c r="C137" s="62"/>
      <c r="D137" s="62"/>
      <c r="E137" s="63"/>
      <c r="F137" s="63"/>
      <c r="G137" s="63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55"/>
      <c r="W137" s="55"/>
      <c r="X137" s="55"/>
      <c r="Y137" s="55"/>
      <c r="Z137" s="55"/>
      <c r="AA137" s="55"/>
      <c r="AB137" s="55"/>
      <c r="AC137" s="55"/>
      <c r="AD137" s="55"/>
    </row>
    <row r="138" spans="1:30" x14ac:dyDescent="0.4">
      <c r="A138" s="63"/>
      <c r="B138" s="62"/>
      <c r="C138" s="62"/>
      <c r="D138" s="62"/>
      <c r="E138" s="63"/>
      <c r="F138" s="63"/>
      <c r="G138" s="63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55"/>
      <c r="W138" s="55"/>
      <c r="X138" s="55"/>
      <c r="Y138" s="55"/>
      <c r="Z138" s="55"/>
      <c r="AA138" s="55"/>
      <c r="AB138" s="55"/>
      <c r="AC138" s="55"/>
      <c r="AD138" s="55"/>
    </row>
    <row r="139" spans="1:30" x14ac:dyDescent="0.4">
      <c r="A139" s="63"/>
      <c r="B139" s="62"/>
      <c r="C139" s="62"/>
      <c r="D139" s="62"/>
      <c r="E139" s="63"/>
      <c r="F139" s="63"/>
      <c r="G139" s="63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55"/>
      <c r="W139" s="55"/>
      <c r="X139" s="55"/>
      <c r="Y139" s="55"/>
      <c r="Z139" s="55"/>
      <c r="AA139" s="55"/>
      <c r="AB139" s="55"/>
      <c r="AC139" s="55"/>
      <c r="AD139" s="55"/>
    </row>
    <row r="140" spans="1:30" x14ac:dyDescent="0.4">
      <c r="A140" s="63"/>
      <c r="B140" s="62"/>
      <c r="C140" s="62"/>
      <c r="D140" s="62"/>
      <c r="E140" s="63"/>
      <c r="F140" s="63"/>
      <c r="G140" s="63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55"/>
      <c r="W140" s="55"/>
      <c r="X140" s="55"/>
      <c r="Y140" s="55"/>
      <c r="Z140" s="55"/>
      <c r="AA140" s="55"/>
      <c r="AB140" s="55"/>
      <c r="AC140" s="55"/>
      <c r="AD140" s="55"/>
    </row>
    <row r="141" spans="1:30" x14ac:dyDescent="0.4">
      <c r="A141" s="63"/>
      <c r="B141" s="62"/>
      <c r="C141" s="62"/>
      <c r="D141" s="62"/>
      <c r="E141" s="63"/>
      <c r="F141" s="63"/>
      <c r="G141" s="63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55"/>
      <c r="W141" s="55"/>
      <c r="X141" s="55"/>
      <c r="Y141" s="55"/>
      <c r="Z141" s="55"/>
      <c r="AA141" s="55"/>
      <c r="AB141" s="55"/>
      <c r="AC141" s="55"/>
      <c r="AD141" s="55"/>
    </row>
    <row r="142" spans="1:30" x14ac:dyDescent="0.4">
      <c r="A142" s="63"/>
      <c r="B142" s="62"/>
      <c r="C142" s="62"/>
      <c r="D142" s="62"/>
      <c r="E142" s="63"/>
      <c r="F142" s="63"/>
      <c r="G142" s="63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55"/>
      <c r="W142" s="55"/>
      <c r="X142" s="55"/>
      <c r="Y142" s="55"/>
      <c r="Z142" s="55"/>
      <c r="AA142" s="55"/>
      <c r="AB142" s="55"/>
      <c r="AC142" s="55"/>
      <c r="AD142" s="55"/>
    </row>
    <row r="143" spans="1:30" x14ac:dyDescent="0.4">
      <c r="A143" s="63"/>
      <c r="B143" s="62"/>
      <c r="C143" s="62"/>
      <c r="D143" s="62"/>
      <c r="E143" s="63"/>
      <c r="F143" s="63"/>
      <c r="G143" s="63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55"/>
      <c r="W143" s="55"/>
      <c r="X143" s="55"/>
      <c r="Y143" s="55"/>
      <c r="Z143" s="55"/>
      <c r="AA143" s="55"/>
      <c r="AB143" s="55"/>
      <c r="AC143" s="55"/>
      <c r="AD143" s="55"/>
    </row>
    <row r="144" spans="1:30" x14ac:dyDescent="0.4">
      <c r="A144" s="63"/>
      <c r="B144" s="62"/>
      <c r="C144" s="62"/>
      <c r="D144" s="62"/>
      <c r="E144" s="63"/>
      <c r="F144" s="63"/>
      <c r="G144" s="63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55"/>
      <c r="W144" s="55"/>
      <c r="X144" s="55"/>
      <c r="Y144" s="55"/>
      <c r="Z144" s="55"/>
      <c r="AA144" s="55"/>
      <c r="AB144" s="55"/>
      <c r="AC144" s="55"/>
      <c r="AD144" s="55"/>
    </row>
    <row r="145" spans="1:30" x14ac:dyDescent="0.4">
      <c r="A145" s="63"/>
      <c r="B145" s="62"/>
      <c r="C145" s="62"/>
      <c r="D145" s="62"/>
      <c r="E145" s="63"/>
      <c r="F145" s="63"/>
      <c r="G145" s="63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55"/>
      <c r="W145" s="55"/>
      <c r="X145" s="55"/>
      <c r="Y145" s="55"/>
      <c r="Z145" s="55"/>
      <c r="AA145" s="55"/>
      <c r="AB145" s="55"/>
      <c r="AC145" s="55"/>
      <c r="AD145" s="55"/>
    </row>
    <row r="146" spans="1:30" x14ac:dyDescent="0.4">
      <c r="A146" s="63"/>
      <c r="B146" s="62"/>
      <c r="C146" s="62"/>
      <c r="D146" s="62"/>
      <c r="E146" s="63"/>
      <c r="F146" s="63"/>
      <c r="G146" s="63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55"/>
      <c r="W146" s="55"/>
      <c r="X146" s="55"/>
      <c r="Y146" s="55"/>
      <c r="Z146" s="55"/>
      <c r="AA146" s="55"/>
      <c r="AB146" s="55"/>
      <c r="AC146" s="55"/>
      <c r="AD146" s="55"/>
    </row>
    <row r="147" spans="1:30" x14ac:dyDescent="0.4">
      <c r="A147" s="63"/>
      <c r="B147" s="62"/>
      <c r="C147" s="62"/>
      <c r="D147" s="62"/>
      <c r="E147" s="63"/>
      <c r="F147" s="63"/>
      <c r="G147" s="63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55"/>
      <c r="W147" s="55"/>
      <c r="X147" s="55"/>
      <c r="Y147" s="55"/>
      <c r="Z147" s="55"/>
      <c r="AA147" s="55"/>
      <c r="AB147" s="55"/>
      <c r="AC147" s="55"/>
      <c r="AD147" s="55"/>
    </row>
    <row r="148" spans="1:30" x14ac:dyDescent="0.4">
      <c r="A148" s="63"/>
      <c r="B148" s="62"/>
      <c r="C148" s="62"/>
      <c r="D148" s="62"/>
      <c r="E148" s="63"/>
      <c r="F148" s="63"/>
      <c r="G148" s="63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55"/>
      <c r="W148" s="55"/>
      <c r="X148" s="55"/>
      <c r="Y148" s="55"/>
      <c r="Z148" s="55"/>
      <c r="AA148" s="55"/>
      <c r="AB148" s="55"/>
      <c r="AC148" s="55"/>
      <c r="AD148" s="55"/>
    </row>
    <row r="149" spans="1:30" x14ac:dyDescent="0.4">
      <c r="A149" s="63"/>
      <c r="B149" s="62"/>
      <c r="C149" s="62"/>
      <c r="D149" s="62"/>
      <c r="E149" s="63"/>
      <c r="F149" s="63"/>
      <c r="G149" s="63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55"/>
      <c r="W149" s="55"/>
      <c r="X149" s="55"/>
      <c r="Y149" s="55"/>
      <c r="Z149" s="55"/>
      <c r="AA149" s="55"/>
      <c r="AB149" s="55"/>
      <c r="AC149" s="55"/>
      <c r="AD149" s="55"/>
    </row>
    <row r="150" spans="1:30" x14ac:dyDescent="0.4">
      <c r="A150" s="63"/>
      <c r="B150" s="62"/>
      <c r="C150" s="62"/>
      <c r="D150" s="62"/>
      <c r="E150" s="63"/>
      <c r="F150" s="63"/>
      <c r="G150" s="63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55"/>
      <c r="W150" s="55"/>
      <c r="X150" s="55"/>
      <c r="Y150" s="55"/>
      <c r="Z150" s="55"/>
      <c r="AA150" s="55"/>
      <c r="AB150" s="55"/>
      <c r="AC150" s="55"/>
      <c r="AD150" s="55"/>
    </row>
    <row r="151" spans="1:30" x14ac:dyDescent="0.4">
      <c r="A151" s="63"/>
      <c r="B151" s="62"/>
      <c r="C151" s="62"/>
      <c r="D151" s="62"/>
      <c r="E151" s="63"/>
      <c r="F151" s="63"/>
      <c r="G151" s="63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55"/>
      <c r="W151" s="55"/>
      <c r="X151" s="55"/>
      <c r="Y151" s="55"/>
      <c r="Z151" s="55"/>
      <c r="AA151" s="55"/>
      <c r="AB151" s="55"/>
      <c r="AC151" s="55"/>
      <c r="AD151" s="55"/>
    </row>
    <row r="152" spans="1:30" x14ac:dyDescent="0.4">
      <c r="A152" s="63"/>
      <c r="B152" s="62"/>
      <c r="C152" s="62"/>
      <c r="D152" s="62"/>
      <c r="E152" s="63"/>
      <c r="F152" s="63"/>
      <c r="G152" s="63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55"/>
      <c r="W152" s="55"/>
      <c r="X152" s="55"/>
      <c r="Y152" s="55"/>
      <c r="Z152" s="55"/>
      <c r="AA152" s="55"/>
      <c r="AB152" s="55"/>
      <c r="AC152" s="55"/>
      <c r="AD152" s="55"/>
    </row>
    <row r="153" spans="1:30" x14ac:dyDescent="0.4">
      <c r="A153" s="63"/>
      <c r="B153" s="62"/>
      <c r="C153" s="62"/>
      <c r="D153" s="62"/>
      <c r="E153" s="63"/>
      <c r="F153" s="63"/>
      <c r="G153" s="63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55"/>
      <c r="W153" s="55"/>
      <c r="X153" s="55"/>
      <c r="Y153" s="55"/>
      <c r="Z153" s="55"/>
      <c r="AA153" s="55"/>
      <c r="AB153" s="55"/>
      <c r="AC153" s="55"/>
      <c r="AD153" s="55"/>
    </row>
    <row r="154" spans="1:30" x14ac:dyDescent="0.4">
      <c r="A154" s="63"/>
      <c r="B154" s="62"/>
      <c r="C154" s="62"/>
      <c r="D154" s="62"/>
      <c r="E154" s="63"/>
      <c r="F154" s="63"/>
      <c r="G154" s="63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55"/>
      <c r="W154" s="55"/>
      <c r="X154" s="55"/>
      <c r="Y154" s="55"/>
      <c r="Z154" s="55"/>
      <c r="AA154" s="55"/>
      <c r="AB154" s="55"/>
      <c r="AC154" s="55"/>
      <c r="AD154" s="55"/>
    </row>
    <row r="155" spans="1:30" x14ac:dyDescent="0.4">
      <c r="A155" s="63"/>
      <c r="B155" s="62"/>
      <c r="C155" s="62"/>
      <c r="D155" s="62"/>
      <c r="E155" s="63"/>
      <c r="F155" s="63"/>
      <c r="G155" s="63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55"/>
      <c r="W155" s="55"/>
      <c r="X155" s="55"/>
      <c r="Y155" s="55"/>
      <c r="Z155" s="55"/>
      <c r="AA155" s="55"/>
      <c r="AB155" s="55"/>
      <c r="AC155" s="55"/>
      <c r="AD155" s="55"/>
    </row>
    <row r="156" spans="1:30" x14ac:dyDescent="0.4">
      <c r="A156" s="63"/>
      <c r="B156" s="62"/>
      <c r="C156" s="62"/>
      <c r="D156" s="62"/>
      <c r="E156" s="63"/>
      <c r="F156" s="63"/>
      <c r="G156" s="63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55"/>
      <c r="W156" s="55"/>
      <c r="X156" s="55"/>
      <c r="Y156" s="55"/>
      <c r="Z156" s="55"/>
      <c r="AA156" s="55"/>
      <c r="AB156" s="55"/>
      <c r="AC156" s="55"/>
      <c r="AD156" s="55"/>
    </row>
    <row r="157" spans="1:30" x14ac:dyDescent="0.4">
      <c r="A157" s="63"/>
      <c r="B157" s="62"/>
      <c r="C157" s="62"/>
      <c r="D157" s="62"/>
      <c r="E157" s="63"/>
      <c r="F157" s="63"/>
      <c r="G157" s="63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55"/>
      <c r="W157" s="55"/>
      <c r="X157" s="55"/>
      <c r="Y157" s="55"/>
      <c r="Z157" s="55"/>
      <c r="AA157" s="55"/>
      <c r="AB157" s="55"/>
      <c r="AC157" s="55"/>
      <c r="AD157" s="55"/>
    </row>
    <row r="158" spans="1:30" x14ac:dyDescent="0.4">
      <c r="A158" s="63"/>
      <c r="B158" s="62"/>
      <c r="C158" s="62"/>
      <c r="D158" s="62"/>
      <c r="E158" s="63"/>
      <c r="F158" s="63"/>
      <c r="G158" s="63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55"/>
      <c r="W158" s="55"/>
      <c r="X158" s="55"/>
      <c r="Y158" s="55"/>
      <c r="Z158" s="55"/>
      <c r="AA158" s="55"/>
      <c r="AB158" s="55"/>
      <c r="AC158" s="55"/>
      <c r="AD158" s="55"/>
    </row>
    <row r="159" spans="1:30" x14ac:dyDescent="0.4">
      <c r="A159" s="63"/>
      <c r="B159" s="62"/>
      <c r="C159" s="62"/>
      <c r="D159" s="62"/>
      <c r="E159" s="63"/>
      <c r="F159" s="63"/>
      <c r="G159" s="63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55"/>
      <c r="W159" s="55"/>
      <c r="X159" s="55"/>
      <c r="Y159" s="55"/>
      <c r="Z159" s="55"/>
      <c r="AA159" s="55"/>
      <c r="AB159" s="55"/>
      <c r="AC159" s="55"/>
      <c r="AD159" s="55"/>
    </row>
    <row r="160" spans="1:30" x14ac:dyDescent="0.4">
      <c r="A160" s="63"/>
      <c r="B160" s="62"/>
      <c r="C160" s="62"/>
      <c r="D160" s="62"/>
      <c r="E160" s="63"/>
      <c r="F160" s="63"/>
      <c r="G160" s="63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55"/>
      <c r="W160" s="55"/>
      <c r="X160" s="55"/>
      <c r="Y160" s="55"/>
      <c r="Z160" s="55"/>
      <c r="AA160" s="55"/>
      <c r="AB160" s="55"/>
      <c r="AC160" s="55"/>
      <c r="AD160" s="55"/>
    </row>
    <row r="161" spans="1:30" x14ac:dyDescent="0.4">
      <c r="A161" s="63"/>
      <c r="B161" s="62"/>
      <c r="C161" s="62"/>
      <c r="D161" s="62"/>
      <c r="E161" s="63"/>
      <c r="F161" s="63"/>
      <c r="G161" s="63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55"/>
      <c r="W161" s="55"/>
      <c r="X161" s="55"/>
      <c r="Y161" s="55"/>
      <c r="Z161" s="55"/>
      <c r="AA161" s="55"/>
      <c r="AB161" s="55"/>
      <c r="AC161" s="55"/>
      <c r="AD161" s="55"/>
    </row>
  </sheetData>
  <sortState xmlns:xlrd2="http://schemas.microsoft.com/office/spreadsheetml/2017/richdata2" ref="A2:AF161">
    <sortCondition ref="G2:G16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F429-551A-4B25-AED3-095E1F9A25B8}">
  <dimension ref="A1:F61"/>
  <sheetViews>
    <sheetView workbookViewId="0">
      <selection activeCell="H4" sqref="H4"/>
    </sheetView>
  </sheetViews>
  <sheetFormatPr defaultColWidth="9" defaultRowHeight="19.5" x14ac:dyDescent="0.4"/>
  <cols>
    <col min="1" max="1" width="11.5" style="34" bestFit="1" customWidth="1"/>
    <col min="2" max="2" width="21" style="34" customWidth="1"/>
    <col min="3" max="3" width="13.125" style="34" customWidth="1"/>
    <col min="4" max="4" width="30.375" style="4" customWidth="1"/>
    <col min="5" max="5" width="32.625" style="4" customWidth="1"/>
    <col min="6" max="6" width="51.375" style="4" customWidth="1"/>
    <col min="7" max="16384" width="9" style="4"/>
  </cols>
  <sheetData>
    <row r="1" spans="1:6" ht="25.5" x14ac:dyDescent="0.4">
      <c r="A1" s="33" t="s">
        <v>55</v>
      </c>
      <c r="B1" s="33" t="s">
        <v>12</v>
      </c>
      <c r="C1" s="33" t="s">
        <v>13</v>
      </c>
      <c r="D1" s="33" t="s">
        <v>21</v>
      </c>
      <c r="E1" s="33" t="s">
        <v>22</v>
      </c>
    </row>
    <row r="2" spans="1:6" x14ac:dyDescent="0.4">
      <c r="A2" s="35">
        <v>5209937</v>
      </c>
      <c r="B2" s="35" t="e">
        <f>_xlfn.XLOOKUP(A2,'Resumo '!$D$5:$D$24,'Resumo '!$E$5:$E$24)</f>
        <v>#N/A</v>
      </c>
      <c r="C2" s="35" t="s">
        <v>3</v>
      </c>
      <c r="D2" s="39" t="s">
        <v>159</v>
      </c>
      <c r="E2" s="39" t="s">
        <v>160</v>
      </c>
      <c r="F2" s="4" t="s">
        <v>178</v>
      </c>
    </row>
    <row r="3" spans="1:6" x14ac:dyDescent="0.4">
      <c r="A3" s="35">
        <v>5210802</v>
      </c>
      <c r="B3" s="35" t="e">
        <f>_xlfn.XLOOKUP(A3,'Resumo '!$D$5:$D$24,'Resumo '!$E$5:$E$24)</f>
        <v>#N/A</v>
      </c>
      <c r="C3" s="35" t="s">
        <v>3</v>
      </c>
      <c r="D3" s="39" t="s">
        <v>138</v>
      </c>
      <c r="E3" s="39" t="s">
        <v>139</v>
      </c>
      <c r="F3" s="39" t="s">
        <v>139</v>
      </c>
    </row>
    <row r="4" spans="1:6" x14ac:dyDescent="0.4">
      <c r="A4" s="35">
        <v>5211305</v>
      </c>
      <c r="B4" s="35" t="e">
        <f>_xlfn.XLOOKUP(A4,'Resumo '!$D$5:$D$24,'Resumo '!$E$5:$E$24)</f>
        <v>#N/A</v>
      </c>
      <c r="C4" s="35" t="s">
        <v>3</v>
      </c>
      <c r="D4" s="39" t="s">
        <v>148</v>
      </c>
      <c r="E4" s="39" t="s">
        <v>149</v>
      </c>
      <c r="F4" s="39" t="s">
        <v>149</v>
      </c>
    </row>
    <row r="5" spans="1:6" ht="25.5" x14ac:dyDescent="0.4">
      <c r="A5" s="35">
        <v>5205471</v>
      </c>
      <c r="B5" s="35" t="e">
        <f>_xlfn.XLOOKUP(A5,'Resumo '!$D$5:$D$24,'Resumo '!$E$5:$E$24)</f>
        <v>#N/A</v>
      </c>
      <c r="C5" s="35" t="s">
        <v>3</v>
      </c>
      <c r="D5" s="39" t="s">
        <v>171</v>
      </c>
      <c r="E5" s="39" t="s">
        <v>172</v>
      </c>
      <c r="F5" s="4" t="s">
        <v>179</v>
      </c>
    </row>
    <row r="6" spans="1:6" x14ac:dyDescent="0.4">
      <c r="A6" s="35">
        <v>5211909</v>
      </c>
      <c r="B6" s="35" t="e">
        <f>_xlfn.XLOOKUP(A6,'Resumo '!$D$5:$D$24,'Resumo '!$E$5:$E$24)</f>
        <v>#N/A</v>
      </c>
      <c r="C6" s="35" t="s">
        <v>3</v>
      </c>
      <c r="D6" s="39" t="s">
        <v>66</v>
      </c>
      <c r="E6" s="39" t="s">
        <v>67</v>
      </c>
      <c r="F6" s="39" t="s">
        <v>67</v>
      </c>
    </row>
    <row r="7" spans="1:6" ht="38.25" x14ac:dyDescent="0.4">
      <c r="A7" s="35">
        <v>5220207</v>
      </c>
      <c r="B7" s="35" t="e">
        <f>_xlfn.XLOOKUP(A7,'Resumo '!$D$5:$D$24,'Resumo '!$E$5:$E$24)</f>
        <v>#N/A</v>
      </c>
      <c r="C7" s="35" t="s">
        <v>3</v>
      </c>
      <c r="D7" s="39" t="s">
        <v>173</v>
      </c>
      <c r="E7" s="39" t="s">
        <v>174</v>
      </c>
      <c r="F7" s="4" t="s">
        <v>180</v>
      </c>
    </row>
    <row r="8" spans="1:6" x14ac:dyDescent="0.4">
      <c r="A8" s="35">
        <v>5204102</v>
      </c>
      <c r="B8" s="35" t="e">
        <f>_xlfn.XLOOKUP(A8,'Resumo '!$D$5:$D$24,'Resumo '!$E$5:$E$24)</f>
        <v>#N/A</v>
      </c>
      <c r="C8" s="35" t="s">
        <v>3</v>
      </c>
      <c r="D8" s="39" t="s">
        <v>140</v>
      </c>
      <c r="E8" s="39" t="s">
        <v>141</v>
      </c>
      <c r="F8" s="39" t="s">
        <v>141</v>
      </c>
    </row>
    <row r="9" spans="1:6" x14ac:dyDescent="0.4">
      <c r="A9" s="35">
        <v>5220504</v>
      </c>
      <c r="B9" s="35" t="e">
        <f>_xlfn.XLOOKUP(A9,'Resumo '!$D$5:$D$24,'Resumo '!$E$5:$E$24)</f>
        <v>#N/A</v>
      </c>
      <c r="C9" s="35" t="s">
        <v>3</v>
      </c>
      <c r="D9" s="39" t="s">
        <v>72</v>
      </c>
      <c r="E9" s="39" t="s">
        <v>73</v>
      </c>
      <c r="F9" s="4" t="s">
        <v>181</v>
      </c>
    </row>
    <row r="10" spans="1:6" x14ac:dyDescent="0.4">
      <c r="A10" s="35">
        <v>5215652</v>
      </c>
      <c r="B10" s="35" t="e">
        <f>_xlfn.XLOOKUP(A10,'Resumo '!$D$5:$D$24,'Resumo '!$E$5:$E$24)</f>
        <v>#N/A</v>
      </c>
      <c r="C10" s="35" t="s">
        <v>3</v>
      </c>
      <c r="D10" s="39" t="s">
        <v>64</v>
      </c>
      <c r="E10" s="39" t="s">
        <v>65</v>
      </c>
      <c r="F10" s="4" t="s">
        <v>182</v>
      </c>
    </row>
    <row r="11" spans="1:6" x14ac:dyDescent="0.4">
      <c r="A11" s="35">
        <v>5220504</v>
      </c>
      <c r="B11" s="35" t="e">
        <f>_xlfn.XLOOKUP(A11,'Resumo '!$D$5:$D$24,'Resumo '!$E$5:$E$24)</f>
        <v>#N/A</v>
      </c>
      <c r="C11" s="35" t="s">
        <v>3</v>
      </c>
      <c r="D11" s="39" t="s">
        <v>60</v>
      </c>
      <c r="E11" s="39" t="s">
        <v>61</v>
      </c>
      <c r="F11" s="4" t="s">
        <v>183</v>
      </c>
    </row>
    <row r="12" spans="1:6" x14ac:dyDescent="0.4">
      <c r="A12" s="35">
        <v>5205059</v>
      </c>
      <c r="B12" s="35" t="e">
        <f>_xlfn.XLOOKUP(A12,'Resumo '!$D$5:$D$24,'Resumo '!$E$5:$E$24)</f>
        <v>#N/A</v>
      </c>
      <c r="C12" s="35" t="s">
        <v>3</v>
      </c>
      <c r="D12" s="39" t="s">
        <v>134</v>
      </c>
      <c r="E12" s="39" t="s">
        <v>135</v>
      </c>
      <c r="F12" s="4" t="s">
        <v>183</v>
      </c>
    </row>
    <row r="13" spans="1:6" x14ac:dyDescent="0.4">
      <c r="A13" s="35">
        <v>5213756</v>
      </c>
      <c r="B13" s="35" t="e">
        <f>_xlfn.XLOOKUP(A13,'Resumo '!$D$5:$D$24,'Resumo '!$E$5:$E$24)</f>
        <v>#N/A</v>
      </c>
      <c r="C13" s="35" t="s">
        <v>4</v>
      </c>
      <c r="D13" s="39" t="s">
        <v>120</v>
      </c>
      <c r="E13" s="39" t="s">
        <v>121</v>
      </c>
      <c r="F13" s="4" t="s">
        <v>184</v>
      </c>
    </row>
    <row r="14" spans="1:6" ht="25.5" x14ac:dyDescent="0.4">
      <c r="A14" s="35">
        <v>5218805</v>
      </c>
      <c r="B14" s="35" t="e">
        <f>_xlfn.XLOOKUP(A14,'Resumo '!$D$5:$D$24,'Resumo '!$E$5:$E$24)</f>
        <v>#N/A</v>
      </c>
      <c r="C14" s="35" t="s">
        <v>4</v>
      </c>
      <c r="D14" s="39" t="s">
        <v>112</v>
      </c>
      <c r="E14" s="39" t="s">
        <v>113</v>
      </c>
      <c r="F14" s="4" t="s">
        <v>185</v>
      </c>
    </row>
    <row r="15" spans="1:6" x14ac:dyDescent="0.4">
      <c r="A15" s="35">
        <v>5205059</v>
      </c>
      <c r="B15" s="35" t="e">
        <f>_xlfn.XLOOKUP(A15,'Resumo '!$D$5:$D$24,'Resumo '!$E$5:$E$24)</f>
        <v>#N/A</v>
      </c>
      <c r="C15" s="35" t="s">
        <v>4</v>
      </c>
      <c r="D15" s="39" t="s">
        <v>150</v>
      </c>
      <c r="E15" s="39" t="s">
        <v>151</v>
      </c>
      <c r="F15" s="39" t="s">
        <v>151</v>
      </c>
    </row>
    <row r="16" spans="1:6" ht="25.5" x14ac:dyDescent="0.4">
      <c r="A16" s="35">
        <v>5220504</v>
      </c>
      <c r="B16" s="35" t="e">
        <f>_xlfn.XLOOKUP(A16,'Resumo '!$D$5:$D$24,'Resumo '!$E$5:$E$24)</f>
        <v>#N/A</v>
      </c>
      <c r="C16" s="35" t="s">
        <v>4</v>
      </c>
      <c r="D16" s="39" t="s">
        <v>78</v>
      </c>
      <c r="E16" s="39" t="s">
        <v>79</v>
      </c>
      <c r="F16" s="4" t="s">
        <v>99</v>
      </c>
    </row>
    <row r="17" spans="1:6" ht="25.5" x14ac:dyDescent="0.4">
      <c r="A17" s="35">
        <v>5205471</v>
      </c>
      <c r="B17" s="35" t="e">
        <f>_xlfn.XLOOKUP(A17,'Resumo '!$D$5:$D$24,'Resumo '!$E$5:$E$24)</f>
        <v>#N/A</v>
      </c>
      <c r="C17" s="35" t="s">
        <v>4</v>
      </c>
      <c r="D17" s="39" t="s">
        <v>163</v>
      </c>
      <c r="E17" s="39" t="s">
        <v>164</v>
      </c>
      <c r="F17" s="4" t="s">
        <v>186</v>
      </c>
    </row>
    <row r="18" spans="1:6" ht="38.25" x14ac:dyDescent="0.4">
      <c r="A18" s="35">
        <v>5211909</v>
      </c>
      <c r="B18" s="35" t="e">
        <f>_xlfn.XLOOKUP(A18,'Resumo '!$D$5:$D$24,'Resumo '!$E$5:$E$24)</f>
        <v>#N/A</v>
      </c>
      <c r="C18" s="35" t="s">
        <v>4</v>
      </c>
      <c r="D18" s="39" t="s">
        <v>110</v>
      </c>
      <c r="E18" s="39" t="s">
        <v>111</v>
      </c>
      <c r="F18" s="4" t="s">
        <v>187</v>
      </c>
    </row>
    <row r="19" spans="1:6" ht="25.5" x14ac:dyDescent="0.4">
      <c r="A19" s="35">
        <v>5205059</v>
      </c>
      <c r="B19" s="35" t="e">
        <f>_xlfn.XLOOKUP(A19,'Resumo '!$D$5:$D$24,'Resumo '!$E$5:$E$24)</f>
        <v>#N/A</v>
      </c>
      <c r="C19" s="35" t="s">
        <v>4</v>
      </c>
      <c r="D19" s="39" t="s">
        <v>168</v>
      </c>
      <c r="E19" s="39" t="s">
        <v>169</v>
      </c>
      <c r="F19" s="4" t="s">
        <v>188</v>
      </c>
    </row>
    <row r="20" spans="1:6" x14ac:dyDescent="0.4">
      <c r="A20" s="35">
        <v>5204409</v>
      </c>
      <c r="B20" s="35" t="e">
        <f>_xlfn.XLOOKUP(A20,'Resumo '!$D$5:$D$24,'Resumo '!$E$5:$E$24)</f>
        <v>#N/A</v>
      </c>
      <c r="C20" s="35" t="s">
        <v>4</v>
      </c>
      <c r="D20" s="39" t="s">
        <v>158</v>
      </c>
      <c r="E20" s="39" t="s">
        <v>155</v>
      </c>
      <c r="F20" s="4" t="s">
        <v>187</v>
      </c>
    </row>
    <row r="21" spans="1:6" x14ac:dyDescent="0.4">
      <c r="A21" s="35">
        <v>5213103</v>
      </c>
      <c r="B21" s="35" t="e">
        <f>_xlfn.XLOOKUP(A21,'Resumo '!$D$5:$D$24,'Resumo '!$E$5:$E$24)</f>
        <v>#N/A</v>
      </c>
      <c r="C21" s="35" t="s">
        <v>4</v>
      </c>
      <c r="D21" s="39" t="s">
        <v>106</v>
      </c>
      <c r="E21" s="39" t="s">
        <v>107</v>
      </c>
      <c r="F21" s="4" t="s">
        <v>189</v>
      </c>
    </row>
    <row r="22" spans="1:6" x14ac:dyDescent="0.4">
      <c r="A22" s="35">
        <v>5201504</v>
      </c>
      <c r="B22" s="35" t="e">
        <f>_xlfn.XLOOKUP(A22,'Resumo '!$D$5:$D$24,'Resumo '!$E$5:$E$24)</f>
        <v>#N/A</v>
      </c>
      <c r="C22" s="35" t="s">
        <v>4</v>
      </c>
      <c r="D22" s="39" t="s">
        <v>103</v>
      </c>
      <c r="E22" s="39" t="s">
        <v>104</v>
      </c>
      <c r="F22" s="4" t="s">
        <v>183</v>
      </c>
    </row>
    <row r="23" spans="1:6" x14ac:dyDescent="0.4">
      <c r="A23" s="35">
        <v>5213103</v>
      </c>
      <c r="B23" s="35" t="e">
        <f>_xlfn.XLOOKUP(A23,'Resumo '!$D$5:$D$24,'Resumo '!$E$5:$E$24)</f>
        <v>#N/A</v>
      </c>
      <c r="C23" s="35" t="s">
        <v>4</v>
      </c>
      <c r="D23" s="39" t="s">
        <v>105</v>
      </c>
      <c r="E23" s="39" t="s">
        <v>94</v>
      </c>
      <c r="F23" s="4" t="s">
        <v>177</v>
      </c>
    </row>
    <row r="24" spans="1:6" x14ac:dyDescent="0.4">
      <c r="A24" s="35">
        <v>5218805</v>
      </c>
      <c r="B24" s="35" t="e">
        <f>_xlfn.XLOOKUP(A24,'Resumo '!$D$5:$D$24,'Resumo '!$E$5:$E$24)</f>
        <v>#N/A</v>
      </c>
      <c r="C24" s="35" t="s">
        <v>4</v>
      </c>
      <c r="D24" s="39" t="s">
        <v>108</v>
      </c>
      <c r="E24" s="39" t="s">
        <v>109</v>
      </c>
      <c r="F24" s="4" t="s">
        <v>190</v>
      </c>
    </row>
    <row r="25" spans="1:6" ht="25.5" x14ac:dyDescent="0.4">
      <c r="A25" s="35">
        <v>5218508</v>
      </c>
      <c r="B25" s="35" t="e">
        <f>_xlfn.XLOOKUP(A25,'Resumo '!$D$5:$D$24,'Resumo '!$E$5:$E$24)</f>
        <v>#N/A</v>
      </c>
      <c r="C25" s="35" t="s">
        <v>4</v>
      </c>
      <c r="D25" s="39" t="s">
        <v>116</v>
      </c>
      <c r="E25" s="39" t="s">
        <v>117</v>
      </c>
      <c r="F25" s="39" t="s">
        <v>117</v>
      </c>
    </row>
    <row r="26" spans="1:6" ht="51" x14ac:dyDescent="0.4">
      <c r="A26" s="35">
        <v>5219407</v>
      </c>
      <c r="B26" s="35" t="e">
        <f>_xlfn.XLOOKUP(A26,'Resumo '!$D$5:$D$24,'Resumo '!$E$5:$E$24)</f>
        <v>#N/A</v>
      </c>
      <c r="C26" s="35" t="s">
        <v>4</v>
      </c>
      <c r="D26" s="39" t="s">
        <v>100</v>
      </c>
      <c r="E26" s="39" t="s">
        <v>101</v>
      </c>
      <c r="F26" s="4" t="s">
        <v>187</v>
      </c>
    </row>
    <row r="27" spans="1:6" x14ac:dyDescent="0.4">
      <c r="A27" s="35">
        <v>5201504</v>
      </c>
      <c r="B27" s="35" t="e">
        <f>_xlfn.XLOOKUP(A27,'Resumo '!$D$5:$D$24,'Resumo '!$E$5:$E$24)</f>
        <v>#N/A</v>
      </c>
      <c r="C27" s="35" t="s">
        <v>4</v>
      </c>
      <c r="D27" s="39" t="s">
        <v>114</v>
      </c>
      <c r="E27" s="39" t="s">
        <v>115</v>
      </c>
      <c r="F27" s="4" t="s">
        <v>186</v>
      </c>
    </row>
    <row r="28" spans="1:6" x14ac:dyDescent="0.4">
      <c r="A28" s="35">
        <v>5107198</v>
      </c>
      <c r="B28" s="35" t="e">
        <f>_xlfn.XLOOKUP(A28,'Resumo '!$D$5:$D$24,'Resumo '!$E$5:$E$24)</f>
        <v>#N/A</v>
      </c>
      <c r="C28" s="35" t="s">
        <v>4</v>
      </c>
      <c r="D28" s="39" t="s">
        <v>74</v>
      </c>
      <c r="E28" s="39" t="s">
        <v>75</v>
      </c>
      <c r="F28" s="4" t="s">
        <v>187</v>
      </c>
    </row>
    <row r="29" spans="1:6" x14ac:dyDescent="0.4">
      <c r="A29" s="35">
        <v>5221551</v>
      </c>
      <c r="B29" s="35" t="e">
        <f>_xlfn.XLOOKUP(A29,'Resumo '!$D$5:$D$24,'Resumo '!$E$5:$E$24)</f>
        <v>#N/A</v>
      </c>
      <c r="C29" s="35" t="s">
        <v>4</v>
      </c>
      <c r="D29" s="39" t="s">
        <v>87</v>
      </c>
      <c r="E29" s="39" t="s">
        <v>88</v>
      </c>
      <c r="F29" s="39" t="s">
        <v>192</v>
      </c>
    </row>
    <row r="30" spans="1:6" ht="25.5" x14ac:dyDescent="0.4">
      <c r="A30" s="35">
        <v>5220504</v>
      </c>
      <c r="B30" s="35" t="e">
        <f>_xlfn.XLOOKUP(A30,'Resumo '!$D$5:$D$24,'Resumo '!$E$5:$E$24)</f>
        <v>#N/A</v>
      </c>
      <c r="C30" s="35" t="s">
        <v>4</v>
      </c>
      <c r="D30" s="39" t="s">
        <v>98</v>
      </c>
      <c r="E30" s="39" t="s">
        <v>99</v>
      </c>
      <c r="F30" s="39" t="s">
        <v>99</v>
      </c>
    </row>
    <row r="31" spans="1:6" ht="25.5" x14ac:dyDescent="0.4">
      <c r="A31" s="35">
        <v>5204102</v>
      </c>
      <c r="B31" s="35" t="e">
        <f>_xlfn.XLOOKUP(A31,'Resumo '!$D$5:$D$24,'Resumo '!$E$5:$E$24)</f>
        <v>#N/A</v>
      </c>
      <c r="C31" s="35" t="s">
        <v>4</v>
      </c>
      <c r="D31" s="39" t="s">
        <v>152</v>
      </c>
      <c r="E31" s="39" t="s">
        <v>153</v>
      </c>
      <c r="F31" s="4" t="s">
        <v>183</v>
      </c>
    </row>
    <row r="32" spans="1:6" ht="25.5" x14ac:dyDescent="0.4">
      <c r="A32" s="35">
        <v>5003256</v>
      </c>
      <c r="B32" s="35" t="e">
        <f>_xlfn.XLOOKUP(A32,'Resumo '!$D$5:$D$24,'Resumo '!$E$5:$E$24)</f>
        <v>#N/A</v>
      </c>
      <c r="C32" s="35" t="s">
        <v>4</v>
      </c>
      <c r="D32" s="39" t="s">
        <v>130</v>
      </c>
      <c r="E32" s="39" t="s">
        <v>131</v>
      </c>
      <c r="F32" s="4" t="s">
        <v>193</v>
      </c>
    </row>
    <row r="33" spans="1:6" x14ac:dyDescent="0.4">
      <c r="A33" s="35">
        <v>5213004</v>
      </c>
      <c r="B33" s="35" t="e">
        <f>_xlfn.XLOOKUP(A33,'Resumo '!$D$5:$D$24,'Resumo '!$E$5:$E$24)</f>
        <v>#N/A</v>
      </c>
      <c r="C33" s="35" t="s">
        <v>4</v>
      </c>
      <c r="D33" s="39" t="s">
        <v>85</v>
      </c>
      <c r="E33" s="39" t="s">
        <v>86</v>
      </c>
      <c r="F33" s="4" t="s">
        <v>183</v>
      </c>
    </row>
    <row r="34" spans="1:6" x14ac:dyDescent="0.4">
      <c r="A34" s="35">
        <v>5219308</v>
      </c>
      <c r="B34" s="35" t="e">
        <f>_xlfn.XLOOKUP(A34,'Resumo '!$D$5:$D$24,'Resumo '!$E$5:$E$24)</f>
        <v>#N/A</v>
      </c>
      <c r="C34" s="35" t="s">
        <v>4</v>
      </c>
      <c r="D34" s="39" t="s">
        <v>95</v>
      </c>
      <c r="E34" s="39" t="s">
        <v>96</v>
      </c>
      <c r="F34" s="39" t="s">
        <v>151</v>
      </c>
    </row>
    <row r="35" spans="1:6" x14ac:dyDescent="0.4">
      <c r="A35" s="35">
        <v>5006309</v>
      </c>
      <c r="B35" s="35" t="e">
        <f>_xlfn.XLOOKUP(A35,'Resumo '!$D$5:$D$24,'Resumo '!$E$5:$E$24)</f>
        <v>#N/A</v>
      </c>
      <c r="C35" s="35" t="s">
        <v>4</v>
      </c>
      <c r="D35" s="39" t="s">
        <v>81</v>
      </c>
      <c r="E35" s="39" t="s">
        <v>82</v>
      </c>
      <c r="F35" s="39" t="s">
        <v>151</v>
      </c>
    </row>
    <row r="36" spans="1:6" x14ac:dyDescent="0.4">
      <c r="A36" s="35">
        <v>5006309</v>
      </c>
      <c r="B36" s="35" t="e">
        <f>_xlfn.XLOOKUP(A36,'Resumo '!$D$5:$D$24,'Resumo '!$E$5:$E$24)</f>
        <v>#N/A</v>
      </c>
      <c r="C36" s="35" t="s">
        <v>4</v>
      </c>
      <c r="D36" s="39" t="s">
        <v>93</v>
      </c>
      <c r="E36" s="39" t="s">
        <v>94</v>
      </c>
      <c r="F36" s="4" t="s">
        <v>177</v>
      </c>
    </row>
    <row r="37" spans="1:6" x14ac:dyDescent="0.4">
      <c r="A37" s="35">
        <v>5213756</v>
      </c>
      <c r="B37" s="35" t="e">
        <f>_xlfn.XLOOKUP(A37,'Resumo '!$D$5:$D$24,'Resumo '!$E$5:$E$24)</f>
        <v>#N/A</v>
      </c>
      <c r="C37" s="35" t="s">
        <v>4</v>
      </c>
      <c r="D37" s="39" t="s">
        <v>118</v>
      </c>
      <c r="E37" s="39" t="s">
        <v>119</v>
      </c>
      <c r="F37" s="4" t="s">
        <v>194</v>
      </c>
    </row>
    <row r="38" spans="1:6" ht="25.5" x14ac:dyDescent="0.4">
      <c r="A38" s="35">
        <v>5100607</v>
      </c>
      <c r="B38" s="35" t="e">
        <f>_xlfn.XLOOKUP(A38,'Resumo '!$D$5:$D$24,'Resumo '!$E$5:$E$24)</f>
        <v>#N/A</v>
      </c>
      <c r="C38" s="35" t="s">
        <v>4</v>
      </c>
      <c r="D38" s="39" t="s">
        <v>136</v>
      </c>
      <c r="E38" s="39" t="s">
        <v>137</v>
      </c>
      <c r="F38" s="4" t="s">
        <v>195</v>
      </c>
    </row>
    <row r="39" spans="1:6" x14ac:dyDescent="0.4">
      <c r="A39" s="35">
        <v>5211909</v>
      </c>
      <c r="B39" s="35" t="e">
        <f>_xlfn.XLOOKUP(A39,'Resumo '!$D$5:$D$24,'Resumo '!$E$5:$E$24)</f>
        <v>#N/A</v>
      </c>
      <c r="C39" s="35" t="s">
        <v>4</v>
      </c>
      <c r="D39" s="39" t="s">
        <v>122</v>
      </c>
      <c r="E39" s="39" t="s">
        <v>123</v>
      </c>
      <c r="F39" s="4" t="s">
        <v>196</v>
      </c>
    </row>
    <row r="40" spans="1:6" x14ac:dyDescent="0.4">
      <c r="A40" s="35">
        <v>5215652</v>
      </c>
      <c r="B40" s="35" t="e">
        <f>_xlfn.XLOOKUP(A40,'Resumo '!$D$5:$D$24,'Resumo '!$E$5:$E$24)</f>
        <v>#N/A</v>
      </c>
      <c r="C40" s="35" t="s">
        <v>4</v>
      </c>
      <c r="D40" s="39" t="s">
        <v>68</v>
      </c>
      <c r="E40" s="39" t="s">
        <v>69</v>
      </c>
      <c r="F40" s="4" t="s">
        <v>191</v>
      </c>
    </row>
    <row r="41" spans="1:6" ht="25.5" x14ac:dyDescent="0.4">
      <c r="A41" s="35">
        <v>5002902</v>
      </c>
      <c r="B41" s="35" t="e">
        <f>_xlfn.XLOOKUP(A41,'Resumo '!$D$5:$D$24,'Resumo '!$E$5:$E$24)</f>
        <v>#N/A</v>
      </c>
      <c r="C41" s="35" t="s">
        <v>4</v>
      </c>
      <c r="D41" s="39" t="s">
        <v>165</v>
      </c>
      <c r="E41" s="39" t="s">
        <v>166</v>
      </c>
      <c r="F41" s="4" t="s">
        <v>183</v>
      </c>
    </row>
    <row r="42" spans="1:6" ht="38.25" x14ac:dyDescent="0.4">
      <c r="A42" s="35">
        <v>5204409</v>
      </c>
      <c r="B42" s="35" t="e">
        <f>_xlfn.XLOOKUP(A42,'Resumo '!$D$5:$D$24,'Resumo '!$E$5:$E$24)</f>
        <v>#N/A</v>
      </c>
      <c r="C42" s="35" t="s">
        <v>4</v>
      </c>
      <c r="D42" s="39" t="s">
        <v>144</v>
      </c>
      <c r="E42" s="39" t="s">
        <v>145</v>
      </c>
      <c r="F42" s="4" t="s">
        <v>183</v>
      </c>
    </row>
    <row r="43" spans="1:6" ht="38.25" x14ac:dyDescent="0.4">
      <c r="A43" s="35">
        <v>5216452</v>
      </c>
      <c r="B43" s="35" t="e">
        <f>_xlfn.XLOOKUP(A43,'Resumo '!$D$5:$D$24,'Resumo '!$E$5:$E$24)</f>
        <v>#N/A</v>
      </c>
      <c r="C43" s="35" t="s">
        <v>4</v>
      </c>
      <c r="D43" s="39" t="s">
        <v>89</v>
      </c>
      <c r="E43" s="39" t="s">
        <v>90</v>
      </c>
      <c r="F43" s="4" t="s">
        <v>191</v>
      </c>
    </row>
    <row r="44" spans="1:6" ht="25.5" x14ac:dyDescent="0.4">
      <c r="A44" s="35">
        <v>5205059</v>
      </c>
      <c r="B44" s="35" t="e">
        <f>_xlfn.XLOOKUP(A44,'Resumo '!$D$5:$D$24,'Resumo '!$E$5:$E$24)</f>
        <v>#N/A</v>
      </c>
      <c r="C44" s="35" t="s">
        <v>4</v>
      </c>
      <c r="D44" s="39" t="s">
        <v>161</v>
      </c>
      <c r="E44" s="39" t="s">
        <v>162</v>
      </c>
      <c r="F44" s="4" t="s">
        <v>197</v>
      </c>
    </row>
    <row r="45" spans="1:6" x14ac:dyDescent="0.4">
      <c r="A45" s="35">
        <v>5201454</v>
      </c>
      <c r="B45" s="35" t="e">
        <f>_xlfn.XLOOKUP(A45,'Resumo '!$D$5:$D$24,'Resumo '!$E$5:$E$24)</f>
        <v>#N/A</v>
      </c>
      <c r="C45" s="35" t="s">
        <v>4</v>
      </c>
      <c r="D45" s="39" t="s">
        <v>142</v>
      </c>
      <c r="E45" s="39" t="s">
        <v>143</v>
      </c>
      <c r="F45" s="4" t="s">
        <v>198</v>
      </c>
    </row>
    <row r="46" spans="1:6" ht="25.5" x14ac:dyDescent="0.4">
      <c r="A46" s="35">
        <v>5215652</v>
      </c>
      <c r="B46" s="35" t="e">
        <f>_xlfn.XLOOKUP(A46,'Resumo '!$D$5:$D$24,'Resumo '!$E$5:$E$24)</f>
        <v>#N/A</v>
      </c>
      <c r="C46" s="35" t="s">
        <v>4</v>
      </c>
      <c r="D46" s="39" t="s">
        <v>102</v>
      </c>
      <c r="E46" s="39" t="s">
        <v>67</v>
      </c>
      <c r="F46" s="4" t="s">
        <v>183</v>
      </c>
    </row>
    <row r="47" spans="1:6" x14ac:dyDescent="0.4">
      <c r="A47" s="35">
        <v>5006309</v>
      </c>
      <c r="B47" s="35" t="e">
        <f>_xlfn.XLOOKUP(A47,'Resumo '!$D$5:$D$24,'Resumo '!$E$5:$E$24)</f>
        <v>#N/A</v>
      </c>
      <c r="C47" s="35" t="s">
        <v>4</v>
      </c>
      <c r="D47" s="39" t="s">
        <v>62</v>
      </c>
      <c r="E47" s="39" t="s">
        <v>63</v>
      </c>
      <c r="F47" s="39" t="s">
        <v>63</v>
      </c>
    </row>
    <row r="48" spans="1:6" x14ac:dyDescent="0.4">
      <c r="A48" s="35">
        <v>5209937</v>
      </c>
      <c r="B48" s="35" t="e">
        <f>_xlfn.XLOOKUP(A48,'Resumo '!$D$5:$D$24,'Resumo '!$E$5:$E$24)</f>
        <v>#N/A</v>
      </c>
      <c r="C48" s="35" t="s">
        <v>4</v>
      </c>
      <c r="D48" s="39" t="s">
        <v>154</v>
      </c>
      <c r="E48" s="39" t="s">
        <v>155</v>
      </c>
      <c r="F48" s="39" t="s">
        <v>155</v>
      </c>
    </row>
    <row r="49" spans="1:6" x14ac:dyDescent="0.4">
      <c r="A49" s="35">
        <v>5219308</v>
      </c>
      <c r="B49" s="35" t="e">
        <f>_xlfn.XLOOKUP(A49,'Resumo '!$D$5:$D$24,'Resumo '!$E$5:$E$24)</f>
        <v>#N/A</v>
      </c>
      <c r="C49" s="35" t="s">
        <v>4</v>
      </c>
      <c r="D49" s="39" t="s">
        <v>83</v>
      </c>
      <c r="E49" s="39" t="s">
        <v>67</v>
      </c>
      <c r="F49" s="39" t="s">
        <v>67</v>
      </c>
    </row>
    <row r="50" spans="1:6" x14ac:dyDescent="0.4">
      <c r="A50" s="35">
        <v>5200902</v>
      </c>
      <c r="B50" s="35" t="e">
        <f>_xlfn.XLOOKUP(A50,'Resumo '!$D$5:$D$24,'Resumo '!$E$5:$E$24)</f>
        <v>#N/A</v>
      </c>
      <c r="C50" s="35" t="s">
        <v>4</v>
      </c>
      <c r="D50" s="39" t="s">
        <v>146</v>
      </c>
      <c r="E50" s="39" t="s">
        <v>147</v>
      </c>
      <c r="F50" s="39" t="s">
        <v>147</v>
      </c>
    </row>
    <row r="51" spans="1:6" x14ac:dyDescent="0.4">
      <c r="A51" s="35">
        <v>5219407</v>
      </c>
      <c r="B51" s="35" t="e">
        <f>_xlfn.XLOOKUP(A51,'Resumo '!$D$5:$D$24,'Resumo '!$E$5:$E$24)</f>
        <v>#N/A</v>
      </c>
      <c r="C51" s="35" t="s">
        <v>4</v>
      </c>
      <c r="D51" s="39" t="s">
        <v>124</v>
      </c>
      <c r="E51" s="39" t="s">
        <v>125</v>
      </c>
      <c r="F51" s="39" t="s">
        <v>125</v>
      </c>
    </row>
    <row r="52" spans="1:6" ht="38.25" x14ac:dyDescent="0.4">
      <c r="A52" s="35">
        <v>5216452</v>
      </c>
      <c r="B52" s="35" t="e">
        <f>_xlfn.XLOOKUP(A52,'Resumo '!$D$5:$D$24,'Resumo '!$E$5:$E$24)</f>
        <v>#N/A</v>
      </c>
      <c r="C52" s="35" t="s">
        <v>4</v>
      </c>
      <c r="D52" s="39" t="s">
        <v>91</v>
      </c>
      <c r="E52" s="39" t="s">
        <v>92</v>
      </c>
      <c r="F52" s="39" t="s">
        <v>92</v>
      </c>
    </row>
    <row r="53" spans="1:6" x14ac:dyDescent="0.4">
      <c r="A53" s="35">
        <v>5218805</v>
      </c>
      <c r="B53" s="35" t="e">
        <f>_xlfn.XLOOKUP(A53,'Resumo '!$D$5:$D$24,'Resumo '!$E$5:$E$24)</f>
        <v>#N/A</v>
      </c>
      <c r="C53" s="35" t="s">
        <v>4</v>
      </c>
      <c r="D53" s="39" t="s">
        <v>80</v>
      </c>
      <c r="E53" s="39" t="s">
        <v>67</v>
      </c>
      <c r="F53" s="39" t="s">
        <v>67</v>
      </c>
    </row>
    <row r="54" spans="1:6" x14ac:dyDescent="0.4">
      <c r="A54" s="35">
        <v>5107198</v>
      </c>
      <c r="B54" s="35" t="e">
        <f>_xlfn.XLOOKUP(A54,'Resumo '!$D$5:$D$24,'Resumo '!$E$5:$E$24)</f>
        <v>#N/A</v>
      </c>
      <c r="C54" s="35" t="s">
        <v>4</v>
      </c>
      <c r="D54" s="39" t="s">
        <v>76</v>
      </c>
      <c r="E54" s="39" t="s">
        <v>77</v>
      </c>
      <c r="F54" s="39" t="s">
        <v>77</v>
      </c>
    </row>
    <row r="55" spans="1:6" x14ac:dyDescent="0.4">
      <c r="A55" s="35">
        <v>5209150</v>
      </c>
      <c r="B55" s="35" t="e">
        <f>_xlfn.XLOOKUP(A55,'Resumo '!$D$5:$D$24,'Resumo '!$E$5:$E$24)</f>
        <v>#N/A</v>
      </c>
      <c r="C55" s="35" t="s">
        <v>4</v>
      </c>
      <c r="D55" s="39" t="s">
        <v>175</v>
      </c>
      <c r="E55" s="39" t="s">
        <v>176</v>
      </c>
      <c r="F55" s="39" t="s">
        <v>176</v>
      </c>
    </row>
    <row r="56" spans="1:6" ht="38.25" x14ac:dyDescent="0.4">
      <c r="A56" s="35">
        <v>5002902</v>
      </c>
      <c r="B56" s="35" t="e">
        <f>_xlfn.XLOOKUP(A56,'Resumo '!$D$5:$D$24,'Resumo '!$E$5:$E$24)</f>
        <v>#N/A</v>
      </c>
      <c r="C56" s="35" t="s">
        <v>4</v>
      </c>
      <c r="D56" s="39" t="s">
        <v>156</v>
      </c>
      <c r="E56" s="39" t="s">
        <v>157</v>
      </c>
      <c r="F56" s="39" t="s">
        <v>157</v>
      </c>
    </row>
    <row r="57" spans="1:6" x14ac:dyDescent="0.4">
      <c r="A57" s="35">
        <v>5200902</v>
      </c>
      <c r="B57" s="35" t="e">
        <f>_xlfn.XLOOKUP(A57,'Resumo '!$D$5:$D$24,'Resumo '!$E$5:$E$24)</f>
        <v>#N/A</v>
      </c>
      <c r="C57" s="35" t="s">
        <v>4</v>
      </c>
      <c r="D57" s="39" t="s">
        <v>128</v>
      </c>
      <c r="E57" s="39" t="s">
        <v>129</v>
      </c>
      <c r="F57" s="39" t="s">
        <v>129</v>
      </c>
    </row>
    <row r="58" spans="1:6" x14ac:dyDescent="0.4">
      <c r="A58" s="35">
        <v>5216452</v>
      </c>
      <c r="B58" s="35" t="e">
        <f>_xlfn.XLOOKUP(A58,'Resumo '!$D$5:$D$24,'Resumo '!$E$5:$E$24)</f>
        <v>#N/A</v>
      </c>
      <c r="C58" s="35" t="s">
        <v>4</v>
      </c>
      <c r="D58" s="39" t="s">
        <v>70</v>
      </c>
      <c r="E58" s="39" t="s">
        <v>71</v>
      </c>
      <c r="F58" s="39" t="s">
        <v>71</v>
      </c>
    </row>
    <row r="59" spans="1:6" x14ac:dyDescent="0.4">
      <c r="A59" s="35">
        <v>5200902</v>
      </c>
      <c r="B59" s="35" t="e">
        <f>_xlfn.XLOOKUP(A59,'Resumo '!$D$5:$D$24,'Resumo '!$E$5:$E$24)</f>
        <v>#N/A</v>
      </c>
      <c r="C59" s="35" t="s">
        <v>4</v>
      </c>
      <c r="D59" s="39" t="s">
        <v>126</v>
      </c>
      <c r="E59" s="39" t="s">
        <v>127</v>
      </c>
      <c r="F59" s="39" t="s">
        <v>127</v>
      </c>
    </row>
    <row r="60" spans="1:6" x14ac:dyDescent="0.4">
      <c r="A60" s="35">
        <v>5220405</v>
      </c>
      <c r="B60" s="35" t="e">
        <f>_xlfn.XLOOKUP(A60,'Resumo '!$D$5:$D$24,'Resumo '!$E$5:$E$24)</f>
        <v>#N/A</v>
      </c>
      <c r="C60" s="35" t="s">
        <v>4</v>
      </c>
      <c r="D60" s="39" t="s">
        <v>56</v>
      </c>
      <c r="E60" s="39" t="s">
        <v>97</v>
      </c>
      <c r="F60" s="39" t="s">
        <v>97</v>
      </c>
    </row>
    <row r="61" spans="1:6" x14ac:dyDescent="0.4">
      <c r="A61" s="35">
        <v>5003256</v>
      </c>
      <c r="B61" s="35" t="e">
        <f>_xlfn.XLOOKUP(A61,'Resumo '!$D$5:$D$24,'Resumo '!$E$5:$E$24)</f>
        <v>#N/A</v>
      </c>
      <c r="C61" s="35" t="s">
        <v>4</v>
      </c>
      <c r="D61" s="39" t="s">
        <v>132</v>
      </c>
      <c r="E61" s="39" t="s">
        <v>133</v>
      </c>
      <c r="F61" s="39" t="s">
        <v>133</v>
      </c>
    </row>
  </sheetData>
  <sortState xmlns:xlrd2="http://schemas.microsoft.com/office/spreadsheetml/2017/richdata2" ref="A2:E22">
    <sortCondition ref="A2:A2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0895-64D8-4CA2-B190-BAAC5565042C}">
  <dimension ref="A1:R86"/>
  <sheetViews>
    <sheetView zoomScale="70" zoomScaleNormal="70" workbookViewId="0">
      <selection activeCell="A2" sqref="A2"/>
    </sheetView>
  </sheetViews>
  <sheetFormatPr defaultColWidth="9" defaultRowHeight="19.5" x14ac:dyDescent="0.4"/>
  <cols>
    <col min="1" max="1" width="26.5" style="7" bestFit="1" customWidth="1"/>
    <col min="2" max="2" width="20.375" style="7" customWidth="1"/>
    <col min="3" max="3" width="7.875" style="8" bestFit="1" customWidth="1"/>
    <col min="4" max="4" width="8.875" style="8" customWidth="1"/>
    <col min="5" max="8" width="7.25" style="8" bestFit="1" customWidth="1"/>
    <col min="9" max="9" width="10.375" style="8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5" t="s">
        <v>30</v>
      </c>
      <c r="B1" s="5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  <c r="H1" s="6" t="s">
        <v>37</v>
      </c>
      <c r="I1" s="5" t="s">
        <v>38</v>
      </c>
    </row>
    <row r="2" spans="1:18" x14ac:dyDescent="0.4">
      <c r="A2" s="7" t="str">
        <f>+Dados!V2</f>
        <v>FLORES DE GOIÁS</v>
      </c>
      <c r="B2" s="7" t="str">
        <f>+Dados!G2</f>
        <v>CACS-FUNDEB</v>
      </c>
      <c r="C2" s="7">
        <f>+Dados!H2</f>
        <v>5</v>
      </c>
      <c r="D2" s="7">
        <f>+Dados!I2</f>
        <v>4</v>
      </c>
      <c r="E2" s="7">
        <f>+Dados!J2</f>
        <v>5</v>
      </c>
      <c r="F2" s="7">
        <f>+Dados!K2</f>
        <v>5</v>
      </c>
      <c r="G2" s="7">
        <f>+Dados!L2</f>
        <v>2</v>
      </c>
      <c r="H2" s="7">
        <f>+Dados!M2</f>
        <v>3</v>
      </c>
      <c r="I2" s="7">
        <f>+Dados!N2</f>
        <v>4</v>
      </c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A3" s="7" t="str">
        <f>+Dados!V3</f>
        <v>GUARANI DE GOIÁS</v>
      </c>
      <c r="B3" s="7" t="str">
        <f>+Dados!G3</f>
        <v>CACS-FUNDEB</v>
      </c>
      <c r="C3" s="7">
        <f>+Dados!H3</f>
        <v>5</v>
      </c>
      <c r="D3" s="7">
        <f>+Dados!I3</f>
        <v>5</v>
      </c>
      <c r="E3" s="7">
        <f>+Dados!J3</f>
        <v>5</v>
      </c>
      <c r="F3" s="7">
        <f>+Dados!K3</f>
        <v>5</v>
      </c>
      <c r="G3" s="7">
        <f>+Dados!L3</f>
        <v>5</v>
      </c>
      <c r="H3" s="7">
        <f>+Dados!M3</f>
        <v>5</v>
      </c>
      <c r="I3" s="7">
        <f>+Dados!N3</f>
        <v>5</v>
      </c>
      <c r="N3" s="7">
        <v>1</v>
      </c>
      <c r="O3" s="7">
        <v>2</v>
      </c>
      <c r="P3" s="7">
        <v>3</v>
      </c>
      <c r="Q3" s="7">
        <v>4</v>
      </c>
      <c r="R3" s="7">
        <v>5</v>
      </c>
    </row>
    <row r="4" spans="1:18" x14ac:dyDescent="0.4">
      <c r="A4" s="7" t="str">
        <f>+Dados!V4</f>
        <v>ALVORADA DO NORTE</v>
      </c>
      <c r="B4" s="7" t="str">
        <f>+Dados!G4</f>
        <v>CACS-FUNDEB</v>
      </c>
      <c r="C4" s="7">
        <f>+Dados!H4</f>
        <v>4</v>
      </c>
      <c r="D4" s="7">
        <f>+Dados!I4</f>
        <v>4</v>
      </c>
      <c r="E4" s="7">
        <f>+Dados!J4</f>
        <v>4</v>
      </c>
      <c r="F4" s="7">
        <f>+Dados!K4</f>
        <v>4</v>
      </c>
      <c r="G4" s="7">
        <f>+Dados!L4</f>
        <v>4</v>
      </c>
      <c r="H4" s="7">
        <f>+Dados!M4</f>
        <v>4</v>
      </c>
      <c r="I4" s="7">
        <f>+Dados!N4</f>
        <v>4</v>
      </c>
    </row>
    <row r="5" spans="1:18" x14ac:dyDescent="0.4">
      <c r="A5" s="7" t="str">
        <f>+Dados!V5</f>
        <v>NOVA ROMA</v>
      </c>
      <c r="B5" s="7" t="str">
        <f>+Dados!G5</f>
        <v>CACS-FUNDEB</v>
      </c>
      <c r="C5" s="7">
        <f>+Dados!H5</f>
        <v>4</v>
      </c>
      <c r="D5" s="7">
        <f>+Dados!I5</f>
        <v>4</v>
      </c>
      <c r="E5" s="7">
        <f>+Dados!J5</f>
        <v>4</v>
      </c>
      <c r="F5" s="7">
        <f>+Dados!K5</f>
        <v>5</v>
      </c>
      <c r="G5" s="7">
        <f>+Dados!L5</f>
        <v>5</v>
      </c>
      <c r="H5" s="7">
        <f>+Dados!M5</f>
        <v>5</v>
      </c>
      <c r="I5" s="7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7" t="str">
        <f>+Dados!V6</f>
        <v>POSSE</v>
      </c>
      <c r="B6" s="7" t="str">
        <f>+Dados!G6</f>
        <v>CACS-FUNDEB</v>
      </c>
      <c r="C6" s="7">
        <f>+Dados!H6</f>
        <v>5</v>
      </c>
      <c r="D6" s="7">
        <f>+Dados!I6</f>
        <v>4</v>
      </c>
      <c r="E6" s="7">
        <f>+Dados!J6</f>
        <v>4</v>
      </c>
      <c r="F6" s="7">
        <f>+Dados!K6</f>
        <v>4</v>
      </c>
      <c r="G6" s="7">
        <f>+Dados!L6</f>
        <v>5</v>
      </c>
      <c r="H6" s="7">
        <f>+Dados!M6</f>
        <v>4</v>
      </c>
      <c r="I6" s="7">
        <f>+Dados!N6</f>
        <v>5</v>
      </c>
      <c r="M6" s="1" t="s">
        <v>32</v>
      </c>
      <c r="N6" s="9">
        <f>COUNTIF(C$2:C$71,$N3)/COUNT(C$2:C$71)</f>
        <v>0</v>
      </c>
      <c r="O6" s="9">
        <f t="shared" ref="O6:O12" si="1">COUNTIF(C$2:C$71,$O3)/COUNT(C$2:C$71)</f>
        <v>0</v>
      </c>
      <c r="P6" s="9">
        <f>COUNTIF(C$2:C$71,$P3)/COUNT(C$2:C$71)</f>
        <v>0</v>
      </c>
      <c r="Q6" s="9">
        <f>COUNTIF(C$2:C$71,$Q3)/COUNT(C$2:C$71)</f>
        <v>0.28000000000000003</v>
      </c>
      <c r="R6" s="9">
        <f>COUNTIF(C$2:C$71,$R3)/COUNT(C$2:C$71)</f>
        <v>0.72</v>
      </c>
    </row>
    <row r="7" spans="1:18" x14ac:dyDescent="0.4">
      <c r="A7" s="7" t="str">
        <f>+Dados!V7</f>
        <v>NOVA ROMA</v>
      </c>
      <c r="B7" s="7" t="str">
        <f>+Dados!G7</f>
        <v>CACS-FUNDEB</v>
      </c>
      <c r="C7" s="7">
        <f>+Dados!H7</f>
        <v>5</v>
      </c>
      <c r="D7" s="7">
        <f>+Dados!I7</f>
        <v>5</v>
      </c>
      <c r="E7" s="7">
        <f>+Dados!J7</f>
        <v>5</v>
      </c>
      <c r="F7" s="7">
        <f>+Dados!K7</f>
        <v>5</v>
      </c>
      <c r="G7" s="7">
        <f>+Dados!L7</f>
        <v>5</v>
      </c>
      <c r="H7" s="7">
        <f>+Dados!M7</f>
        <v>5</v>
      </c>
      <c r="I7" s="7">
        <f>+Dados!N7</f>
        <v>5</v>
      </c>
      <c r="M7" s="1" t="s">
        <v>33</v>
      </c>
      <c r="N7" s="9">
        <f>COUNTIF(D$2:D$71,$N3)/COUNT(D$2:D$71)</f>
        <v>0</v>
      </c>
      <c r="O7" s="9">
        <f t="shared" si="1"/>
        <v>0</v>
      </c>
      <c r="P7" s="9">
        <f>COUNTIF(D$2:D$71,$P3)/COUNT(D$2:D$71)</f>
        <v>0</v>
      </c>
      <c r="Q7" s="9">
        <f>COUNTIF(D$2:D$71,$Q3)/COUNT(D$2:D$71)</f>
        <v>0.56000000000000005</v>
      </c>
      <c r="R7" s="9">
        <f>COUNTIF(D$2:D$71,$R3)/COUNT(D$2:D$71)</f>
        <v>0.44</v>
      </c>
    </row>
    <row r="8" spans="1:18" x14ac:dyDescent="0.4">
      <c r="A8" s="7" t="str">
        <f>+Dados!V8</f>
        <v>IACIARA</v>
      </c>
      <c r="B8" s="7" t="str">
        <f>+Dados!G8</f>
        <v>CACS-FUNDEB</v>
      </c>
      <c r="C8" s="7">
        <f>+Dados!H8</f>
        <v>5</v>
      </c>
      <c r="D8" s="7">
        <f>+Dados!I8</f>
        <v>5</v>
      </c>
      <c r="E8" s="7">
        <f>+Dados!J8</f>
        <v>5</v>
      </c>
      <c r="F8" s="7">
        <f>+Dados!K8</f>
        <v>5</v>
      </c>
      <c r="G8" s="7">
        <f>+Dados!L8</f>
        <v>5</v>
      </c>
      <c r="H8" s="7">
        <f>+Dados!M8</f>
        <v>5</v>
      </c>
      <c r="I8" s="7">
        <f>+Dados!N8</f>
        <v>5</v>
      </c>
      <c r="M8" s="1" t="s">
        <v>34</v>
      </c>
      <c r="N8" s="9">
        <f>COUNTIF(E$2:E$71,$N3)/COUNT(E$2:E$71)</f>
        <v>0</v>
      </c>
      <c r="O8" s="9">
        <f t="shared" si="1"/>
        <v>0</v>
      </c>
      <c r="P8" s="9">
        <f>COUNTIF(E$2:E$71,$P3)/COUNT(E$2:E$71)</f>
        <v>0</v>
      </c>
      <c r="Q8" s="9">
        <f>COUNTIF(E$2:E$71,$Q3)/COUNT(E$2:E$71)</f>
        <v>0.4</v>
      </c>
      <c r="R8" s="9">
        <f>COUNTIF(E$2:E$71,$R3)/COUNT(E$2:E$71)</f>
        <v>0.6</v>
      </c>
    </row>
    <row r="9" spans="1:18" x14ac:dyDescent="0.4">
      <c r="A9" s="7" t="str">
        <f>+Dados!V9</f>
        <v>MAMBAÍ</v>
      </c>
      <c r="B9" s="7" t="str">
        <f>+Dados!G9</f>
        <v>CACS-FUNDEB</v>
      </c>
      <c r="C9" s="7">
        <f>+Dados!H9</f>
        <v>5</v>
      </c>
      <c r="D9" s="7">
        <f>+Dados!I9</f>
        <v>5</v>
      </c>
      <c r="E9" s="7">
        <f>+Dados!J9</f>
        <v>5</v>
      </c>
      <c r="F9" s="7">
        <f>+Dados!K9</f>
        <v>5</v>
      </c>
      <c r="G9" s="7">
        <f>+Dados!L9</f>
        <v>5</v>
      </c>
      <c r="H9" s="7">
        <f>+Dados!M9</f>
        <v>5</v>
      </c>
      <c r="I9" s="7">
        <f>+Dados!N9</f>
        <v>5</v>
      </c>
      <c r="M9" s="1" t="s">
        <v>35</v>
      </c>
      <c r="N9" s="9">
        <f>COUNTIF(F$2:F$71,$N3)/COUNT(F$2:F$71)</f>
        <v>0</v>
      </c>
      <c r="O9" s="9">
        <f t="shared" si="1"/>
        <v>0</v>
      </c>
      <c r="P9" s="9">
        <f>COUNTIF(F$2:F$71,$P3)/COUNT(F$2:F$71)</f>
        <v>0</v>
      </c>
      <c r="Q9" s="9">
        <f>COUNTIF(F$2:F$71,$Q3)/COUNT(F$2:F$71)</f>
        <v>0.28000000000000003</v>
      </c>
      <c r="R9" s="9">
        <f>COUNTIF(F$2:F$71,$R3)/COUNT(F$2:F$71)</f>
        <v>0.72</v>
      </c>
    </row>
    <row r="10" spans="1:18" x14ac:dyDescent="0.4">
      <c r="A10" s="7" t="str">
        <f>+Dados!V10</f>
        <v>CAVALCANTE</v>
      </c>
      <c r="B10" s="7" t="str">
        <f>+Dados!G10</f>
        <v>CACS-FUNDEB</v>
      </c>
      <c r="C10" s="7">
        <f>+Dados!H10</f>
        <v>5</v>
      </c>
      <c r="D10" s="7">
        <f>+Dados!I10</f>
        <v>5</v>
      </c>
      <c r="E10" s="7">
        <f>+Dados!J10</f>
        <v>5</v>
      </c>
      <c r="F10" s="7">
        <f>+Dados!K10</f>
        <v>5</v>
      </c>
      <c r="G10" s="7">
        <f>+Dados!L10</f>
        <v>4</v>
      </c>
      <c r="H10" s="7">
        <f>+Dados!M10</f>
        <v>5</v>
      </c>
      <c r="I10" s="7">
        <f>+Dados!N10</f>
        <v>5</v>
      </c>
      <c r="M10" s="1" t="s">
        <v>36</v>
      </c>
      <c r="N10" s="9">
        <f>COUNTIF(G$2:G$71,$N3)/COUNT(G$2:G$71)</f>
        <v>0</v>
      </c>
      <c r="O10" s="9">
        <f t="shared" si="1"/>
        <v>0</v>
      </c>
      <c r="P10" s="9">
        <f>COUNTIF(G$2:G$71,$P3)/COUNT(G$2:G$71)</f>
        <v>0</v>
      </c>
      <c r="Q10" s="9">
        <f>COUNTIF(G$2:G$71,$Q3)/COUNT(G$2:G$71)</f>
        <v>0.28000000000000003</v>
      </c>
      <c r="R10" s="9">
        <f>COUNTIF(G$2:G$71,$R3)/COUNT(G$2:G$71)</f>
        <v>0.64</v>
      </c>
    </row>
    <row r="11" spans="1:18" x14ac:dyDescent="0.4">
      <c r="A11" s="7" t="str">
        <f>+Dados!V11</f>
        <v>FLORES DE GOIÁS</v>
      </c>
      <c r="B11" s="7" t="str">
        <f>+Dados!G11</f>
        <v>Gestão municipal</v>
      </c>
      <c r="C11" s="7">
        <f>+Dados!H11</f>
        <v>4</v>
      </c>
      <c r="D11" s="7">
        <f>+Dados!I11</f>
        <v>4</v>
      </c>
      <c r="E11" s="7">
        <f>+Dados!J11</f>
        <v>4</v>
      </c>
      <c r="F11" s="7">
        <f>+Dados!K11</f>
        <v>4</v>
      </c>
      <c r="G11" s="7">
        <f>+Dados!L11</f>
        <v>2</v>
      </c>
      <c r="H11" s="7">
        <f>+Dados!M11</f>
        <v>4</v>
      </c>
      <c r="I11" s="7">
        <f>+Dados!N11</f>
        <v>4</v>
      </c>
      <c r="M11" s="1" t="s">
        <v>37</v>
      </c>
      <c r="N11" s="9">
        <f>COUNTIF(H$2:H$71,$N3)/COUNT(H$2:H$71)</f>
        <v>0</v>
      </c>
      <c r="O11" s="9">
        <f t="shared" si="1"/>
        <v>0</v>
      </c>
      <c r="P11" s="9">
        <f>COUNTIF(H$2:H$71,$P3)/COUNT(H$2:H$71)</f>
        <v>0.04</v>
      </c>
      <c r="Q11" s="9">
        <f>COUNTIF(H$2:H$71,$Q3)/COUNT(H$2:H$71)</f>
        <v>0.32</v>
      </c>
      <c r="R11" s="9">
        <f>COUNTIF(H$2:H$71,$R3)/COUNT(H$2:H$71)</f>
        <v>0.64</v>
      </c>
    </row>
    <row r="12" spans="1:18" x14ac:dyDescent="0.4">
      <c r="A12" s="7" t="str">
        <f>+Dados!V12</f>
        <v>VILA BOA</v>
      </c>
      <c r="B12" s="7" t="str">
        <f>+Dados!G12</f>
        <v>Gestão municipal</v>
      </c>
      <c r="C12" s="7">
        <f>+Dados!H12</f>
        <v>5</v>
      </c>
      <c r="D12" s="7">
        <f>+Dados!I12</f>
        <v>5</v>
      </c>
      <c r="E12" s="7">
        <f>+Dados!J12</f>
        <v>5</v>
      </c>
      <c r="F12" s="7">
        <f>+Dados!K12</f>
        <v>5</v>
      </c>
      <c r="G12" s="7">
        <f>+Dados!L12</f>
        <v>5</v>
      </c>
      <c r="H12" s="7">
        <f>+Dados!M12</f>
        <v>5</v>
      </c>
      <c r="I12" s="7">
        <f>+Dados!N12</f>
        <v>5</v>
      </c>
      <c r="M12" s="1" t="s">
        <v>38</v>
      </c>
      <c r="N12" s="9">
        <f>COUNTIF(I$2:I$71,$N3)/COUNT(I$2:I$71)</f>
        <v>0</v>
      </c>
      <c r="O12" s="9">
        <f t="shared" si="1"/>
        <v>0</v>
      </c>
      <c r="P12" s="9">
        <f>COUNTIF(I$2:I$71,$P3)/COUNT(I$2:I$71)</f>
        <v>0</v>
      </c>
      <c r="Q12" s="9">
        <f>COUNTIF(I$2:I$71,$Q3)/COUNT(I$2:I$71)</f>
        <v>0.28000000000000003</v>
      </c>
      <c r="R12" s="9">
        <f>COUNTIF(I$2:I$71,$R3)/COUNT(I$2:I$71)</f>
        <v>0.72</v>
      </c>
    </row>
    <row r="13" spans="1:18" x14ac:dyDescent="0.4">
      <c r="A13" s="7" t="str">
        <f>+Dados!V13</f>
        <v>GUARANI DE GOIÁS</v>
      </c>
      <c r="B13" s="7" t="str">
        <f>+Dados!G13</f>
        <v>Gestão municipal</v>
      </c>
      <c r="C13" s="7">
        <f>+Dados!H13</f>
        <v>5</v>
      </c>
      <c r="D13" s="7">
        <f>+Dados!I13</f>
        <v>4</v>
      </c>
      <c r="E13" s="7">
        <f>+Dados!J13</f>
        <v>4</v>
      </c>
      <c r="F13" s="7">
        <f>+Dados!K13</f>
        <v>5</v>
      </c>
      <c r="G13" s="7">
        <f>+Dados!L13</f>
        <v>5</v>
      </c>
      <c r="H13" s="7">
        <f>+Dados!M13</f>
        <v>5</v>
      </c>
      <c r="I13" s="7">
        <f>+Dados!N13</f>
        <v>5</v>
      </c>
    </row>
    <row r="14" spans="1:18" x14ac:dyDescent="0.4">
      <c r="A14" s="7" t="str">
        <f>+Dados!V14</f>
        <v>IACIARA</v>
      </c>
      <c r="B14" s="7" t="str">
        <f>+Dados!G14</f>
        <v>Gestão municipal</v>
      </c>
      <c r="C14" s="7">
        <f>+Dados!H14</f>
        <v>5</v>
      </c>
      <c r="D14" s="7">
        <f>+Dados!I14</f>
        <v>5</v>
      </c>
      <c r="E14" s="7">
        <f>+Dados!J14</f>
        <v>5</v>
      </c>
      <c r="F14" s="7">
        <f>+Dados!K14</f>
        <v>5</v>
      </c>
      <c r="G14" s="7">
        <f>+Dados!L14</f>
        <v>5</v>
      </c>
      <c r="H14" s="7">
        <f>+Dados!M14</f>
        <v>5</v>
      </c>
      <c r="I14" s="7">
        <f>+Dados!N14</f>
        <v>5</v>
      </c>
    </row>
    <row r="15" spans="1:18" x14ac:dyDescent="0.4">
      <c r="A15" s="7" t="str">
        <f>+Dados!V15</f>
        <v>MAMBAÍ</v>
      </c>
      <c r="B15" s="7" t="str">
        <f>+Dados!G15</f>
        <v>Gestão municipal</v>
      </c>
      <c r="C15" s="7">
        <f>+Dados!H15</f>
        <v>5</v>
      </c>
      <c r="D15" s="7">
        <f>+Dados!I15</f>
        <v>5</v>
      </c>
      <c r="E15" s="7">
        <f>+Dados!J15</f>
        <v>5</v>
      </c>
      <c r="F15" s="7">
        <f>+Dados!K15</f>
        <v>5</v>
      </c>
      <c r="G15" s="7">
        <f>+Dados!L15</f>
        <v>5</v>
      </c>
      <c r="H15" s="7">
        <f>+Dados!M15</f>
        <v>5</v>
      </c>
      <c r="I15" s="7">
        <f>+Dados!N15</f>
        <v>5</v>
      </c>
    </row>
    <row r="16" spans="1:18" x14ac:dyDescent="0.4">
      <c r="A16" s="7" t="str">
        <f>+Dados!V16</f>
        <v>MAMBAÍ</v>
      </c>
      <c r="B16" s="7" t="str">
        <f>+Dados!G16</f>
        <v>Gestão municipal</v>
      </c>
      <c r="C16" s="7">
        <f>+Dados!H16</f>
        <v>4</v>
      </c>
      <c r="D16" s="7">
        <f>+Dados!I16</f>
        <v>4</v>
      </c>
      <c r="E16" s="7">
        <f>+Dados!J16</f>
        <v>4</v>
      </c>
      <c r="F16" s="7">
        <f>+Dados!K16</f>
        <v>4</v>
      </c>
      <c r="G16" s="7">
        <f>+Dados!L16</f>
        <v>4</v>
      </c>
      <c r="H16" s="7">
        <f>+Dados!M16</f>
        <v>4</v>
      </c>
      <c r="I16" s="7">
        <f>+Dados!N16</f>
        <v>4</v>
      </c>
    </row>
    <row r="17" spans="1:9" x14ac:dyDescent="0.4">
      <c r="A17" s="7" t="str">
        <f>+Dados!V17</f>
        <v>NOVA ROMA</v>
      </c>
      <c r="B17" s="7" t="str">
        <f>+Dados!G17</f>
        <v>Gestão municipal</v>
      </c>
      <c r="C17" s="7">
        <f>+Dados!H17</f>
        <v>5</v>
      </c>
      <c r="D17" s="7">
        <f>+Dados!I17</f>
        <v>4</v>
      </c>
      <c r="E17" s="7">
        <f>+Dados!J17</f>
        <v>5</v>
      </c>
      <c r="F17" s="7">
        <f>+Dados!K17</f>
        <v>5</v>
      </c>
      <c r="G17" s="7">
        <f>+Dados!L17</f>
        <v>5</v>
      </c>
      <c r="H17" s="7">
        <f>+Dados!M17</f>
        <v>4</v>
      </c>
      <c r="I17" s="7">
        <f>+Dados!N17</f>
        <v>5</v>
      </c>
    </row>
    <row r="18" spans="1:9" x14ac:dyDescent="0.4">
      <c r="A18" s="7" t="str">
        <f>+Dados!V18</f>
        <v>FLORES DE GOIÁS</v>
      </c>
      <c r="B18" s="7" t="str">
        <f>+Dados!G18</f>
        <v>Gestão municipal</v>
      </c>
      <c r="C18" s="7">
        <f>+Dados!H18</f>
        <v>5</v>
      </c>
      <c r="D18" s="7">
        <f>+Dados!I18</f>
        <v>4</v>
      </c>
      <c r="E18" s="7">
        <f>+Dados!J18</f>
        <v>5</v>
      </c>
      <c r="F18" s="7">
        <f>+Dados!K18</f>
        <v>5</v>
      </c>
      <c r="G18" s="7">
        <f>+Dados!L18</f>
        <v>5</v>
      </c>
      <c r="H18" s="7">
        <f>+Dados!M18</f>
        <v>5</v>
      </c>
      <c r="I18" s="7">
        <f>+Dados!N18</f>
        <v>5</v>
      </c>
    </row>
    <row r="19" spans="1:9" x14ac:dyDescent="0.4">
      <c r="A19" s="7" t="str">
        <f>+Dados!V19</f>
        <v>VILA BOA</v>
      </c>
      <c r="B19" s="7" t="str">
        <f>+Dados!G19</f>
        <v>Gestão municipal</v>
      </c>
      <c r="C19" s="7">
        <f>+Dados!H19</f>
        <v>5</v>
      </c>
      <c r="D19" s="7">
        <f>+Dados!I19</f>
        <v>4</v>
      </c>
      <c r="E19" s="7">
        <f>+Dados!J19</f>
        <v>5</v>
      </c>
      <c r="F19" s="7">
        <f>+Dados!K19</f>
        <v>5</v>
      </c>
      <c r="G19" s="7">
        <f>+Dados!L19</f>
        <v>5</v>
      </c>
      <c r="H19" s="7">
        <f>+Dados!M19</f>
        <v>5</v>
      </c>
      <c r="I19" s="7">
        <f>+Dados!N19</f>
        <v>5</v>
      </c>
    </row>
    <row r="20" spans="1:9" x14ac:dyDescent="0.4">
      <c r="A20" s="7" t="str">
        <f>+Dados!V20</f>
        <v>IACIARA</v>
      </c>
      <c r="B20" s="7" t="str">
        <f>+Dados!G20</f>
        <v>Gestão municipal</v>
      </c>
      <c r="C20" s="7">
        <f>+Dados!H20</f>
        <v>4</v>
      </c>
      <c r="D20" s="7">
        <f>+Dados!I20</f>
        <v>4</v>
      </c>
      <c r="E20" s="7">
        <f>+Dados!J20</f>
        <v>4</v>
      </c>
      <c r="F20" s="7">
        <f>+Dados!K20</f>
        <v>4</v>
      </c>
      <c r="G20" s="7">
        <f>+Dados!L20</f>
        <v>4</v>
      </c>
      <c r="H20" s="7">
        <f>+Dados!M20</f>
        <v>4</v>
      </c>
      <c r="I20" s="7">
        <f>+Dados!N20</f>
        <v>4</v>
      </c>
    </row>
    <row r="21" spans="1:9" x14ac:dyDescent="0.4">
      <c r="A21" s="7" t="str">
        <f>+Dados!V21</f>
        <v>NOVA ROMA</v>
      </c>
      <c r="B21" s="7" t="str">
        <f>+Dados!G21</f>
        <v>Gestão municipal</v>
      </c>
      <c r="C21" s="7">
        <f>+Dados!H21</f>
        <v>4</v>
      </c>
      <c r="D21" s="7">
        <f>+Dados!I21</f>
        <v>4</v>
      </c>
      <c r="E21" s="7">
        <f>+Dados!J21</f>
        <v>4</v>
      </c>
      <c r="F21" s="7">
        <f>+Dados!K21</f>
        <v>4</v>
      </c>
      <c r="G21" s="7">
        <f>+Dados!L21</f>
        <v>4</v>
      </c>
      <c r="H21" s="7">
        <f>+Dados!M21</f>
        <v>4</v>
      </c>
      <c r="I21" s="7">
        <f>+Dados!N21</f>
        <v>4</v>
      </c>
    </row>
    <row r="22" spans="1:9" x14ac:dyDescent="0.4">
      <c r="A22" s="7" t="str">
        <f>+Dados!V22</f>
        <v>GUARANI DE GOIÁS</v>
      </c>
      <c r="B22" s="7" t="str">
        <f>+Dados!G22</f>
        <v>Gestão municipal</v>
      </c>
      <c r="C22" s="7">
        <f>+Dados!H22</f>
        <v>4</v>
      </c>
      <c r="D22" s="7">
        <f>+Dados!I22</f>
        <v>4</v>
      </c>
      <c r="E22" s="7">
        <f>+Dados!J22</f>
        <v>4</v>
      </c>
      <c r="F22" s="7">
        <f>+Dados!K22</f>
        <v>4</v>
      </c>
      <c r="G22" s="7">
        <f>+Dados!L22</f>
        <v>4</v>
      </c>
      <c r="H22" s="7">
        <f>+Dados!M22</f>
        <v>4</v>
      </c>
      <c r="I22" s="7">
        <f>+Dados!N22</f>
        <v>4</v>
      </c>
    </row>
    <row r="23" spans="1:9" x14ac:dyDescent="0.4">
      <c r="A23" s="7" t="str">
        <f>+Dados!V23</f>
        <v>SÍTIO D'ABADIA</v>
      </c>
      <c r="B23" s="7" t="str">
        <f>+Dados!G23</f>
        <v>Gestão municipal</v>
      </c>
      <c r="C23" s="7">
        <f>+Dados!H23</f>
        <v>5</v>
      </c>
      <c r="D23" s="7">
        <f>+Dados!I23</f>
        <v>4</v>
      </c>
      <c r="E23" s="7">
        <f>+Dados!J23</f>
        <v>4</v>
      </c>
      <c r="F23" s="7">
        <f>+Dados!K23</f>
        <v>5</v>
      </c>
      <c r="G23" s="7">
        <f>+Dados!L23</f>
        <v>4</v>
      </c>
      <c r="H23" s="7">
        <f>+Dados!M23</f>
        <v>5</v>
      </c>
      <c r="I23" s="7">
        <f>+Dados!N23</f>
        <v>5</v>
      </c>
    </row>
    <row r="24" spans="1:9" x14ac:dyDescent="0.4">
      <c r="A24" s="7" t="str">
        <f>+Dados!V24</f>
        <v>CAVALCANTE</v>
      </c>
      <c r="B24" s="7" t="str">
        <f>+Dados!G24</f>
        <v>Gestão municipal</v>
      </c>
      <c r="C24" s="7">
        <f>+Dados!H24</f>
        <v>5</v>
      </c>
      <c r="D24" s="7">
        <f>+Dados!I24</f>
        <v>5</v>
      </c>
      <c r="E24" s="7">
        <f>+Dados!J24</f>
        <v>5</v>
      </c>
      <c r="F24" s="7">
        <f>+Dados!K24</f>
        <v>5</v>
      </c>
      <c r="G24" s="7">
        <f>+Dados!L24</f>
        <v>5</v>
      </c>
      <c r="H24" s="7">
        <f>+Dados!M24</f>
        <v>5</v>
      </c>
      <c r="I24" s="7">
        <f>+Dados!N24</f>
        <v>5</v>
      </c>
    </row>
    <row r="25" spans="1:9" x14ac:dyDescent="0.4">
      <c r="A25" s="7" t="str">
        <f>+Dados!V25</f>
        <v>POSSE</v>
      </c>
      <c r="B25" s="7" t="str">
        <f>+Dados!G25</f>
        <v>Gestão municipal</v>
      </c>
      <c r="C25" s="7">
        <f>+Dados!H25</f>
        <v>5</v>
      </c>
      <c r="D25" s="7">
        <f>+Dados!I25</f>
        <v>5</v>
      </c>
      <c r="E25" s="7">
        <f>+Dados!J25</f>
        <v>5</v>
      </c>
      <c r="F25" s="7">
        <f>+Dados!K25</f>
        <v>5</v>
      </c>
      <c r="G25" s="7">
        <f>+Dados!L25</f>
        <v>5</v>
      </c>
      <c r="H25" s="7">
        <f>+Dados!M25</f>
        <v>5</v>
      </c>
      <c r="I25" s="7">
        <f>+Dados!N25</f>
        <v>5</v>
      </c>
    </row>
    <row r="26" spans="1:9" x14ac:dyDescent="0.4">
      <c r="A26" s="7" t="str">
        <f>+Dados!V26</f>
        <v>FLORES DE GOIÁS</v>
      </c>
      <c r="B26" s="7" t="str">
        <f>+Dados!G26</f>
        <v>Gestão municipal</v>
      </c>
      <c r="C26" s="7">
        <f>+Dados!H26</f>
        <v>5</v>
      </c>
      <c r="D26" s="7">
        <f>+Dados!I26</f>
        <v>5</v>
      </c>
      <c r="E26" s="7">
        <f>+Dados!J26</f>
        <v>5</v>
      </c>
      <c r="F26" s="7">
        <f>+Dados!K26</f>
        <v>5</v>
      </c>
      <c r="G26" s="7">
        <f>+Dados!L26</f>
        <v>5</v>
      </c>
      <c r="H26" s="7">
        <f>+Dados!M26</f>
        <v>5</v>
      </c>
      <c r="I26" s="7">
        <f>+Dados!N26</f>
        <v>5</v>
      </c>
    </row>
    <row r="27" spans="1:9" x14ac:dyDescent="0.4">
      <c r="C27" s="7"/>
      <c r="D27" s="7"/>
      <c r="E27" s="7"/>
      <c r="F27" s="7"/>
      <c r="G27" s="7"/>
      <c r="H27" s="7"/>
      <c r="I27" s="7"/>
    </row>
    <row r="28" spans="1:9" x14ac:dyDescent="0.4">
      <c r="C28" s="7"/>
      <c r="D28" s="7"/>
      <c r="E28" s="7"/>
      <c r="F28" s="7"/>
      <c r="G28" s="7"/>
      <c r="H28" s="7"/>
      <c r="I28" s="7"/>
    </row>
    <row r="29" spans="1:9" x14ac:dyDescent="0.4">
      <c r="C29" s="7"/>
      <c r="D29" s="7"/>
      <c r="E29" s="7"/>
      <c r="F29" s="7"/>
      <c r="G29" s="7"/>
      <c r="H29" s="7"/>
      <c r="I29" s="7"/>
    </row>
    <row r="30" spans="1:9" x14ac:dyDescent="0.4">
      <c r="C30" s="7"/>
      <c r="D30" s="7"/>
      <c r="E30" s="7"/>
      <c r="F30" s="7"/>
      <c r="G30" s="7"/>
      <c r="H30" s="7"/>
      <c r="I30" s="7"/>
    </row>
    <row r="31" spans="1:9" x14ac:dyDescent="0.4">
      <c r="C31" s="7"/>
      <c r="D31" s="7"/>
      <c r="E31" s="7"/>
      <c r="F31" s="7"/>
      <c r="G31" s="7"/>
      <c r="H31" s="7"/>
      <c r="I31" s="7"/>
    </row>
    <row r="32" spans="1:9" x14ac:dyDescent="0.4">
      <c r="C32" s="7"/>
      <c r="D32" s="7"/>
      <c r="E32" s="7"/>
      <c r="F32" s="7"/>
      <c r="G32" s="7"/>
      <c r="H32" s="7"/>
      <c r="I32" s="7"/>
    </row>
    <row r="33" spans="3:9" x14ac:dyDescent="0.4">
      <c r="C33" s="7"/>
      <c r="D33" s="7"/>
      <c r="E33" s="7"/>
      <c r="F33" s="7"/>
      <c r="G33" s="7"/>
      <c r="H33" s="7"/>
      <c r="I33" s="7"/>
    </row>
    <row r="34" spans="3:9" x14ac:dyDescent="0.4">
      <c r="C34" s="7"/>
      <c r="D34" s="7"/>
      <c r="E34" s="7"/>
      <c r="F34" s="7"/>
      <c r="G34" s="7"/>
      <c r="H34" s="7"/>
      <c r="I34" s="7"/>
    </row>
    <row r="35" spans="3:9" x14ac:dyDescent="0.4">
      <c r="C35" s="7"/>
      <c r="D35" s="7"/>
      <c r="E35" s="7"/>
      <c r="F35" s="7"/>
      <c r="G35" s="7"/>
      <c r="H35" s="7"/>
      <c r="I35" s="7"/>
    </row>
    <row r="36" spans="3:9" x14ac:dyDescent="0.4">
      <c r="C36" s="7"/>
      <c r="D36" s="7"/>
      <c r="E36" s="7"/>
      <c r="F36" s="7"/>
      <c r="G36" s="7"/>
      <c r="H36" s="7"/>
      <c r="I36" s="7"/>
    </row>
    <row r="37" spans="3:9" x14ac:dyDescent="0.4">
      <c r="C37" s="7"/>
      <c r="D37" s="7"/>
      <c r="E37" s="7"/>
      <c r="F37" s="7"/>
      <c r="G37" s="7"/>
      <c r="H37" s="7"/>
      <c r="I37" s="7"/>
    </row>
    <row r="38" spans="3:9" x14ac:dyDescent="0.4">
      <c r="C38" s="7"/>
      <c r="D38" s="7"/>
      <c r="E38" s="7"/>
      <c r="F38" s="7"/>
      <c r="G38" s="7"/>
      <c r="H38" s="7"/>
      <c r="I38" s="7"/>
    </row>
    <row r="39" spans="3:9" x14ac:dyDescent="0.4">
      <c r="C39" s="7"/>
      <c r="D39" s="7"/>
      <c r="E39" s="7"/>
      <c r="F39" s="7"/>
      <c r="G39" s="7"/>
      <c r="H39" s="7"/>
      <c r="I39" s="7"/>
    </row>
    <row r="40" spans="3:9" x14ac:dyDescent="0.4">
      <c r="C40" s="7"/>
      <c r="D40" s="7"/>
      <c r="E40" s="7"/>
      <c r="F40" s="7"/>
      <c r="G40" s="7"/>
      <c r="H40" s="7"/>
      <c r="I40" s="7"/>
    </row>
    <row r="41" spans="3:9" x14ac:dyDescent="0.4">
      <c r="C41" s="7"/>
      <c r="D41" s="7"/>
      <c r="E41" s="7"/>
      <c r="F41" s="7"/>
      <c r="G41" s="7"/>
      <c r="H41" s="7"/>
      <c r="I41" s="7"/>
    </row>
    <row r="42" spans="3:9" x14ac:dyDescent="0.4">
      <c r="C42" s="7"/>
      <c r="D42" s="7"/>
      <c r="E42" s="7"/>
      <c r="F42" s="7"/>
      <c r="G42" s="7"/>
      <c r="H42" s="7"/>
      <c r="I42" s="7"/>
    </row>
    <row r="43" spans="3:9" x14ac:dyDescent="0.4">
      <c r="C43" s="7"/>
      <c r="D43" s="7"/>
      <c r="E43" s="7"/>
      <c r="F43" s="7"/>
      <c r="G43" s="7"/>
      <c r="H43" s="7"/>
      <c r="I43" s="7"/>
    </row>
    <row r="44" spans="3:9" x14ac:dyDescent="0.4">
      <c r="C44" s="7"/>
      <c r="D44" s="7"/>
      <c r="E44" s="7"/>
      <c r="F44" s="7"/>
      <c r="G44" s="7"/>
      <c r="H44" s="7"/>
      <c r="I44" s="7"/>
    </row>
    <row r="45" spans="3:9" x14ac:dyDescent="0.4">
      <c r="C45" s="7"/>
      <c r="D45" s="7"/>
      <c r="E45" s="7"/>
      <c r="F45" s="7"/>
      <c r="G45" s="7"/>
      <c r="H45" s="7"/>
      <c r="I45" s="7"/>
    </row>
    <row r="46" spans="3:9" x14ac:dyDescent="0.4">
      <c r="C46" s="7"/>
      <c r="D46" s="7"/>
      <c r="E46" s="7"/>
      <c r="F46" s="7"/>
      <c r="G46" s="7"/>
      <c r="H46" s="7"/>
      <c r="I46" s="7"/>
    </row>
    <row r="47" spans="3:9" x14ac:dyDescent="0.4">
      <c r="C47" s="7"/>
      <c r="D47" s="7"/>
      <c r="E47" s="7"/>
      <c r="F47" s="7"/>
      <c r="G47" s="7"/>
      <c r="H47" s="7"/>
      <c r="I47" s="7"/>
    </row>
    <row r="48" spans="3:9" x14ac:dyDescent="0.4">
      <c r="C48" s="7"/>
      <c r="D48" s="7"/>
      <c r="E48" s="7"/>
      <c r="F48" s="7"/>
      <c r="G48" s="7"/>
      <c r="H48" s="7"/>
      <c r="I48" s="7"/>
    </row>
    <row r="49" spans="3:9" x14ac:dyDescent="0.4">
      <c r="C49" s="7"/>
      <c r="D49" s="7"/>
      <c r="E49" s="7"/>
      <c r="F49" s="7"/>
      <c r="G49" s="7"/>
      <c r="H49" s="7"/>
      <c r="I49" s="7"/>
    </row>
    <row r="50" spans="3:9" x14ac:dyDescent="0.4">
      <c r="C50" s="7"/>
      <c r="D50" s="7"/>
      <c r="E50" s="7"/>
      <c r="F50" s="7"/>
      <c r="G50" s="7"/>
      <c r="H50" s="7"/>
      <c r="I50" s="7"/>
    </row>
    <row r="51" spans="3:9" x14ac:dyDescent="0.4">
      <c r="C51" s="7"/>
      <c r="D51" s="7"/>
      <c r="E51" s="7"/>
      <c r="F51" s="7"/>
      <c r="G51" s="7"/>
      <c r="H51" s="7"/>
      <c r="I51" s="7"/>
    </row>
    <row r="52" spans="3:9" x14ac:dyDescent="0.4">
      <c r="C52" s="7"/>
      <c r="D52" s="7"/>
      <c r="E52" s="7"/>
      <c r="F52" s="7"/>
      <c r="G52" s="7"/>
      <c r="H52" s="7"/>
      <c r="I52" s="7"/>
    </row>
    <row r="53" spans="3:9" x14ac:dyDescent="0.4">
      <c r="C53" s="7"/>
      <c r="D53" s="7"/>
      <c r="E53" s="7"/>
      <c r="F53" s="7"/>
      <c r="G53" s="7"/>
      <c r="H53" s="7"/>
      <c r="I53" s="7"/>
    </row>
    <row r="54" spans="3:9" x14ac:dyDescent="0.4">
      <c r="C54" s="7"/>
      <c r="D54" s="7"/>
      <c r="E54" s="7"/>
      <c r="F54" s="7"/>
      <c r="G54" s="7"/>
      <c r="H54" s="7"/>
      <c r="I54" s="7"/>
    </row>
    <row r="55" spans="3:9" x14ac:dyDescent="0.4">
      <c r="C55" s="7"/>
      <c r="D55" s="7"/>
      <c r="E55" s="7"/>
      <c r="F55" s="7"/>
      <c r="G55" s="7"/>
      <c r="H55" s="7"/>
      <c r="I55" s="7"/>
    </row>
    <row r="56" spans="3:9" x14ac:dyDescent="0.4">
      <c r="C56" s="7"/>
      <c r="D56" s="7"/>
      <c r="E56" s="7"/>
      <c r="F56" s="7"/>
      <c r="G56" s="7"/>
      <c r="H56" s="7"/>
      <c r="I56" s="7"/>
    </row>
    <row r="57" spans="3:9" x14ac:dyDescent="0.4">
      <c r="C57" s="7"/>
      <c r="D57" s="7"/>
      <c r="E57" s="7"/>
      <c r="F57" s="7"/>
      <c r="G57" s="7"/>
      <c r="H57" s="7"/>
      <c r="I57" s="7"/>
    </row>
    <row r="58" spans="3:9" x14ac:dyDescent="0.4">
      <c r="C58" s="7"/>
      <c r="D58" s="7"/>
      <c r="E58" s="7"/>
      <c r="F58" s="7"/>
      <c r="G58" s="7"/>
      <c r="H58" s="7"/>
      <c r="I58" s="7"/>
    </row>
    <row r="59" spans="3:9" x14ac:dyDescent="0.4">
      <c r="C59" s="7"/>
      <c r="D59" s="7"/>
      <c r="E59" s="7"/>
      <c r="F59" s="7"/>
      <c r="G59" s="7"/>
      <c r="H59" s="7"/>
      <c r="I59" s="7"/>
    </row>
    <row r="60" spans="3:9" x14ac:dyDescent="0.4">
      <c r="C60" s="7"/>
      <c r="D60" s="7"/>
      <c r="E60" s="7"/>
      <c r="F60" s="7"/>
      <c r="G60" s="7"/>
      <c r="H60" s="7"/>
      <c r="I60" s="7"/>
    </row>
    <row r="61" spans="3:9" x14ac:dyDescent="0.4">
      <c r="C61" s="7"/>
      <c r="D61" s="7"/>
      <c r="E61" s="7"/>
      <c r="F61" s="7"/>
      <c r="G61" s="7"/>
      <c r="H61" s="7"/>
      <c r="I61" s="7"/>
    </row>
    <row r="62" spans="3:9" x14ac:dyDescent="0.4">
      <c r="C62" s="7"/>
      <c r="D62" s="7"/>
      <c r="E62" s="7"/>
      <c r="F62" s="7"/>
      <c r="G62" s="7"/>
      <c r="H62" s="7"/>
      <c r="I62" s="7"/>
    </row>
    <row r="63" spans="3:9" x14ac:dyDescent="0.4">
      <c r="C63" s="7"/>
      <c r="D63" s="7"/>
      <c r="E63" s="7"/>
      <c r="F63" s="7"/>
      <c r="G63" s="7"/>
      <c r="H63" s="7"/>
      <c r="I63" s="7"/>
    </row>
    <row r="64" spans="3:9" x14ac:dyDescent="0.4">
      <c r="C64" s="7"/>
      <c r="D64" s="7"/>
      <c r="E64" s="7"/>
      <c r="F64" s="7"/>
      <c r="G64" s="7"/>
      <c r="H64" s="7"/>
      <c r="I64" s="7"/>
    </row>
    <row r="65" spans="3:9" x14ac:dyDescent="0.4">
      <c r="C65" s="7"/>
      <c r="D65" s="7"/>
      <c r="E65" s="7"/>
      <c r="F65" s="7"/>
      <c r="G65" s="7"/>
      <c r="H65" s="7"/>
      <c r="I65" s="7"/>
    </row>
    <row r="66" spans="3:9" x14ac:dyDescent="0.4">
      <c r="C66" s="7"/>
      <c r="D66" s="7"/>
      <c r="E66" s="7"/>
      <c r="F66" s="7"/>
      <c r="G66" s="7"/>
      <c r="H66" s="7"/>
      <c r="I66" s="7"/>
    </row>
    <row r="67" spans="3:9" x14ac:dyDescent="0.4">
      <c r="C67" s="7"/>
      <c r="D67" s="7"/>
      <c r="E67" s="7"/>
      <c r="F67" s="7"/>
      <c r="G67" s="7"/>
      <c r="H67" s="7"/>
      <c r="I67" s="7"/>
    </row>
    <row r="68" spans="3:9" x14ac:dyDescent="0.4">
      <c r="C68" s="7"/>
      <c r="D68" s="7"/>
      <c r="E68" s="7"/>
      <c r="F68" s="7"/>
      <c r="G68" s="7"/>
      <c r="H68" s="7"/>
      <c r="I68" s="7"/>
    </row>
    <row r="69" spans="3:9" x14ac:dyDescent="0.4">
      <c r="C69" s="7"/>
      <c r="D69" s="7"/>
      <c r="E69" s="7"/>
      <c r="F69" s="7"/>
      <c r="G69" s="7"/>
      <c r="H69" s="7"/>
      <c r="I69" s="7"/>
    </row>
    <row r="70" spans="3:9" x14ac:dyDescent="0.4">
      <c r="C70" s="7"/>
      <c r="D70" s="7"/>
      <c r="E70" s="7"/>
      <c r="F70" s="7"/>
      <c r="G70" s="7"/>
      <c r="H70" s="7"/>
      <c r="I70" s="7"/>
    </row>
    <row r="71" spans="3:9" x14ac:dyDescent="0.4">
      <c r="C71" s="7"/>
      <c r="D71" s="7"/>
      <c r="E71" s="7"/>
      <c r="F71" s="7"/>
      <c r="G71" s="7"/>
      <c r="H71" s="7"/>
      <c r="I71" s="7"/>
    </row>
    <row r="72" spans="3:9" x14ac:dyDescent="0.4">
      <c r="C72" s="7"/>
      <c r="D72" s="7"/>
      <c r="E72" s="7"/>
      <c r="F72" s="7"/>
      <c r="G72" s="7"/>
      <c r="H72" s="7"/>
      <c r="I72" s="7"/>
    </row>
    <row r="73" spans="3:9" x14ac:dyDescent="0.4">
      <c r="C73" s="7"/>
      <c r="D73" s="7"/>
      <c r="E73" s="7"/>
      <c r="F73" s="7"/>
      <c r="G73" s="7"/>
      <c r="H73" s="7"/>
      <c r="I73" s="7"/>
    </row>
    <row r="74" spans="3:9" x14ac:dyDescent="0.4">
      <c r="C74" s="7"/>
      <c r="D74" s="7"/>
      <c r="E74" s="7"/>
      <c r="F74" s="7"/>
      <c r="G74" s="7"/>
      <c r="H74" s="7"/>
      <c r="I74" s="7"/>
    </row>
    <row r="75" spans="3:9" x14ac:dyDescent="0.4">
      <c r="C75" s="7"/>
      <c r="D75" s="7"/>
      <c r="E75" s="7"/>
      <c r="F75" s="7"/>
      <c r="G75" s="7"/>
      <c r="H75" s="7"/>
      <c r="I75" s="7"/>
    </row>
    <row r="76" spans="3:9" x14ac:dyDescent="0.4">
      <c r="C76" s="7"/>
      <c r="D76" s="7"/>
      <c r="E76" s="7"/>
      <c r="F76" s="7"/>
      <c r="G76" s="7"/>
      <c r="H76" s="7"/>
      <c r="I76" s="7"/>
    </row>
    <row r="77" spans="3:9" x14ac:dyDescent="0.4">
      <c r="C77" s="7"/>
      <c r="D77" s="7"/>
      <c r="E77" s="7"/>
      <c r="F77" s="7"/>
      <c r="G77" s="7"/>
      <c r="H77" s="7"/>
      <c r="I77" s="7"/>
    </row>
    <row r="78" spans="3:9" x14ac:dyDescent="0.4">
      <c r="C78" s="7"/>
      <c r="D78" s="7"/>
      <c r="E78" s="7"/>
      <c r="F78" s="7"/>
      <c r="G78" s="7"/>
      <c r="H78" s="7"/>
      <c r="I78" s="7"/>
    </row>
    <row r="79" spans="3:9" x14ac:dyDescent="0.4">
      <c r="C79" s="7"/>
      <c r="D79" s="7"/>
      <c r="E79" s="7"/>
      <c r="F79" s="7"/>
      <c r="G79" s="7"/>
      <c r="H79" s="7"/>
      <c r="I79" s="7"/>
    </row>
    <row r="80" spans="3:9" x14ac:dyDescent="0.4">
      <c r="C80" s="7"/>
      <c r="D80" s="7"/>
      <c r="E80" s="7"/>
      <c r="F80" s="7"/>
      <c r="G80" s="7"/>
      <c r="H80" s="7"/>
      <c r="I80" s="7"/>
    </row>
    <row r="81" spans="3:9" x14ac:dyDescent="0.4">
      <c r="C81" s="7"/>
      <c r="D81" s="7"/>
      <c r="E81" s="7"/>
      <c r="F81" s="7"/>
      <c r="G81" s="7"/>
      <c r="H81" s="7"/>
      <c r="I81" s="7"/>
    </row>
    <row r="82" spans="3:9" x14ac:dyDescent="0.4">
      <c r="C82" s="7"/>
      <c r="D82" s="7"/>
      <c r="E82" s="7"/>
      <c r="F82" s="7"/>
      <c r="G82" s="7"/>
      <c r="H82" s="7"/>
      <c r="I82" s="7"/>
    </row>
    <row r="83" spans="3:9" x14ac:dyDescent="0.4">
      <c r="C83" s="7"/>
      <c r="D83" s="7"/>
      <c r="E83" s="7"/>
      <c r="F83" s="7"/>
      <c r="G83" s="7"/>
      <c r="H83" s="7"/>
      <c r="I83" s="7"/>
    </row>
    <row r="84" spans="3:9" x14ac:dyDescent="0.4">
      <c r="C84" s="7"/>
      <c r="D84" s="7"/>
      <c r="E84" s="7"/>
      <c r="F84" s="7"/>
      <c r="G84" s="7"/>
      <c r="H84" s="7"/>
      <c r="I84" s="7"/>
    </row>
    <row r="85" spans="3:9" x14ac:dyDescent="0.4">
      <c r="C85" s="7"/>
      <c r="D85" s="7"/>
      <c r="E85" s="7"/>
      <c r="F85" s="7"/>
      <c r="G85" s="7"/>
      <c r="H85" s="7"/>
      <c r="I85" s="7"/>
    </row>
    <row r="86" spans="3:9" x14ac:dyDescent="0.4">
      <c r="C86" s="7"/>
      <c r="D86" s="7"/>
      <c r="E86" s="7"/>
      <c r="F86" s="7"/>
      <c r="G86" s="7"/>
      <c r="H86" s="7"/>
      <c r="I86" s="7"/>
    </row>
  </sheetData>
  <sortState xmlns:xlrd2="http://schemas.microsoft.com/office/spreadsheetml/2017/richdata2" ref="A2:I71">
    <sortCondition ref="B2:B71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E33E-F941-4DE3-AD62-EDA94AF3F309}">
  <dimension ref="A1:R66"/>
  <sheetViews>
    <sheetView zoomScale="70" zoomScaleNormal="70" workbookViewId="0">
      <selection activeCell="K9" sqref="K9"/>
    </sheetView>
  </sheetViews>
  <sheetFormatPr defaultColWidth="9" defaultRowHeight="19.5" x14ac:dyDescent="0.4"/>
  <cols>
    <col min="1" max="1" width="14.375" style="7" customWidth="1"/>
    <col min="2" max="2" width="20.375" style="7" customWidth="1"/>
    <col min="3" max="3" width="5.75" style="8" bestFit="1" customWidth="1"/>
    <col min="4" max="4" width="8.875" style="8" customWidth="1"/>
    <col min="5" max="8" width="7.25" style="8" bestFit="1" customWidth="1"/>
    <col min="9" max="9" width="10.375" style="8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5" t="s">
        <v>30</v>
      </c>
      <c r="B1" s="5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  <c r="H1" s="6" t="s">
        <v>37</v>
      </c>
      <c r="I1" s="5" t="s">
        <v>38</v>
      </c>
    </row>
    <row r="2" spans="1:18" x14ac:dyDescent="0.4">
      <c r="A2" s="7" t="str">
        <f>+Dados!V2</f>
        <v>FLORES DE GOIÁS</v>
      </c>
      <c r="B2" s="7" t="str">
        <f>+Dados!G2</f>
        <v>CACS-FUNDEB</v>
      </c>
      <c r="C2" s="7">
        <f>+Dados!H2</f>
        <v>5</v>
      </c>
      <c r="D2" s="7">
        <f>+Dados!I2</f>
        <v>4</v>
      </c>
      <c r="E2" s="7">
        <f>+Dados!J2</f>
        <v>5</v>
      </c>
      <c r="F2" s="7">
        <f>+Dados!K2</f>
        <v>5</v>
      </c>
      <c r="G2" s="7">
        <f>+Dados!L2</f>
        <v>2</v>
      </c>
      <c r="H2" s="7">
        <f>+Dados!M2</f>
        <v>3</v>
      </c>
      <c r="I2" s="7">
        <f>+Dados!N2</f>
        <v>4</v>
      </c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A3" s="7" t="str">
        <f>+Dados!V3</f>
        <v>GUARANI DE GOIÁS</v>
      </c>
      <c r="B3" s="7" t="str">
        <f>+Dados!G3</f>
        <v>CACS-FUNDEB</v>
      </c>
      <c r="C3" s="7">
        <f>+Dados!H3</f>
        <v>5</v>
      </c>
      <c r="D3" s="7">
        <f>+Dados!I3</f>
        <v>5</v>
      </c>
      <c r="E3" s="7">
        <f>+Dados!J3</f>
        <v>5</v>
      </c>
      <c r="F3" s="7">
        <f>+Dados!K3</f>
        <v>5</v>
      </c>
      <c r="G3" s="7">
        <f>+Dados!L3</f>
        <v>5</v>
      </c>
      <c r="H3" s="7">
        <f>+Dados!M3</f>
        <v>5</v>
      </c>
      <c r="I3" s="7">
        <f>+Dados!N3</f>
        <v>5</v>
      </c>
      <c r="N3" s="7">
        <v>1</v>
      </c>
      <c r="O3" s="7">
        <v>2</v>
      </c>
      <c r="P3" s="7">
        <v>3</v>
      </c>
      <c r="Q3" s="7">
        <v>4</v>
      </c>
      <c r="R3" s="7">
        <v>5</v>
      </c>
    </row>
    <row r="4" spans="1:18" x14ac:dyDescent="0.4">
      <c r="A4" s="7" t="str">
        <f>+Dados!V4</f>
        <v>ALVORADA DO NORTE</v>
      </c>
      <c r="B4" s="7" t="str">
        <f>+Dados!G4</f>
        <v>CACS-FUNDEB</v>
      </c>
      <c r="C4" s="7">
        <f>+Dados!H4</f>
        <v>4</v>
      </c>
      <c r="D4" s="7">
        <f>+Dados!I4</f>
        <v>4</v>
      </c>
      <c r="E4" s="7">
        <f>+Dados!J4</f>
        <v>4</v>
      </c>
      <c r="F4" s="7">
        <f>+Dados!K4</f>
        <v>4</v>
      </c>
      <c r="G4" s="7">
        <f>+Dados!L4</f>
        <v>4</v>
      </c>
      <c r="H4" s="7">
        <f>+Dados!M4</f>
        <v>4</v>
      </c>
      <c r="I4" s="7">
        <f>+Dados!N4</f>
        <v>4</v>
      </c>
    </row>
    <row r="5" spans="1:18" x14ac:dyDescent="0.4">
      <c r="A5" s="7" t="str">
        <f>+Dados!V5</f>
        <v>NOVA ROMA</v>
      </c>
      <c r="B5" s="7" t="str">
        <f>+Dados!G5</f>
        <v>CACS-FUNDEB</v>
      </c>
      <c r="C5" s="7">
        <f>+Dados!H5</f>
        <v>4</v>
      </c>
      <c r="D5" s="7">
        <f>+Dados!I5</f>
        <v>4</v>
      </c>
      <c r="E5" s="7">
        <f>+Dados!J5</f>
        <v>4</v>
      </c>
      <c r="F5" s="7">
        <f>+Dados!K5</f>
        <v>5</v>
      </c>
      <c r="G5" s="7">
        <f>+Dados!L5</f>
        <v>5</v>
      </c>
      <c r="H5" s="7">
        <f>+Dados!M5</f>
        <v>5</v>
      </c>
      <c r="I5" s="7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7" t="str">
        <f>+Dados!V6</f>
        <v>POSSE</v>
      </c>
      <c r="B6" s="7" t="str">
        <f>+Dados!G6</f>
        <v>CACS-FUNDEB</v>
      </c>
      <c r="C6" s="7">
        <f>+Dados!H6</f>
        <v>5</v>
      </c>
      <c r="D6" s="7">
        <f>+Dados!I6</f>
        <v>4</v>
      </c>
      <c r="E6" s="7">
        <f>+Dados!J6</f>
        <v>4</v>
      </c>
      <c r="F6" s="7">
        <f>+Dados!K6</f>
        <v>4</v>
      </c>
      <c r="G6" s="7">
        <f>+Dados!L6</f>
        <v>5</v>
      </c>
      <c r="H6" s="7">
        <f>+Dados!M6</f>
        <v>4</v>
      </c>
      <c r="I6" s="7">
        <f>+Dados!N6</f>
        <v>5</v>
      </c>
      <c r="M6" s="1" t="s">
        <v>32</v>
      </c>
      <c r="N6" s="9">
        <f>COUNTIF(C$2:C$51,$N3)/COUNT(C$2:C$51)</f>
        <v>0</v>
      </c>
      <c r="O6" s="9">
        <f>COUNTIF(C$2:C$51,$O3)/COUNT(C$2:C$51)</f>
        <v>0</v>
      </c>
      <c r="P6" s="9">
        <f>COUNTIF(C$2:C$51,$P3)/COUNT(C$2:C$51)</f>
        <v>0</v>
      </c>
      <c r="Q6" s="9">
        <f>COUNTIF(C$2:C$51,$Q3)/COUNT(C$2:C$51)</f>
        <v>0.22222222222222221</v>
      </c>
      <c r="R6" s="9">
        <f>COUNTIF(C$2:C$51,$R3)/COUNT(C$2:C$51)</f>
        <v>0.77777777777777779</v>
      </c>
    </row>
    <row r="7" spans="1:18" x14ac:dyDescent="0.4">
      <c r="A7" s="7" t="str">
        <f>+Dados!V7</f>
        <v>NOVA ROMA</v>
      </c>
      <c r="B7" s="7" t="str">
        <f>+Dados!G7</f>
        <v>CACS-FUNDEB</v>
      </c>
      <c r="C7" s="7">
        <f>+Dados!H7</f>
        <v>5</v>
      </c>
      <c r="D7" s="7">
        <f>+Dados!I7</f>
        <v>5</v>
      </c>
      <c r="E7" s="7">
        <f>+Dados!J7</f>
        <v>5</v>
      </c>
      <c r="F7" s="7">
        <f>+Dados!K7</f>
        <v>5</v>
      </c>
      <c r="G7" s="7">
        <f>+Dados!L7</f>
        <v>5</v>
      </c>
      <c r="H7" s="7">
        <f>+Dados!M7</f>
        <v>5</v>
      </c>
      <c r="I7" s="7">
        <f>+Dados!N7</f>
        <v>5</v>
      </c>
      <c r="M7" s="1" t="s">
        <v>33</v>
      </c>
      <c r="N7" s="9">
        <f>COUNTIF(D$2:D$51,$N3)/COUNT(D$2:D$51)</f>
        <v>0</v>
      </c>
      <c r="O7" s="9">
        <f>COUNTIF(D$2:D$51,$O3)/COUNT(D$2:D$51)</f>
        <v>0</v>
      </c>
      <c r="P7" s="9">
        <f>COUNTIF(D$2:D$51,$P3)/COUNT(D$2:D$51)</f>
        <v>0</v>
      </c>
      <c r="Q7" s="9">
        <f>COUNTIF(D$2:D$51,$Q3)/COUNT(D$2:D$51)</f>
        <v>0.44444444444444442</v>
      </c>
      <c r="R7" s="9">
        <f>COUNTIF(D$2:D$51,$R3)/COUNT(D$2:D$51)</f>
        <v>0.55555555555555558</v>
      </c>
    </row>
    <row r="8" spans="1:18" x14ac:dyDescent="0.4">
      <c r="A8" s="7" t="str">
        <f>+Dados!V8</f>
        <v>IACIARA</v>
      </c>
      <c r="B8" s="7" t="str">
        <f>+Dados!G8</f>
        <v>CACS-FUNDEB</v>
      </c>
      <c r="C8" s="7">
        <f>+Dados!H8</f>
        <v>5</v>
      </c>
      <c r="D8" s="7">
        <f>+Dados!I8</f>
        <v>5</v>
      </c>
      <c r="E8" s="7">
        <f>+Dados!J8</f>
        <v>5</v>
      </c>
      <c r="F8" s="7">
        <f>+Dados!K8</f>
        <v>5</v>
      </c>
      <c r="G8" s="7">
        <f>+Dados!L8</f>
        <v>5</v>
      </c>
      <c r="H8" s="7">
        <f>+Dados!M8</f>
        <v>5</v>
      </c>
      <c r="I8" s="7">
        <f>+Dados!N8</f>
        <v>5</v>
      </c>
      <c r="M8" s="1" t="s">
        <v>34</v>
      </c>
      <c r="N8" s="9">
        <f>COUNTIF(E$2:E$51,$N3)/COUNT(E$2:E$51)</f>
        <v>0</v>
      </c>
      <c r="O8" s="9">
        <f>COUNTIF(E$2:E$51,$O3)/COUNT(E$2:E$51)</f>
        <v>0</v>
      </c>
      <c r="P8" s="9">
        <f>COUNTIF(E$2:E$51,$P3)/COUNT(E$2:E$51)</f>
        <v>0</v>
      </c>
      <c r="Q8" s="9">
        <f>COUNTIF(E$2:E$51,$Q3)/COUNT(E$2:E$51)</f>
        <v>0.33333333333333331</v>
      </c>
      <c r="R8" s="9">
        <f>COUNTIF(E$2:E$51,$R3)/COUNT(E$2:E$51)</f>
        <v>0.66666666666666663</v>
      </c>
    </row>
    <row r="9" spans="1:18" x14ac:dyDescent="0.4">
      <c r="A9" s="7" t="str">
        <f>+Dados!V9</f>
        <v>MAMBAÍ</v>
      </c>
      <c r="B9" s="7" t="str">
        <f>+Dados!G9</f>
        <v>CACS-FUNDEB</v>
      </c>
      <c r="C9" s="7">
        <f>+Dados!H9</f>
        <v>5</v>
      </c>
      <c r="D9" s="7">
        <f>+Dados!I9</f>
        <v>5</v>
      </c>
      <c r="E9" s="7">
        <f>+Dados!J9</f>
        <v>5</v>
      </c>
      <c r="F9" s="7">
        <f>+Dados!K9</f>
        <v>5</v>
      </c>
      <c r="G9" s="7">
        <f>+Dados!L9</f>
        <v>5</v>
      </c>
      <c r="H9" s="7">
        <f>+Dados!M9</f>
        <v>5</v>
      </c>
      <c r="I9" s="7">
        <f>+Dados!N9</f>
        <v>5</v>
      </c>
      <c r="M9" s="1" t="s">
        <v>35</v>
      </c>
      <c r="N9" s="9">
        <f>COUNTIF(F$2:F$51,$N3)/COUNT(F$2:F$51)</f>
        <v>0</v>
      </c>
      <c r="O9" s="9">
        <f>COUNTIF(F$2:F$51,$O3)/COUNT(F$2:F$51)</f>
        <v>0</v>
      </c>
      <c r="P9" s="9">
        <f>COUNTIF(F$2:F$51,$P3)/COUNT(F$2:F$51)</f>
        <v>0</v>
      </c>
      <c r="Q9" s="9">
        <f>COUNTIF(F$2:F$51,$Q3)/COUNT(F$2:F$51)</f>
        <v>0.22222222222222221</v>
      </c>
      <c r="R9" s="9">
        <f>COUNTIF(F$2:F$51,$R3)/COUNT(F$2:F$51)</f>
        <v>0.77777777777777779</v>
      </c>
    </row>
    <row r="10" spans="1:18" x14ac:dyDescent="0.4">
      <c r="A10" s="7" t="str">
        <f>+Dados!V10</f>
        <v>CAVALCANTE</v>
      </c>
      <c r="B10" s="7" t="str">
        <f>+Dados!G10</f>
        <v>CACS-FUNDEB</v>
      </c>
      <c r="C10" s="7">
        <f>+Dados!H10</f>
        <v>5</v>
      </c>
      <c r="D10" s="7">
        <f>+Dados!I10</f>
        <v>5</v>
      </c>
      <c r="E10" s="7">
        <f>+Dados!J10</f>
        <v>5</v>
      </c>
      <c r="F10" s="7">
        <f>+Dados!K10</f>
        <v>5</v>
      </c>
      <c r="G10" s="7">
        <f>+Dados!L10</f>
        <v>4</v>
      </c>
      <c r="H10" s="7">
        <f>+Dados!M10</f>
        <v>5</v>
      </c>
      <c r="I10" s="7">
        <f>+Dados!N10</f>
        <v>5</v>
      </c>
      <c r="M10" s="1" t="s">
        <v>36</v>
      </c>
      <c r="N10" s="9">
        <f>COUNTIF(G$2:G$51,$N3)/COUNT(G$2:G$51)</f>
        <v>0</v>
      </c>
      <c r="O10" s="9">
        <f>COUNTIF(G$2:G$51,$O3)/COUNT(G$2:G$51)</f>
        <v>0.1111111111111111</v>
      </c>
      <c r="P10" s="9">
        <f>COUNTIF(G$2:G$51,$P3)/COUNT(G$2:G$51)</f>
        <v>0</v>
      </c>
      <c r="Q10" s="9">
        <f>COUNTIF(G$2:G$51,$Q3)/COUNT(G$2:G$51)</f>
        <v>0.22222222222222221</v>
      </c>
      <c r="R10" s="9">
        <f>COUNTIF(G$2:G$51,$R3)/COUNT(G$2:G$51)</f>
        <v>0.66666666666666663</v>
      </c>
    </row>
    <row r="11" spans="1:18" x14ac:dyDescent="0.4">
      <c r="C11" s="7"/>
      <c r="D11" s="7"/>
      <c r="E11" s="7"/>
      <c r="F11" s="7"/>
      <c r="G11" s="7"/>
      <c r="H11" s="7"/>
      <c r="I11" s="7"/>
      <c r="M11" s="1" t="s">
        <v>37</v>
      </c>
      <c r="N11" s="9">
        <f>COUNTIF(H$2:H$51,$N3)/COUNT(H$2:H$51)</f>
        <v>0</v>
      </c>
      <c r="O11" s="9">
        <f>COUNTIF(H$2:H$51,$O3)/COUNT(H$2:H$51)</f>
        <v>0</v>
      </c>
      <c r="P11" s="9">
        <f>COUNTIF(H$2:H$51,$P3)/COUNT(H$2:H$51)</f>
        <v>0.1111111111111111</v>
      </c>
      <c r="Q11" s="9">
        <f>COUNTIF(H$2:H$51,$Q3)/COUNT(H$2:H$51)</f>
        <v>0.22222222222222221</v>
      </c>
      <c r="R11" s="9">
        <f>COUNTIF(H$2:H$51,$R3)/COUNT(H$2:H$51)</f>
        <v>0.66666666666666663</v>
      </c>
    </row>
    <row r="12" spans="1:18" x14ac:dyDescent="0.4">
      <c r="C12" s="7"/>
      <c r="D12" s="7"/>
      <c r="E12" s="7"/>
      <c r="F12" s="7"/>
      <c r="G12" s="7"/>
      <c r="H12" s="7"/>
      <c r="I12" s="7"/>
      <c r="M12" s="1" t="s">
        <v>38</v>
      </c>
      <c r="N12" s="9">
        <f>COUNTIF(I$2:I$51,$N3)/COUNT(I$2:I$51)</f>
        <v>0</v>
      </c>
      <c r="O12" s="9">
        <f>COUNTIF(I$2:I$51,$O3)/COUNT(I$2:I$51)</f>
        <v>0</v>
      </c>
      <c r="P12" s="9">
        <f>COUNTIF(I$2:I$51,$P3)/COUNT(I$2:I$51)</f>
        <v>0</v>
      </c>
      <c r="Q12" s="9">
        <f>COUNTIF(I$2:I$51,$Q3)/COUNT(I$2:I$51)</f>
        <v>0.22222222222222221</v>
      </c>
      <c r="R12" s="9">
        <f>COUNTIF(I$2:I$51,$R3)/COUNT(I$2:I$51)</f>
        <v>0.77777777777777779</v>
      </c>
    </row>
    <row r="13" spans="1:18" x14ac:dyDescent="0.4">
      <c r="C13" s="7"/>
      <c r="D13" s="7"/>
      <c r="E13" s="7"/>
      <c r="F13" s="7"/>
      <c r="G13" s="7"/>
      <c r="H13" s="7"/>
      <c r="I13" s="7"/>
    </row>
    <row r="14" spans="1:18" x14ac:dyDescent="0.4">
      <c r="C14" s="7"/>
      <c r="D14" s="7"/>
      <c r="E14" s="7"/>
      <c r="F14" s="7"/>
      <c r="G14" s="7"/>
      <c r="H14" s="7"/>
      <c r="I14" s="7"/>
    </row>
    <row r="15" spans="1:18" x14ac:dyDescent="0.4">
      <c r="C15" s="7"/>
      <c r="D15" s="7"/>
      <c r="E15" s="7"/>
      <c r="F15" s="7"/>
      <c r="G15" s="7"/>
      <c r="H15" s="7"/>
      <c r="I15" s="7"/>
    </row>
    <row r="16" spans="1:18" x14ac:dyDescent="0.4">
      <c r="C16" s="7"/>
      <c r="D16" s="7"/>
      <c r="E16" s="7"/>
      <c r="F16" s="7"/>
      <c r="G16" s="7"/>
      <c r="H16" s="7"/>
      <c r="I16" s="7"/>
    </row>
    <row r="17" spans="3:9" x14ac:dyDescent="0.4">
      <c r="C17" s="7"/>
      <c r="D17" s="7"/>
      <c r="E17" s="7"/>
      <c r="F17" s="7"/>
      <c r="G17" s="7"/>
      <c r="H17" s="7"/>
      <c r="I17" s="7"/>
    </row>
    <row r="18" spans="3:9" x14ac:dyDescent="0.4">
      <c r="C18" s="7"/>
      <c r="D18" s="7"/>
      <c r="E18" s="7"/>
      <c r="F18" s="7"/>
      <c r="G18" s="7"/>
      <c r="H18" s="7"/>
      <c r="I18" s="7"/>
    </row>
    <row r="19" spans="3:9" x14ac:dyDescent="0.4">
      <c r="C19" s="7"/>
      <c r="D19" s="7"/>
      <c r="E19" s="7"/>
      <c r="F19" s="7"/>
      <c r="G19" s="7"/>
      <c r="H19" s="7"/>
      <c r="I19" s="7"/>
    </row>
    <row r="20" spans="3:9" x14ac:dyDescent="0.4">
      <c r="C20" s="7"/>
      <c r="D20" s="7"/>
      <c r="E20" s="7"/>
      <c r="F20" s="7"/>
      <c r="G20" s="7"/>
      <c r="H20" s="7"/>
      <c r="I20" s="7"/>
    </row>
    <row r="21" spans="3:9" x14ac:dyDescent="0.4">
      <c r="C21" s="7"/>
      <c r="D21" s="7"/>
      <c r="E21" s="7"/>
      <c r="F21" s="7"/>
      <c r="G21" s="7"/>
      <c r="H21" s="7"/>
      <c r="I21" s="7"/>
    </row>
    <row r="22" spans="3:9" x14ac:dyDescent="0.4">
      <c r="C22" s="7"/>
      <c r="D22" s="7"/>
      <c r="E22" s="7"/>
      <c r="F22" s="7"/>
      <c r="G22" s="7"/>
      <c r="H22" s="7"/>
      <c r="I22" s="7"/>
    </row>
    <row r="23" spans="3:9" x14ac:dyDescent="0.4">
      <c r="C23" s="7"/>
      <c r="D23" s="7"/>
      <c r="E23" s="7"/>
      <c r="F23" s="7"/>
      <c r="G23" s="7"/>
      <c r="H23" s="7"/>
      <c r="I23" s="7"/>
    </row>
    <row r="24" spans="3:9" x14ac:dyDescent="0.4">
      <c r="C24" s="7"/>
      <c r="D24" s="7"/>
      <c r="E24" s="7"/>
      <c r="F24" s="7"/>
      <c r="G24" s="7"/>
      <c r="H24" s="7"/>
      <c r="I24" s="7"/>
    </row>
    <row r="25" spans="3:9" x14ac:dyDescent="0.4">
      <c r="C25" s="7"/>
      <c r="D25" s="7"/>
      <c r="E25" s="7"/>
      <c r="F25" s="7"/>
      <c r="G25" s="7"/>
      <c r="H25" s="7"/>
      <c r="I25" s="7"/>
    </row>
    <row r="26" spans="3:9" x14ac:dyDescent="0.4">
      <c r="C26" s="7"/>
      <c r="D26" s="7"/>
      <c r="E26" s="7"/>
      <c r="F26" s="7"/>
      <c r="G26" s="7"/>
      <c r="H26" s="7"/>
      <c r="I26" s="7"/>
    </row>
    <row r="27" spans="3:9" x14ac:dyDescent="0.4">
      <c r="C27" s="7"/>
      <c r="D27" s="7"/>
      <c r="E27" s="7"/>
      <c r="F27" s="7"/>
      <c r="G27" s="7"/>
      <c r="H27" s="7"/>
      <c r="I27" s="7"/>
    </row>
    <row r="28" spans="3:9" x14ac:dyDescent="0.4">
      <c r="C28" s="7"/>
      <c r="D28" s="7"/>
      <c r="E28" s="7"/>
      <c r="F28" s="7"/>
      <c r="G28" s="7"/>
      <c r="H28" s="7"/>
      <c r="I28" s="7"/>
    </row>
    <row r="29" spans="3:9" x14ac:dyDescent="0.4">
      <c r="C29" s="7"/>
      <c r="D29" s="7"/>
      <c r="E29" s="7"/>
      <c r="F29" s="7"/>
      <c r="G29" s="7"/>
      <c r="H29" s="7"/>
      <c r="I29" s="7"/>
    </row>
    <row r="30" spans="3:9" x14ac:dyDescent="0.4">
      <c r="C30" s="7"/>
      <c r="D30" s="7"/>
      <c r="E30" s="7"/>
      <c r="F30" s="7"/>
      <c r="G30" s="7"/>
      <c r="H30" s="7"/>
      <c r="I30" s="7"/>
    </row>
    <row r="31" spans="3:9" x14ac:dyDescent="0.4">
      <c r="C31" s="7"/>
      <c r="D31" s="7"/>
      <c r="E31" s="7"/>
      <c r="F31" s="7"/>
      <c r="G31" s="7"/>
      <c r="H31" s="7"/>
      <c r="I31" s="7"/>
    </row>
    <row r="32" spans="3:9" x14ac:dyDescent="0.4">
      <c r="C32" s="7"/>
      <c r="D32" s="7"/>
      <c r="E32" s="7"/>
      <c r="F32" s="7"/>
      <c r="G32" s="7"/>
      <c r="H32" s="7"/>
      <c r="I32" s="7"/>
    </row>
    <row r="33" spans="3:9" x14ac:dyDescent="0.4">
      <c r="C33" s="7"/>
      <c r="D33" s="7"/>
      <c r="E33" s="7"/>
      <c r="F33" s="7"/>
      <c r="G33" s="7"/>
      <c r="H33" s="7"/>
      <c r="I33" s="7"/>
    </row>
    <row r="34" spans="3:9" x14ac:dyDescent="0.4">
      <c r="C34" s="7"/>
      <c r="D34" s="7"/>
      <c r="E34" s="7"/>
      <c r="F34" s="7"/>
      <c r="G34" s="7"/>
      <c r="H34" s="7"/>
      <c r="I34" s="7"/>
    </row>
    <row r="35" spans="3:9" x14ac:dyDescent="0.4">
      <c r="C35" s="7"/>
      <c r="D35" s="7"/>
      <c r="E35" s="7"/>
      <c r="F35" s="7"/>
      <c r="G35" s="7"/>
      <c r="H35" s="7"/>
      <c r="I35" s="7"/>
    </row>
    <row r="36" spans="3:9" x14ac:dyDescent="0.4">
      <c r="C36" s="7"/>
      <c r="D36" s="7"/>
      <c r="E36" s="7"/>
      <c r="F36" s="7"/>
      <c r="G36" s="7"/>
      <c r="H36" s="7"/>
      <c r="I36" s="7"/>
    </row>
    <row r="37" spans="3:9" x14ac:dyDescent="0.4">
      <c r="C37" s="7"/>
      <c r="D37" s="7"/>
      <c r="E37" s="7"/>
      <c r="F37" s="7"/>
      <c r="G37" s="7"/>
      <c r="H37" s="7"/>
      <c r="I37" s="7"/>
    </row>
    <row r="38" spans="3:9" x14ac:dyDescent="0.4">
      <c r="C38" s="7"/>
      <c r="D38" s="7"/>
      <c r="E38" s="7"/>
      <c r="F38" s="7"/>
      <c r="G38" s="7"/>
      <c r="H38" s="7"/>
      <c r="I38" s="7"/>
    </row>
    <row r="39" spans="3:9" x14ac:dyDescent="0.4">
      <c r="C39" s="7"/>
      <c r="D39" s="7"/>
      <c r="E39" s="7"/>
      <c r="F39" s="7"/>
      <c r="G39" s="7"/>
      <c r="H39" s="7"/>
      <c r="I39" s="7"/>
    </row>
    <row r="40" spans="3:9" x14ac:dyDescent="0.4">
      <c r="C40" s="7"/>
      <c r="D40" s="7"/>
      <c r="E40" s="7"/>
      <c r="F40" s="7"/>
      <c r="G40" s="7"/>
      <c r="H40" s="7"/>
      <c r="I40" s="7"/>
    </row>
    <row r="41" spans="3:9" x14ac:dyDescent="0.4">
      <c r="C41" s="7"/>
      <c r="D41" s="7"/>
      <c r="E41" s="7"/>
      <c r="F41" s="7"/>
      <c r="G41" s="7"/>
      <c r="H41" s="7"/>
      <c r="I41" s="7"/>
    </row>
    <row r="42" spans="3:9" x14ac:dyDescent="0.4">
      <c r="C42" s="7"/>
      <c r="D42" s="7"/>
      <c r="E42" s="7"/>
      <c r="F42" s="7"/>
      <c r="G42" s="7"/>
      <c r="H42" s="7"/>
      <c r="I42" s="7"/>
    </row>
    <row r="43" spans="3:9" x14ac:dyDescent="0.4">
      <c r="C43" s="7"/>
      <c r="D43" s="7"/>
      <c r="E43" s="7"/>
      <c r="F43" s="7"/>
      <c r="G43" s="7"/>
      <c r="H43" s="7"/>
      <c r="I43" s="7"/>
    </row>
    <row r="44" spans="3:9" x14ac:dyDescent="0.4">
      <c r="C44" s="7"/>
      <c r="D44" s="7"/>
      <c r="E44" s="7"/>
      <c r="F44" s="7"/>
      <c r="G44" s="7"/>
      <c r="H44" s="7"/>
      <c r="I44" s="7"/>
    </row>
    <row r="45" spans="3:9" x14ac:dyDescent="0.4">
      <c r="C45" s="7"/>
      <c r="D45" s="7"/>
      <c r="E45" s="7"/>
      <c r="F45" s="7"/>
      <c r="G45" s="7"/>
      <c r="H45" s="7"/>
      <c r="I45" s="7"/>
    </row>
    <row r="46" spans="3:9" x14ac:dyDescent="0.4">
      <c r="C46" s="7"/>
      <c r="D46" s="7"/>
      <c r="E46" s="7"/>
      <c r="F46" s="7"/>
      <c r="G46" s="7"/>
      <c r="H46" s="7"/>
      <c r="I46" s="7"/>
    </row>
    <row r="47" spans="3:9" x14ac:dyDescent="0.4">
      <c r="C47" s="7"/>
      <c r="D47" s="7"/>
      <c r="E47" s="7"/>
      <c r="F47" s="7"/>
      <c r="G47" s="7"/>
      <c r="H47" s="7"/>
      <c r="I47" s="7"/>
    </row>
    <row r="48" spans="3:9" x14ac:dyDescent="0.4">
      <c r="C48" s="7"/>
      <c r="D48" s="7"/>
      <c r="E48" s="7"/>
      <c r="F48" s="7"/>
      <c r="G48" s="7"/>
      <c r="H48" s="7"/>
      <c r="I48" s="7"/>
    </row>
    <row r="49" spans="3:9" x14ac:dyDescent="0.4">
      <c r="C49" s="7"/>
      <c r="D49" s="7"/>
      <c r="E49" s="7"/>
      <c r="F49" s="7"/>
      <c r="G49" s="7"/>
      <c r="H49" s="7"/>
      <c r="I49" s="7"/>
    </row>
    <row r="50" spans="3:9" x14ac:dyDescent="0.4">
      <c r="C50" s="7"/>
      <c r="D50" s="7"/>
      <c r="E50" s="7"/>
      <c r="F50" s="7"/>
      <c r="G50" s="7"/>
      <c r="H50" s="7"/>
      <c r="I50" s="7"/>
    </row>
    <row r="51" spans="3:9" x14ac:dyDescent="0.4">
      <c r="C51" s="7"/>
      <c r="D51" s="7"/>
      <c r="E51" s="7"/>
      <c r="F51" s="7"/>
      <c r="G51" s="7"/>
      <c r="H51" s="7"/>
      <c r="I51" s="7"/>
    </row>
    <row r="52" spans="3:9" x14ac:dyDescent="0.4">
      <c r="C52" s="7"/>
      <c r="D52" s="7"/>
      <c r="E52" s="7"/>
      <c r="F52" s="7"/>
      <c r="G52" s="7"/>
      <c r="H52" s="7"/>
      <c r="I52" s="7"/>
    </row>
    <row r="53" spans="3:9" x14ac:dyDescent="0.4">
      <c r="C53" s="7"/>
      <c r="D53" s="7"/>
      <c r="E53" s="7"/>
      <c r="F53" s="7"/>
      <c r="G53" s="7"/>
      <c r="H53" s="7"/>
      <c r="I53" s="7"/>
    </row>
    <row r="54" spans="3:9" x14ac:dyDescent="0.4">
      <c r="C54" s="7"/>
      <c r="D54" s="7"/>
      <c r="E54" s="7"/>
      <c r="F54" s="7"/>
      <c r="G54" s="7"/>
      <c r="H54" s="7"/>
      <c r="I54" s="7"/>
    </row>
    <row r="55" spans="3:9" x14ac:dyDescent="0.4">
      <c r="C55" s="7"/>
      <c r="D55" s="7"/>
      <c r="E55" s="7"/>
      <c r="F55" s="7"/>
      <c r="G55" s="7"/>
      <c r="H55" s="7"/>
      <c r="I55" s="7"/>
    </row>
    <row r="56" spans="3:9" x14ac:dyDescent="0.4">
      <c r="C56" s="7"/>
      <c r="D56" s="7"/>
      <c r="E56" s="7"/>
      <c r="F56" s="7"/>
      <c r="G56" s="7"/>
      <c r="H56" s="7"/>
      <c r="I56" s="7"/>
    </row>
    <row r="57" spans="3:9" x14ac:dyDescent="0.4">
      <c r="C57" s="7"/>
      <c r="D57" s="7"/>
      <c r="E57" s="7"/>
      <c r="F57" s="7"/>
      <c r="G57" s="7"/>
      <c r="H57" s="7"/>
      <c r="I57" s="7"/>
    </row>
    <row r="58" spans="3:9" x14ac:dyDescent="0.4">
      <c r="C58" s="7"/>
      <c r="D58" s="7"/>
      <c r="E58" s="7"/>
      <c r="F58" s="7"/>
      <c r="G58" s="7"/>
      <c r="H58" s="7"/>
      <c r="I58" s="7"/>
    </row>
    <row r="59" spans="3:9" x14ac:dyDescent="0.4">
      <c r="C59" s="7"/>
      <c r="D59" s="7"/>
      <c r="E59" s="7"/>
      <c r="F59" s="7"/>
      <c r="G59" s="7"/>
      <c r="H59" s="7"/>
      <c r="I59" s="7"/>
    </row>
    <row r="60" spans="3:9" x14ac:dyDescent="0.4">
      <c r="C60" s="7"/>
      <c r="D60" s="7"/>
      <c r="E60" s="7"/>
      <c r="F60" s="7"/>
      <c r="G60" s="7"/>
      <c r="H60" s="7"/>
      <c r="I60" s="7"/>
    </row>
    <row r="61" spans="3:9" x14ac:dyDescent="0.4">
      <c r="C61" s="7"/>
      <c r="D61" s="7"/>
      <c r="E61" s="7"/>
      <c r="F61" s="7"/>
      <c r="G61" s="7"/>
      <c r="H61" s="7"/>
      <c r="I61" s="7"/>
    </row>
    <row r="62" spans="3:9" x14ac:dyDescent="0.4">
      <c r="C62" s="7"/>
      <c r="D62" s="7"/>
      <c r="E62" s="7"/>
      <c r="F62" s="7"/>
      <c r="G62" s="7"/>
      <c r="H62" s="7"/>
      <c r="I62" s="7"/>
    </row>
    <row r="63" spans="3:9" x14ac:dyDescent="0.4">
      <c r="C63" s="7"/>
      <c r="D63" s="7"/>
      <c r="E63" s="7"/>
      <c r="F63" s="7"/>
      <c r="G63" s="7"/>
      <c r="H63" s="7"/>
      <c r="I63" s="7"/>
    </row>
    <row r="64" spans="3:9" x14ac:dyDescent="0.4">
      <c r="C64" s="7"/>
      <c r="D64" s="7"/>
      <c r="E64" s="7"/>
      <c r="F64" s="7"/>
      <c r="G64" s="7"/>
      <c r="H64" s="7"/>
      <c r="I64" s="7"/>
    </row>
    <row r="65" spans="3:9" x14ac:dyDescent="0.4">
      <c r="C65" s="7"/>
      <c r="D65" s="7"/>
      <c r="E65" s="7"/>
      <c r="F65" s="7"/>
      <c r="G65" s="7"/>
      <c r="H65" s="7"/>
      <c r="I65" s="7"/>
    </row>
    <row r="66" spans="3:9" x14ac:dyDescent="0.4">
      <c r="C66" s="7"/>
      <c r="D66" s="7"/>
      <c r="E66" s="7"/>
      <c r="F66" s="7"/>
      <c r="G66" s="7"/>
      <c r="H66" s="7"/>
      <c r="I66" s="7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264D-2086-4E5E-A9BF-F02DA588FEA2}">
  <dimension ref="A1:R79"/>
  <sheetViews>
    <sheetView zoomScale="85" zoomScaleNormal="85" workbookViewId="0">
      <selection activeCell="B12" sqref="B12:B27"/>
    </sheetView>
  </sheetViews>
  <sheetFormatPr defaultColWidth="9" defaultRowHeight="19.5" x14ac:dyDescent="0.4"/>
  <cols>
    <col min="1" max="1" width="14.375" style="7" customWidth="1"/>
    <col min="2" max="2" width="20.375" style="7" customWidth="1"/>
    <col min="3" max="3" width="5.75" style="8" bestFit="1" customWidth="1"/>
    <col min="4" max="4" width="8.875" style="8" customWidth="1"/>
    <col min="5" max="8" width="7.25" style="8" bestFit="1" customWidth="1"/>
    <col min="9" max="9" width="10.375" style="8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5" t="s">
        <v>30</v>
      </c>
      <c r="B1" s="5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  <c r="H1" s="6" t="s">
        <v>37</v>
      </c>
      <c r="I1" s="5" t="s">
        <v>38</v>
      </c>
    </row>
    <row r="2" spans="1:18" x14ac:dyDescent="0.4">
      <c r="C2" s="7"/>
      <c r="D2" s="7"/>
      <c r="E2" s="7"/>
      <c r="F2" s="7"/>
      <c r="G2" s="7"/>
      <c r="H2" s="7"/>
      <c r="I2" s="7"/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C3" s="7"/>
      <c r="D3" s="7"/>
      <c r="E3" s="7"/>
      <c r="F3" s="7"/>
      <c r="G3" s="7"/>
      <c r="H3" s="7"/>
      <c r="I3" s="7"/>
      <c r="N3" s="7">
        <v>1</v>
      </c>
      <c r="O3" s="7">
        <v>2</v>
      </c>
      <c r="P3" s="7">
        <v>3</v>
      </c>
      <c r="Q3" s="7">
        <v>4</v>
      </c>
      <c r="R3" s="7">
        <v>5</v>
      </c>
    </row>
    <row r="4" spans="1:18" x14ac:dyDescent="0.4">
      <c r="C4" s="7"/>
      <c r="D4" s="7"/>
      <c r="E4" s="7"/>
      <c r="F4" s="7"/>
      <c r="G4" s="7"/>
      <c r="H4" s="7"/>
      <c r="I4" s="7"/>
    </row>
    <row r="5" spans="1:18" x14ac:dyDescent="0.4">
      <c r="C5" s="7"/>
      <c r="D5" s="7"/>
      <c r="E5" s="7"/>
      <c r="F5" s="7"/>
      <c r="G5" s="7"/>
      <c r="H5" s="7"/>
      <c r="I5" s="7"/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C6" s="7"/>
      <c r="D6" s="7"/>
      <c r="E6" s="7"/>
      <c r="F6" s="7"/>
      <c r="G6" s="7"/>
      <c r="H6" s="7"/>
      <c r="I6" s="7"/>
      <c r="M6" s="1" t="s">
        <v>32</v>
      </c>
      <c r="N6" s="9">
        <f>COUNTIF(C$2:C$56,$N3)/COUNT(C$2:C$56)</f>
        <v>0</v>
      </c>
      <c r="O6" s="9">
        <f>COUNTIF(C$2:C$56,$O3)/COUNT(C$2:C$56)</f>
        <v>0</v>
      </c>
      <c r="P6" s="9">
        <f>COUNTIF(C$2:C$56,$P3)/COUNT(C$2:C$56)</f>
        <v>0</v>
      </c>
      <c r="Q6" s="9">
        <f>COUNTIF(C$2:C$56,$Q3)/COUNT(C$2:C$56)</f>
        <v>0.3125</v>
      </c>
      <c r="R6" s="9">
        <f>COUNTIF(C$2:C$56,$R3)/COUNT(C$2:C$56)</f>
        <v>0.6875</v>
      </c>
    </row>
    <row r="7" spans="1:18" x14ac:dyDescent="0.4">
      <c r="C7" s="7"/>
      <c r="D7" s="7"/>
      <c r="E7" s="7"/>
      <c r="F7" s="7"/>
      <c r="G7" s="7"/>
      <c r="H7" s="7"/>
      <c r="I7" s="7"/>
      <c r="M7" s="1" t="s">
        <v>33</v>
      </c>
      <c r="N7" s="9">
        <f>COUNTIF(D$2:D$56,$N3)/COUNT(D$2:D$56)</f>
        <v>0</v>
      </c>
      <c r="O7" s="9">
        <f>COUNTIF(D$2:D$56,$O3)/COUNT(D$2:D$56)</f>
        <v>0</v>
      </c>
      <c r="P7" s="9">
        <f>COUNTIF(D$2:D$56,$P3)/COUNT(D$2:D$56)</f>
        <v>0</v>
      </c>
      <c r="Q7" s="9">
        <f>COUNTIF(D$2:D$56,$Q3)/COUNT(D$2:D$56)</f>
        <v>0.625</v>
      </c>
      <c r="R7" s="9">
        <f>COUNTIF(D$2:D$56,$R3)/COUNT(D$2:D$56)</f>
        <v>0.375</v>
      </c>
    </row>
    <row r="8" spans="1:18" x14ac:dyDescent="0.4">
      <c r="C8" s="7"/>
      <c r="D8" s="7"/>
      <c r="E8" s="7"/>
      <c r="F8" s="7"/>
      <c r="G8" s="7"/>
      <c r="H8" s="7"/>
      <c r="I8" s="7"/>
      <c r="M8" s="1" t="s">
        <v>34</v>
      </c>
      <c r="N8" s="9">
        <f>COUNTIF(E$2:E$56,$N3)/COUNT(E$2:E$56)</f>
        <v>0</v>
      </c>
      <c r="O8" s="9">
        <f>COUNTIF(E$2:E$56,$O3)/COUNT(E$2:E$56)</f>
        <v>0</v>
      </c>
      <c r="P8" s="9">
        <f>COUNTIF(E$2:E$56,$P3)/COUNT(E$2:E$56)</f>
        <v>0</v>
      </c>
      <c r="Q8" s="9">
        <f>COUNTIF(E$2:E$56,$Q3)/COUNT(E$2:E$56)</f>
        <v>0.4375</v>
      </c>
      <c r="R8" s="9">
        <f>COUNTIF(E$2:E$56,$R3)/COUNT(E$2:E$56)</f>
        <v>0.5625</v>
      </c>
    </row>
    <row r="9" spans="1:18" x14ac:dyDescent="0.4">
      <c r="C9" s="7"/>
      <c r="D9" s="7"/>
      <c r="E9" s="7"/>
      <c r="F9" s="7"/>
      <c r="G9" s="7"/>
      <c r="H9" s="7"/>
      <c r="I9" s="7"/>
      <c r="M9" s="1" t="s">
        <v>35</v>
      </c>
      <c r="N9" s="9">
        <f>COUNTIF(F$2:F$56,$N3)/COUNT(F$2:F$56)</f>
        <v>0</v>
      </c>
      <c r="O9" s="9">
        <f>COUNTIF(F$2:F$56,$O3)/COUNT(F$2:F$56)</f>
        <v>0</v>
      </c>
      <c r="P9" s="9">
        <f>COUNTIF(F$2:F$56,$P3)/COUNT(F$2:F$56)</f>
        <v>0</v>
      </c>
      <c r="Q9" s="9">
        <f>COUNTIF(F$2:F$56,$Q3)/COUNT(F$2:F$56)</f>
        <v>0.3125</v>
      </c>
      <c r="R9" s="9">
        <f>COUNTIF(F$2:F$56,$R3)/COUNT(F$2:F$56)</f>
        <v>0.6875</v>
      </c>
    </row>
    <row r="10" spans="1:18" x14ac:dyDescent="0.4">
      <c r="C10" s="7"/>
      <c r="D10" s="7"/>
      <c r="E10" s="7"/>
      <c r="F10" s="7"/>
      <c r="G10" s="7"/>
      <c r="H10" s="7"/>
      <c r="I10" s="7"/>
      <c r="M10" s="1" t="s">
        <v>36</v>
      </c>
      <c r="N10" s="9">
        <f>COUNTIF(G$2:G$56,$N3)/COUNT(G$2:G$56)</f>
        <v>0</v>
      </c>
      <c r="O10" s="9">
        <f>COUNTIF(G$2:G$56,$O3)/COUNT(G$2:G$56)</f>
        <v>6.25E-2</v>
      </c>
      <c r="P10" s="9">
        <f>COUNTIF(G$2:G$56,$P3)/COUNT(G$2:G$56)</f>
        <v>0</v>
      </c>
      <c r="Q10" s="9">
        <f>COUNTIF(G$2:G$56,$Q3)/COUNT(G$2:G$56)</f>
        <v>0.3125</v>
      </c>
      <c r="R10" s="9">
        <f>COUNTIF(G$2:G$56,$R3)/COUNT(G$2:G$56)</f>
        <v>0.625</v>
      </c>
    </row>
    <row r="11" spans="1:18" x14ac:dyDescent="0.4">
      <c r="C11" s="7"/>
      <c r="D11" s="7"/>
      <c r="E11" s="7"/>
      <c r="F11" s="7"/>
      <c r="G11" s="7"/>
      <c r="H11" s="7"/>
      <c r="I11" s="7"/>
      <c r="M11" s="1" t="s">
        <v>37</v>
      </c>
      <c r="N11" s="9">
        <f>COUNTIF(H$2:H$56,$N3)/COUNT(H$2:H$56)</f>
        <v>0</v>
      </c>
      <c r="O11" s="9">
        <f>COUNTIF(H$2:H$56,$O3)/COUNT(H$2:H$56)</f>
        <v>0</v>
      </c>
      <c r="P11" s="9">
        <f>COUNTIF(H$2:H$56,$P3)/COUNT(H$2:H$56)</f>
        <v>0</v>
      </c>
      <c r="Q11" s="9">
        <f>COUNTIF(H$2:H$56,$Q3)/COUNT(H$2:H$56)</f>
        <v>0.375</v>
      </c>
      <c r="R11" s="9">
        <f>COUNTIF(H$2:H$56,$R3)/COUNT(H$2:H$56)</f>
        <v>0.625</v>
      </c>
    </row>
    <row r="12" spans="1:18" x14ac:dyDescent="0.4">
      <c r="A12" s="7" t="str">
        <f>+Dados!V11</f>
        <v>FLORES DE GOIÁS</v>
      </c>
      <c r="B12" s="7" t="str">
        <f>+Dados!G11</f>
        <v>Gestão municipal</v>
      </c>
      <c r="C12" s="7">
        <f>+Dados!H11</f>
        <v>4</v>
      </c>
      <c r="D12" s="7">
        <f>+Dados!I11</f>
        <v>4</v>
      </c>
      <c r="E12" s="7">
        <f>+Dados!J11</f>
        <v>4</v>
      </c>
      <c r="F12" s="7">
        <f>+Dados!K11</f>
        <v>4</v>
      </c>
      <c r="G12" s="7">
        <f>+Dados!L11</f>
        <v>2</v>
      </c>
      <c r="H12" s="7">
        <f>+Dados!M11</f>
        <v>4</v>
      </c>
      <c r="I12" s="7">
        <f>+Dados!N11</f>
        <v>4</v>
      </c>
      <c r="M12" s="1" t="s">
        <v>38</v>
      </c>
      <c r="N12" s="9">
        <f>COUNTIF(I$2:I$56,$N3)/COUNT(I$2:I$56)</f>
        <v>0</v>
      </c>
      <c r="O12" s="9">
        <f>COUNTIF(I$2:I$56,$O3)/COUNT(I$2:I$56)</f>
        <v>0</v>
      </c>
      <c r="P12" s="9">
        <f>COUNTIF(I$2:I$56,$P3)/COUNT(I$2:I$56)</f>
        <v>0</v>
      </c>
      <c r="Q12" s="9">
        <f>COUNTIF(I$2:I$56,$Q3)/COUNT(I$2:I$56)</f>
        <v>0.3125</v>
      </c>
      <c r="R12" s="9">
        <f>COUNTIF(I$2:I$56,$R3)/COUNT(I$2:I$56)</f>
        <v>0.6875</v>
      </c>
    </row>
    <row r="13" spans="1:18" x14ac:dyDescent="0.4">
      <c r="A13" s="7" t="str">
        <f>+Dados!V12</f>
        <v>VILA BOA</v>
      </c>
      <c r="B13" s="7" t="str">
        <f>+Dados!G12</f>
        <v>Gestão municipal</v>
      </c>
      <c r="C13" s="7">
        <f>+Dados!H12</f>
        <v>5</v>
      </c>
      <c r="D13" s="7">
        <f>+Dados!I12</f>
        <v>5</v>
      </c>
      <c r="E13" s="7">
        <f>+Dados!J12</f>
        <v>5</v>
      </c>
      <c r="F13" s="7">
        <f>+Dados!K12</f>
        <v>5</v>
      </c>
      <c r="G13" s="7">
        <f>+Dados!L12</f>
        <v>5</v>
      </c>
      <c r="H13" s="7">
        <f>+Dados!M12</f>
        <v>5</v>
      </c>
      <c r="I13" s="7">
        <f>+Dados!N12</f>
        <v>5</v>
      </c>
    </row>
    <row r="14" spans="1:18" x14ac:dyDescent="0.4">
      <c r="A14" s="7" t="str">
        <f>+Dados!V13</f>
        <v>GUARANI DE GOIÁS</v>
      </c>
      <c r="B14" s="7" t="str">
        <f>+Dados!G13</f>
        <v>Gestão municipal</v>
      </c>
      <c r="C14" s="7">
        <f>+Dados!H13</f>
        <v>5</v>
      </c>
      <c r="D14" s="7">
        <f>+Dados!I13</f>
        <v>4</v>
      </c>
      <c r="E14" s="7">
        <f>+Dados!J13</f>
        <v>4</v>
      </c>
      <c r="F14" s="7">
        <f>+Dados!K13</f>
        <v>5</v>
      </c>
      <c r="G14" s="7">
        <f>+Dados!L13</f>
        <v>5</v>
      </c>
      <c r="H14" s="7">
        <f>+Dados!M13</f>
        <v>5</v>
      </c>
      <c r="I14" s="7">
        <f>+Dados!N13</f>
        <v>5</v>
      </c>
    </row>
    <row r="15" spans="1:18" x14ac:dyDescent="0.4">
      <c r="A15" s="7" t="str">
        <f>+Dados!V14</f>
        <v>IACIARA</v>
      </c>
      <c r="B15" s="7" t="str">
        <f>+Dados!G14</f>
        <v>Gestão municipal</v>
      </c>
      <c r="C15" s="7">
        <f>+Dados!H14</f>
        <v>5</v>
      </c>
      <c r="D15" s="7">
        <f>+Dados!I14</f>
        <v>5</v>
      </c>
      <c r="E15" s="7">
        <f>+Dados!J14</f>
        <v>5</v>
      </c>
      <c r="F15" s="7">
        <f>+Dados!K14</f>
        <v>5</v>
      </c>
      <c r="G15" s="7">
        <f>+Dados!L14</f>
        <v>5</v>
      </c>
      <c r="H15" s="7">
        <f>+Dados!M14</f>
        <v>5</v>
      </c>
      <c r="I15" s="7">
        <f>+Dados!N14</f>
        <v>5</v>
      </c>
    </row>
    <row r="16" spans="1:18" x14ac:dyDescent="0.4">
      <c r="A16" s="7" t="str">
        <f>+Dados!V15</f>
        <v>MAMBAÍ</v>
      </c>
      <c r="B16" s="7" t="str">
        <f>+Dados!G15</f>
        <v>Gestão municipal</v>
      </c>
      <c r="C16" s="7">
        <f>+Dados!H15</f>
        <v>5</v>
      </c>
      <c r="D16" s="7">
        <f>+Dados!I15</f>
        <v>5</v>
      </c>
      <c r="E16" s="7">
        <f>+Dados!J15</f>
        <v>5</v>
      </c>
      <c r="F16" s="7">
        <f>+Dados!K15</f>
        <v>5</v>
      </c>
      <c r="G16" s="7">
        <f>+Dados!L15</f>
        <v>5</v>
      </c>
      <c r="H16" s="7">
        <f>+Dados!M15</f>
        <v>5</v>
      </c>
      <c r="I16" s="7">
        <f>+Dados!N15</f>
        <v>5</v>
      </c>
    </row>
    <row r="17" spans="1:9" x14ac:dyDescent="0.4">
      <c r="A17" s="7" t="str">
        <f>+Dados!V16</f>
        <v>MAMBAÍ</v>
      </c>
      <c r="B17" s="7" t="str">
        <f>+Dados!G16</f>
        <v>Gestão municipal</v>
      </c>
      <c r="C17" s="7">
        <f>+Dados!H16</f>
        <v>4</v>
      </c>
      <c r="D17" s="7">
        <f>+Dados!I16</f>
        <v>4</v>
      </c>
      <c r="E17" s="7">
        <f>+Dados!J16</f>
        <v>4</v>
      </c>
      <c r="F17" s="7">
        <f>+Dados!K16</f>
        <v>4</v>
      </c>
      <c r="G17" s="7">
        <f>+Dados!L16</f>
        <v>4</v>
      </c>
      <c r="H17" s="7">
        <f>+Dados!M16</f>
        <v>4</v>
      </c>
      <c r="I17" s="7">
        <f>+Dados!N16</f>
        <v>4</v>
      </c>
    </row>
    <row r="18" spans="1:9" x14ac:dyDescent="0.4">
      <c r="A18" s="7" t="str">
        <f>+Dados!V17</f>
        <v>NOVA ROMA</v>
      </c>
      <c r="B18" s="7" t="str">
        <f>+Dados!G17</f>
        <v>Gestão municipal</v>
      </c>
      <c r="C18" s="7">
        <f>+Dados!H17</f>
        <v>5</v>
      </c>
      <c r="D18" s="7">
        <f>+Dados!I17</f>
        <v>4</v>
      </c>
      <c r="E18" s="7">
        <f>+Dados!J17</f>
        <v>5</v>
      </c>
      <c r="F18" s="7">
        <f>+Dados!K17</f>
        <v>5</v>
      </c>
      <c r="G18" s="7">
        <f>+Dados!L17</f>
        <v>5</v>
      </c>
      <c r="H18" s="7">
        <f>+Dados!M17</f>
        <v>4</v>
      </c>
      <c r="I18" s="7">
        <f>+Dados!N17</f>
        <v>5</v>
      </c>
    </row>
    <row r="19" spans="1:9" x14ac:dyDescent="0.4">
      <c r="A19" s="7" t="str">
        <f>+Dados!V18</f>
        <v>FLORES DE GOIÁS</v>
      </c>
      <c r="B19" s="7" t="str">
        <f>+Dados!G18</f>
        <v>Gestão municipal</v>
      </c>
      <c r="C19" s="7">
        <f>+Dados!H18</f>
        <v>5</v>
      </c>
      <c r="D19" s="7">
        <f>+Dados!I18</f>
        <v>4</v>
      </c>
      <c r="E19" s="7">
        <f>+Dados!J18</f>
        <v>5</v>
      </c>
      <c r="F19" s="7">
        <f>+Dados!K18</f>
        <v>5</v>
      </c>
      <c r="G19" s="7">
        <f>+Dados!L18</f>
        <v>5</v>
      </c>
      <c r="H19" s="7">
        <f>+Dados!M18</f>
        <v>5</v>
      </c>
      <c r="I19" s="7">
        <f>+Dados!N18</f>
        <v>5</v>
      </c>
    </row>
    <row r="20" spans="1:9" x14ac:dyDescent="0.4">
      <c r="A20" s="7" t="str">
        <f>+Dados!V19</f>
        <v>VILA BOA</v>
      </c>
      <c r="B20" s="7" t="str">
        <f>+Dados!G19</f>
        <v>Gestão municipal</v>
      </c>
      <c r="C20" s="7">
        <f>+Dados!H19</f>
        <v>5</v>
      </c>
      <c r="D20" s="7">
        <f>+Dados!I19</f>
        <v>4</v>
      </c>
      <c r="E20" s="7">
        <f>+Dados!J19</f>
        <v>5</v>
      </c>
      <c r="F20" s="7">
        <f>+Dados!K19</f>
        <v>5</v>
      </c>
      <c r="G20" s="7">
        <f>+Dados!L19</f>
        <v>5</v>
      </c>
      <c r="H20" s="7">
        <f>+Dados!M19</f>
        <v>5</v>
      </c>
      <c r="I20" s="7">
        <f>+Dados!N19</f>
        <v>5</v>
      </c>
    </row>
    <row r="21" spans="1:9" x14ac:dyDescent="0.4">
      <c r="A21" s="7" t="str">
        <f>+Dados!V20</f>
        <v>IACIARA</v>
      </c>
      <c r="B21" s="7" t="str">
        <f>+Dados!G20</f>
        <v>Gestão municipal</v>
      </c>
      <c r="C21" s="7">
        <f>+Dados!H20</f>
        <v>4</v>
      </c>
      <c r="D21" s="7">
        <f>+Dados!I20</f>
        <v>4</v>
      </c>
      <c r="E21" s="7">
        <f>+Dados!J20</f>
        <v>4</v>
      </c>
      <c r="F21" s="7">
        <f>+Dados!K20</f>
        <v>4</v>
      </c>
      <c r="G21" s="7">
        <f>+Dados!L20</f>
        <v>4</v>
      </c>
      <c r="H21" s="7">
        <f>+Dados!M20</f>
        <v>4</v>
      </c>
      <c r="I21" s="7">
        <f>+Dados!N20</f>
        <v>4</v>
      </c>
    </row>
    <row r="22" spans="1:9" x14ac:dyDescent="0.4">
      <c r="A22" s="7" t="str">
        <f>+Dados!V21</f>
        <v>NOVA ROMA</v>
      </c>
      <c r="B22" s="7" t="str">
        <f>+Dados!G21</f>
        <v>Gestão municipal</v>
      </c>
      <c r="C22" s="7">
        <f>+Dados!H21</f>
        <v>4</v>
      </c>
      <c r="D22" s="7">
        <f>+Dados!I21</f>
        <v>4</v>
      </c>
      <c r="E22" s="7">
        <f>+Dados!J21</f>
        <v>4</v>
      </c>
      <c r="F22" s="7">
        <f>+Dados!K21</f>
        <v>4</v>
      </c>
      <c r="G22" s="7">
        <f>+Dados!L21</f>
        <v>4</v>
      </c>
      <c r="H22" s="7">
        <f>+Dados!M21</f>
        <v>4</v>
      </c>
      <c r="I22" s="7">
        <f>+Dados!N21</f>
        <v>4</v>
      </c>
    </row>
    <row r="23" spans="1:9" x14ac:dyDescent="0.4">
      <c r="A23" s="7" t="str">
        <f>+Dados!V22</f>
        <v>GUARANI DE GOIÁS</v>
      </c>
      <c r="B23" s="7" t="str">
        <f>+Dados!G22</f>
        <v>Gestão municipal</v>
      </c>
      <c r="C23" s="7">
        <f>+Dados!H22</f>
        <v>4</v>
      </c>
      <c r="D23" s="7">
        <f>+Dados!I22</f>
        <v>4</v>
      </c>
      <c r="E23" s="7">
        <f>+Dados!J22</f>
        <v>4</v>
      </c>
      <c r="F23" s="7">
        <f>+Dados!K22</f>
        <v>4</v>
      </c>
      <c r="G23" s="7">
        <f>+Dados!L22</f>
        <v>4</v>
      </c>
      <c r="H23" s="7">
        <f>+Dados!M22</f>
        <v>4</v>
      </c>
      <c r="I23" s="7">
        <f>+Dados!N22</f>
        <v>4</v>
      </c>
    </row>
    <row r="24" spans="1:9" x14ac:dyDescent="0.4">
      <c r="A24" s="7" t="str">
        <f>+Dados!V23</f>
        <v>SÍTIO D'ABADIA</v>
      </c>
      <c r="B24" s="7" t="str">
        <f>+Dados!G23</f>
        <v>Gestão municipal</v>
      </c>
      <c r="C24" s="7">
        <f>+Dados!H23</f>
        <v>5</v>
      </c>
      <c r="D24" s="7">
        <f>+Dados!I23</f>
        <v>4</v>
      </c>
      <c r="E24" s="7">
        <f>+Dados!J23</f>
        <v>4</v>
      </c>
      <c r="F24" s="7">
        <f>+Dados!K23</f>
        <v>5</v>
      </c>
      <c r="G24" s="7">
        <f>+Dados!L23</f>
        <v>4</v>
      </c>
      <c r="H24" s="7">
        <f>+Dados!M23</f>
        <v>5</v>
      </c>
      <c r="I24" s="7">
        <f>+Dados!N23</f>
        <v>5</v>
      </c>
    </row>
    <row r="25" spans="1:9" x14ac:dyDescent="0.4">
      <c r="A25" s="7" t="str">
        <f>+Dados!V24</f>
        <v>CAVALCANTE</v>
      </c>
      <c r="B25" s="7" t="str">
        <f>+Dados!G24</f>
        <v>Gestão municipal</v>
      </c>
      <c r="C25" s="7">
        <f>+Dados!H24</f>
        <v>5</v>
      </c>
      <c r="D25" s="7">
        <f>+Dados!I24</f>
        <v>5</v>
      </c>
      <c r="E25" s="7">
        <f>+Dados!J24</f>
        <v>5</v>
      </c>
      <c r="F25" s="7">
        <f>+Dados!K24</f>
        <v>5</v>
      </c>
      <c r="G25" s="7">
        <f>+Dados!L24</f>
        <v>5</v>
      </c>
      <c r="H25" s="7">
        <f>+Dados!M24</f>
        <v>5</v>
      </c>
      <c r="I25" s="7">
        <f>+Dados!N24</f>
        <v>5</v>
      </c>
    </row>
    <row r="26" spans="1:9" x14ac:dyDescent="0.4">
      <c r="A26" s="7" t="str">
        <f>+Dados!V25</f>
        <v>POSSE</v>
      </c>
      <c r="B26" s="7" t="str">
        <f>+Dados!G25</f>
        <v>Gestão municipal</v>
      </c>
      <c r="C26" s="7">
        <f>+Dados!H25</f>
        <v>5</v>
      </c>
      <c r="D26" s="7">
        <f>+Dados!I25</f>
        <v>5</v>
      </c>
      <c r="E26" s="7">
        <f>+Dados!J25</f>
        <v>5</v>
      </c>
      <c r="F26" s="7">
        <f>+Dados!K25</f>
        <v>5</v>
      </c>
      <c r="G26" s="7">
        <f>+Dados!L25</f>
        <v>5</v>
      </c>
      <c r="H26" s="7">
        <f>+Dados!M25</f>
        <v>5</v>
      </c>
      <c r="I26" s="7">
        <f>+Dados!N25</f>
        <v>5</v>
      </c>
    </row>
    <row r="27" spans="1:9" x14ac:dyDescent="0.4">
      <c r="A27" s="7" t="str">
        <f>+Dados!V26</f>
        <v>FLORES DE GOIÁS</v>
      </c>
      <c r="B27" s="7" t="str">
        <f>+Dados!G26</f>
        <v>Gestão municipal</v>
      </c>
      <c r="C27" s="7">
        <f>+Dados!H26</f>
        <v>5</v>
      </c>
      <c r="D27" s="7">
        <f>+Dados!I26</f>
        <v>5</v>
      </c>
      <c r="E27" s="7">
        <f>+Dados!J26</f>
        <v>5</v>
      </c>
      <c r="F27" s="7">
        <f>+Dados!K26</f>
        <v>5</v>
      </c>
      <c r="G27" s="7">
        <f>+Dados!L26</f>
        <v>5</v>
      </c>
      <c r="H27" s="7">
        <f>+Dados!M26</f>
        <v>5</v>
      </c>
      <c r="I27" s="7">
        <f>+Dados!N26</f>
        <v>5</v>
      </c>
    </row>
    <row r="28" spans="1:9" x14ac:dyDescent="0.4">
      <c r="C28" s="7"/>
      <c r="D28" s="7"/>
      <c r="E28" s="7"/>
      <c r="F28" s="7"/>
      <c r="G28" s="7"/>
      <c r="H28" s="7"/>
      <c r="I28" s="7"/>
    </row>
    <row r="29" spans="1:9" x14ac:dyDescent="0.4">
      <c r="C29" s="7"/>
      <c r="D29" s="7"/>
      <c r="E29" s="7"/>
      <c r="F29" s="7"/>
      <c r="G29" s="7"/>
      <c r="H29" s="7"/>
      <c r="I29" s="7"/>
    </row>
    <row r="30" spans="1:9" x14ac:dyDescent="0.4">
      <c r="C30" s="7"/>
      <c r="D30" s="7"/>
      <c r="E30" s="7"/>
      <c r="F30" s="7"/>
      <c r="G30" s="7"/>
      <c r="H30" s="7"/>
      <c r="I30" s="7"/>
    </row>
    <row r="31" spans="1:9" x14ac:dyDescent="0.4">
      <c r="C31" s="7"/>
      <c r="D31" s="7"/>
      <c r="E31" s="7"/>
      <c r="F31" s="7"/>
      <c r="G31" s="7"/>
      <c r="H31" s="7"/>
      <c r="I31" s="7"/>
    </row>
    <row r="32" spans="1:9" x14ac:dyDescent="0.4">
      <c r="C32" s="7"/>
      <c r="D32" s="7"/>
      <c r="E32" s="7"/>
      <c r="F32" s="7"/>
      <c r="G32" s="7"/>
      <c r="H32" s="7"/>
      <c r="I32" s="7"/>
    </row>
    <row r="33" spans="3:9" x14ac:dyDescent="0.4">
      <c r="C33" s="7"/>
      <c r="D33" s="7"/>
      <c r="E33" s="7"/>
      <c r="F33" s="7"/>
      <c r="G33" s="7"/>
      <c r="H33" s="7"/>
      <c r="I33" s="7"/>
    </row>
    <row r="34" spans="3:9" x14ac:dyDescent="0.4">
      <c r="C34" s="7"/>
      <c r="D34" s="7"/>
      <c r="E34" s="7"/>
      <c r="F34" s="7"/>
      <c r="G34" s="7"/>
      <c r="H34" s="7"/>
      <c r="I34" s="7"/>
    </row>
    <row r="35" spans="3:9" x14ac:dyDescent="0.4">
      <c r="C35" s="7"/>
      <c r="D35" s="7"/>
      <c r="E35" s="7"/>
      <c r="F35" s="7"/>
      <c r="G35" s="7"/>
      <c r="H35" s="7"/>
      <c r="I35" s="7"/>
    </row>
    <row r="36" spans="3:9" x14ac:dyDescent="0.4">
      <c r="C36" s="7"/>
      <c r="D36" s="7"/>
      <c r="E36" s="7"/>
      <c r="F36" s="7"/>
      <c r="G36" s="7"/>
      <c r="H36" s="7"/>
      <c r="I36" s="7"/>
    </row>
    <row r="37" spans="3:9" x14ac:dyDescent="0.4">
      <c r="C37" s="7"/>
      <c r="D37" s="7"/>
      <c r="E37" s="7"/>
      <c r="F37" s="7"/>
      <c r="G37" s="7"/>
      <c r="H37" s="7"/>
      <c r="I37" s="7"/>
    </row>
    <row r="38" spans="3:9" x14ac:dyDescent="0.4">
      <c r="C38" s="7"/>
      <c r="D38" s="7"/>
      <c r="E38" s="7"/>
      <c r="F38" s="7"/>
      <c r="G38" s="7"/>
      <c r="H38" s="7"/>
      <c r="I38" s="7"/>
    </row>
    <row r="39" spans="3:9" x14ac:dyDescent="0.4">
      <c r="C39" s="7"/>
      <c r="D39" s="7"/>
      <c r="E39" s="7"/>
      <c r="F39" s="7"/>
      <c r="G39" s="7"/>
      <c r="H39" s="7"/>
      <c r="I39" s="7"/>
    </row>
    <row r="40" spans="3:9" x14ac:dyDescent="0.4">
      <c r="C40" s="7"/>
      <c r="D40" s="7"/>
      <c r="E40" s="7"/>
      <c r="F40" s="7"/>
      <c r="G40" s="7"/>
      <c r="H40" s="7"/>
      <c r="I40" s="7"/>
    </row>
    <row r="41" spans="3:9" x14ac:dyDescent="0.4">
      <c r="C41" s="7"/>
      <c r="D41" s="7"/>
      <c r="E41" s="7"/>
      <c r="F41" s="7"/>
      <c r="G41" s="7"/>
      <c r="H41" s="7"/>
      <c r="I41" s="7"/>
    </row>
    <row r="42" spans="3:9" x14ac:dyDescent="0.4">
      <c r="C42" s="7"/>
      <c r="D42" s="7"/>
      <c r="E42" s="7"/>
      <c r="F42" s="7"/>
      <c r="G42" s="7"/>
      <c r="H42" s="7"/>
      <c r="I42" s="7"/>
    </row>
    <row r="43" spans="3:9" x14ac:dyDescent="0.4">
      <c r="C43" s="7"/>
      <c r="D43" s="7"/>
      <c r="E43" s="7"/>
      <c r="F43" s="7"/>
      <c r="G43" s="7"/>
      <c r="H43" s="7"/>
      <c r="I43" s="7"/>
    </row>
    <row r="44" spans="3:9" x14ac:dyDescent="0.4">
      <c r="C44" s="7"/>
      <c r="D44" s="7"/>
      <c r="E44" s="7"/>
      <c r="F44" s="7"/>
      <c r="G44" s="7"/>
      <c r="H44" s="7"/>
      <c r="I44" s="7"/>
    </row>
    <row r="45" spans="3:9" x14ac:dyDescent="0.4">
      <c r="C45" s="7"/>
      <c r="D45" s="7"/>
      <c r="E45" s="7"/>
      <c r="F45" s="7"/>
      <c r="G45" s="7"/>
      <c r="H45" s="7"/>
      <c r="I45" s="7"/>
    </row>
    <row r="46" spans="3:9" x14ac:dyDescent="0.4">
      <c r="C46" s="7"/>
      <c r="D46" s="7"/>
      <c r="E46" s="7"/>
      <c r="F46" s="7"/>
      <c r="G46" s="7"/>
      <c r="H46" s="7"/>
      <c r="I46" s="7"/>
    </row>
    <row r="47" spans="3:9" x14ac:dyDescent="0.4">
      <c r="C47" s="7"/>
      <c r="D47" s="7"/>
      <c r="E47" s="7"/>
      <c r="F47" s="7"/>
      <c r="G47" s="7"/>
      <c r="H47" s="7"/>
      <c r="I47" s="7"/>
    </row>
    <row r="48" spans="3:9" x14ac:dyDescent="0.4">
      <c r="C48" s="7"/>
      <c r="D48" s="7"/>
      <c r="E48" s="7"/>
      <c r="F48" s="7"/>
      <c r="G48" s="7"/>
      <c r="H48" s="7"/>
      <c r="I48" s="7"/>
    </row>
    <row r="49" spans="3:9" x14ac:dyDescent="0.4">
      <c r="C49" s="7"/>
      <c r="D49" s="7"/>
      <c r="E49" s="7"/>
      <c r="F49" s="7"/>
      <c r="G49" s="7"/>
      <c r="H49" s="7"/>
      <c r="I49" s="7"/>
    </row>
    <row r="50" spans="3:9" x14ac:dyDescent="0.4">
      <c r="C50" s="7"/>
      <c r="D50" s="7"/>
      <c r="E50" s="7"/>
      <c r="F50" s="7"/>
      <c r="G50" s="7"/>
      <c r="H50" s="7"/>
      <c r="I50" s="7"/>
    </row>
    <row r="51" spans="3:9" x14ac:dyDescent="0.4">
      <c r="C51" s="7"/>
      <c r="D51" s="7"/>
      <c r="E51" s="7"/>
      <c r="F51" s="7"/>
      <c r="G51" s="7"/>
      <c r="H51" s="7"/>
      <c r="I51" s="7"/>
    </row>
    <row r="52" spans="3:9" x14ac:dyDescent="0.4">
      <c r="C52" s="7"/>
      <c r="D52" s="7"/>
      <c r="E52" s="7"/>
      <c r="F52" s="7"/>
      <c r="G52" s="7"/>
      <c r="H52" s="7"/>
      <c r="I52" s="7"/>
    </row>
    <row r="53" spans="3:9" x14ac:dyDescent="0.4">
      <c r="C53" s="7"/>
      <c r="D53" s="7"/>
      <c r="E53" s="7"/>
      <c r="F53" s="7"/>
      <c r="G53" s="7"/>
      <c r="H53" s="7"/>
      <c r="I53" s="7"/>
    </row>
    <row r="54" spans="3:9" x14ac:dyDescent="0.4">
      <c r="C54" s="7"/>
      <c r="D54" s="7"/>
      <c r="E54" s="7"/>
      <c r="F54" s="7"/>
      <c r="G54" s="7"/>
      <c r="H54" s="7"/>
      <c r="I54" s="7"/>
    </row>
    <row r="55" spans="3:9" x14ac:dyDescent="0.4">
      <c r="C55" s="7"/>
      <c r="D55" s="7"/>
      <c r="E55" s="7"/>
      <c r="F55" s="7"/>
      <c r="G55" s="7"/>
      <c r="H55" s="7"/>
      <c r="I55" s="7"/>
    </row>
    <row r="56" spans="3:9" x14ac:dyDescent="0.4">
      <c r="C56" s="7"/>
      <c r="D56" s="7"/>
      <c r="E56" s="7"/>
      <c r="F56" s="7"/>
      <c r="G56" s="7"/>
      <c r="H56" s="7"/>
      <c r="I56" s="7"/>
    </row>
    <row r="57" spans="3:9" x14ac:dyDescent="0.4">
      <c r="C57" s="7"/>
      <c r="D57" s="7"/>
      <c r="E57" s="7"/>
      <c r="F57" s="7"/>
      <c r="G57" s="7"/>
      <c r="H57" s="7"/>
      <c r="I57" s="7"/>
    </row>
    <row r="58" spans="3:9" x14ac:dyDescent="0.4">
      <c r="C58" s="7"/>
      <c r="D58" s="7"/>
      <c r="E58" s="7"/>
      <c r="F58" s="7"/>
      <c r="G58" s="7"/>
      <c r="H58" s="7"/>
      <c r="I58" s="7"/>
    </row>
    <row r="59" spans="3:9" x14ac:dyDescent="0.4">
      <c r="C59" s="7"/>
      <c r="D59" s="7"/>
      <c r="E59" s="7"/>
      <c r="F59" s="7"/>
      <c r="G59" s="7"/>
      <c r="H59" s="7"/>
      <c r="I59" s="7"/>
    </row>
    <row r="60" spans="3:9" x14ac:dyDescent="0.4">
      <c r="C60" s="7"/>
      <c r="D60" s="7"/>
      <c r="E60" s="7"/>
      <c r="F60" s="7"/>
      <c r="G60" s="7"/>
      <c r="H60" s="7"/>
      <c r="I60" s="7"/>
    </row>
    <row r="61" spans="3:9" x14ac:dyDescent="0.4">
      <c r="C61" s="7"/>
      <c r="D61" s="7"/>
      <c r="E61" s="7"/>
      <c r="F61" s="7"/>
      <c r="G61" s="7"/>
      <c r="H61" s="7"/>
      <c r="I61" s="7"/>
    </row>
    <row r="62" spans="3:9" x14ac:dyDescent="0.4">
      <c r="C62" s="7"/>
      <c r="D62" s="7"/>
      <c r="E62" s="7"/>
      <c r="F62" s="7"/>
      <c r="G62" s="7"/>
      <c r="H62" s="7"/>
      <c r="I62" s="7"/>
    </row>
    <row r="63" spans="3:9" x14ac:dyDescent="0.4">
      <c r="C63" s="7"/>
      <c r="D63" s="7"/>
      <c r="E63" s="7"/>
      <c r="F63" s="7"/>
      <c r="G63" s="7"/>
      <c r="H63" s="7"/>
      <c r="I63" s="7"/>
    </row>
    <row r="64" spans="3:9" x14ac:dyDescent="0.4">
      <c r="C64" s="7"/>
      <c r="D64" s="7"/>
      <c r="E64" s="7"/>
      <c r="F64" s="7"/>
      <c r="G64" s="7"/>
      <c r="H64" s="7"/>
      <c r="I64" s="7"/>
    </row>
    <row r="65" spans="3:9" x14ac:dyDescent="0.4">
      <c r="C65" s="7"/>
      <c r="D65" s="7"/>
      <c r="E65" s="7"/>
      <c r="F65" s="7"/>
      <c r="G65" s="7"/>
      <c r="H65" s="7"/>
      <c r="I65" s="7"/>
    </row>
    <row r="66" spans="3:9" x14ac:dyDescent="0.4">
      <c r="C66" s="7"/>
      <c r="D66" s="7"/>
      <c r="E66" s="7"/>
      <c r="F66" s="7"/>
      <c r="G66" s="7"/>
      <c r="H66" s="7"/>
      <c r="I66" s="7"/>
    </row>
    <row r="67" spans="3:9" x14ac:dyDescent="0.4">
      <c r="C67" s="7"/>
      <c r="D67" s="7"/>
      <c r="E67" s="7"/>
      <c r="F67" s="7"/>
      <c r="G67" s="7"/>
      <c r="H67" s="7"/>
      <c r="I67" s="7"/>
    </row>
    <row r="68" spans="3:9" x14ac:dyDescent="0.4">
      <c r="C68" s="7"/>
      <c r="D68" s="7"/>
      <c r="E68" s="7"/>
      <c r="F68" s="7"/>
      <c r="G68" s="7"/>
      <c r="H68" s="7"/>
      <c r="I68" s="7"/>
    </row>
    <row r="69" spans="3:9" x14ac:dyDescent="0.4">
      <c r="C69" s="7"/>
      <c r="D69" s="7"/>
      <c r="E69" s="7"/>
      <c r="F69" s="7"/>
      <c r="G69" s="7"/>
      <c r="H69" s="7"/>
      <c r="I69" s="7"/>
    </row>
    <row r="70" spans="3:9" x14ac:dyDescent="0.4">
      <c r="C70" s="7"/>
      <c r="D70" s="7"/>
      <c r="E70" s="7"/>
      <c r="F70" s="7"/>
      <c r="G70" s="7"/>
      <c r="H70" s="7"/>
      <c r="I70" s="7"/>
    </row>
    <row r="71" spans="3:9" x14ac:dyDescent="0.4">
      <c r="C71" s="7"/>
      <c r="D71" s="7"/>
      <c r="E71" s="7"/>
      <c r="F71" s="7"/>
      <c r="G71" s="7"/>
      <c r="H71" s="7"/>
      <c r="I71" s="7"/>
    </row>
    <row r="72" spans="3:9" x14ac:dyDescent="0.4">
      <c r="C72" s="7"/>
      <c r="D72" s="7"/>
      <c r="E72" s="7"/>
      <c r="F72" s="7"/>
      <c r="G72" s="7"/>
      <c r="H72" s="7"/>
      <c r="I72" s="7"/>
    </row>
    <row r="73" spans="3:9" x14ac:dyDescent="0.4">
      <c r="C73" s="7"/>
      <c r="D73" s="7"/>
      <c r="E73" s="7"/>
      <c r="F73" s="7"/>
      <c r="G73" s="7"/>
      <c r="H73" s="7"/>
      <c r="I73" s="7"/>
    </row>
    <row r="74" spans="3:9" x14ac:dyDescent="0.4">
      <c r="C74" s="7"/>
      <c r="D74" s="7"/>
      <c r="E74" s="7"/>
      <c r="F74" s="7"/>
      <c r="G74" s="7"/>
      <c r="H74" s="7"/>
      <c r="I74" s="7"/>
    </row>
    <row r="75" spans="3:9" x14ac:dyDescent="0.4">
      <c r="C75" s="7"/>
      <c r="D75" s="7"/>
      <c r="E75" s="7"/>
      <c r="F75" s="7"/>
      <c r="G75" s="7"/>
      <c r="H75" s="7"/>
      <c r="I75" s="7"/>
    </row>
    <row r="76" spans="3:9" x14ac:dyDescent="0.4">
      <c r="C76" s="7"/>
      <c r="D76" s="7"/>
      <c r="E76" s="7"/>
      <c r="F76" s="7"/>
      <c r="G76" s="7"/>
      <c r="H76" s="7"/>
      <c r="I76" s="7"/>
    </row>
    <row r="77" spans="3:9" x14ac:dyDescent="0.4">
      <c r="C77" s="7"/>
      <c r="D77" s="7"/>
      <c r="E77" s="7"/>
      <c r="F77" s="7"/>
      <c r="G77" s="7"/>
      <c r="H77" s="7"/>
      <c r="I77" s="7"/>
    </row>
    <row r="78" spans="3:9" x14ac:dyDescent="0.4">
      <c r="C78" s="7"/>
      <c r="D78" s="7"/>
      <c r="E78" s="7"/>
      <c r="F78" s="7"/>
      <c r="G78" s="7"/>
      <c r="H78" s="7"/>
      <c r="I78" s="7"/>
    </row>
    <row r="79" spans="3:9" x14ac:dyDescent="0.4">
      <c r="C79" s="7"/>
      <c r="D79" s="7"/>
      <c r="E79" s="7"/>
      <c r="F79" s="7"/>
      <c r="G79" s="7"/>
      <c r="H79" s="7"/>
      <c r="I79" s="7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6F5-E256-4238-94E8-52F5606C82C3}">
  <dimension ref="B1:X55"/>
  <sheetViews>
    <sheetView tabSelected="1" zoomScale="70" zoomScaleNormal="70" workbookViewId="0">
      <selection activeCell="W40" sqref="W40"/>
    </sheetView>
  </sheetViews>
  <sheetFormatPr defaultColWidth="9" defaultRowHeight="21.75" customHeight="1" x14ac:dyDescent="0.2"/>
  <cols>
    <col min="1" max="1" width="9" style="3"/>
    <col min="2" max="2" width="4.125" style="3" customWidth="1"/>
    <col min="3" max="3" width="13.5" style="3" bestFit="1" customWidth="1"/>
    <col min="4" max="4" width="9.125" style="3" customWidth="1"/>
    <col min="5" max="5" width="24.625" style="10" bestFit="1" customWidth="1"/>
    <col min="6" max="6" width="9.375" style="11" customWidth="1"/>
    <col min="7" max="9" width="7.75" style="3" customWidth="1"/>
    <col min="10" max="10" width="9" style="3"/>
    <col min="11" max="11" width="9.875" style="3" bestFit="1" customWidth="1"/>
    <col min="12" max="12" width="12.375" style="3" bestFit="1" customWidth="1"/>
    <col min="13" max="13" width="20.625" style="3" bestFit="1" customWidth="1"/>
    <col min="14" max="16384" width="9" style="3"/>
  </cols>
  <sheetData>
    <row r="1" spans="2:24" ht="21.75" customHeight="1" x14ac:dyDescent="0.2">
      <c r="G1" s="12" t="s">
        <v>25</v>
      </c>
      <c r="H1" s="12" t="s">
        <v>27</v>
      </c>
      <c r="I1" s="13" t="s">
        <v>43</v>
      </c>
    </row>
    <row r="3" spans="2:24" s="14" customFormat="1" ht="21.75" customHeight="1" x14ac:dyDescent="0.4">
      <c r="C3" s="45" t="s">
        <v>44</v>
      </c>
      <c r="D3" s="47" t="s">
        <v>45</v>
      </c>
      <c r="E3" s="45" t="s">
        <v>30</v>
      </c>
      <c r="F3" s="47" t="s">
        <v>46</v>
      </c>
      <c r="G3" s="43" t="s">
        <v>50</v>
      </c>
      <c r="H3" s="43"/>
      <c r="I3" s="43"/>
      <c r="K3" s="45" t="s">
        <v>44</v>
      </c>
      <c r="L3" s="47" t="s">
        <v>45</v>
      </c>
      <c r="M3" s="45" t="s">
        <v>30</v>
      </c>
      <c r="N3" s="47" t="s">
        <v>46</v>
      </c>
      <c r="O3" s="43" t="s">
        <v>47</v>
      </c>
      <c r="P3" s="43"/>
      <c r="Q3" s="43"/>
    </row>
    <row r="4" spans="2:24" s="14" customFormat="1" ht="21.75" customHeight="1" x14ac:dyDescent="0.4">
      <c r="C4" s="46"/>
      <c r="D4" s="48"/>
      <c r="E4" s="46"/>
      <c r="F4" s="48"/>
      <c r="G4" s="15" t="s">
        <v>3</v>
      </c>
      <c r="H4" s="15" t="s">
        <v>4</v>
      </c>
      <c r="I4" s="15" t="s">
        <v>43</v>
      </c>
      <c r="K4" s="46"/>
      <c r="L4" s="48"/>
      <c r="M4" s="46"/>
      <c r="N4" s="48"/>
      <c r="O4" s="15" t="s">
        <v>3</v>
      </c>
      <c r="P4" s="15" t="s">
        <v>4</v>
      </c>
      <c r="Q4" s="15" t="s">
        <v>43</v>
      </c>
      <c r="V4"/>
      <c r="W4"/>
      <c r="X4"/>
    </row>
    <row r="5" spans="2:24" s="14" customFormat="1" ht="21.75" customHeight="1" x14ac:dyDescent="0.4">
      <c r="B5" s="14">
        <v>1</v>
      </c>
      <c r="C5" s="16"/>
      <c r="D5" s="65">
        <v>5200803</v>
      </c>
      <c r="E5" s="38" t="s">
        <v>368</v>
      </c>
      <c r="F5" s="17"/>
      <c r="G5" s="18">
        <f>COUNTIFS(Todos!$B$2:$B$71,'Resumo '!G$1,Todos!$A$2:$A$71,'Resumo '!$E5)</f>
        <v>1</v>
      </c>
      <c r="H5" s="18">
        <f>COUNTIFS(Todos!$B$2:$B$71,'Resumo '!H$1,Todos!$A$2:$A$71,'Resumo '!$E5)</f>
        <v>0</v>
      </c>
      <c r="I5" s="19">
        <f>SUM(G5+H5)</f>
        <v>1</v>
      </c>
      <c r="K5" s="16">
        <v>45749</v>
      </c>
      <c r="L5" s="36">
        <v>5200803</v>
      </c>
      <c r="M5" s="37" t="s">
        <v>368</v>
      </c>
      <c r="N5" s="17"/>
      <c r="O5" s="18"/>
      <c r="P5" s="18"/>
      <c r="Q5" s="19"/>
      <c r="S5" s="14" t="str">
        <f>_xlfn.CONCAT(I5,"/",Q5)</f>
        <v>1/</v>
      </c>
      <c r="V5"/>
      <c r="W5"/>
      <c r="X5"/>
    </row>
    <row r="6" spans="2:24" s="14" customFormat="1" ht="21.75" customHeight="1" x14ac:dyDescent="0.4">
      <c r="B6" s="14">
        <v>2</v>
      </c>
      <c r="C6" s="16"/>
      <c r="D6" s="65">
        <v>5203962</v>
      </c>
      <c r="E6" s="38" t="s">
        <v>369</v>
      </c>
      <c r="F6" s="17"/>
      <c r="G6" s="18">
        <f>COUNTIFS(Todos!$B$2:$B$71,'Resumo '!G$1,Todos!$A$2:$A$71,'Resumo '!$E6)</f>
        <v>0</v>
      </c>
      <c r="H6" s="18">
        <f>COUNTIFS(Todos!$B$2:$B$71,'Resumo '!H$1,Todos!$A$2:$A$71,'Resumo '!$E6)</f>
        <v>0</v>
      </c>
      <c r="I6" s="19">
        <f t="shared" ref="I6:I24" si="0">SUM(G6+H6)</f>
        <v>0</v>
      </c>
      <c r="K6" s="16">
        <v>45749</v>
      </c>
      <c r="L6" s="36">
        <v>5203962</v>
      </c>
      <c r="M6" s="37" t="s">
        <v>369</v>
      </c>
      <c r="N6" s="17"/>
      <c r="O6" s="18"/>
      <c r="P6" s="18"/>
      <c r="Q6" s="19"/>
      <c r="S6" s="14" t="str">
        <f t="shared" ref="S6:S26" si="1">_xlfn.CONCAT(I6,"/",Q6)</f>
        <v>0/</v>
      </c>
      <c r="V6"/>
      <c r="W6"/>
      <c r="X6"/>
    </row>
    <row r="7" spans="2:24" s="14" customFormat="1" ht="21.75" customHeight="1" x14ac:dyDescent="0.4">
      <c r="C7" s="16"/>
      <c r="D7" s="65">
        <v>5204904</v>
      </c>
      <c r="E7" s="38" t="s">
        <v>370</v>
      </c>
      <c r="F7" s="17"/>
      <c r="G7" s="18">
        <f>COUNTIFS(Todos!$B$2:$B$71,'Resumo '!G$1,Todos!$A$2:$A$71,'Resumo '!$E7)</f>
        <v>0</v>
      </c>
      <c r="H7" s="18">
        <f>COUNTIFS(Todos!$B$2:$B$71,'Resumo '!H$1,Todos!$A$2:$A$71,'Resumo '!$E7)</f>
        <v>0</v>
      </c>
      <c r="I7" s="19">
        <f t="shared" si="0"/>
        <v>0</v>
      </c>
      <c r="K7" s="16"/>
      <c r="L7" s="36">
        <v>5204904</v>
      </c>
      <c r="M7" s="37" t="s">
        <v>370</v>
      </c>
      <c r="N7" s="17"/>
      <c r="O7" s="18"/>
      <c r="P7" s="18"/>
      <c r="Q7" s="19"/>
      <c r="V7"/>
      <c r="W7"/>
      <c r="X7"/>
    </row>
    <row r="8" spans="2:24" s="14" customFormat="1" ht="21.75" customHeight="1" x14ac:dyDescent="0.4">
      <c r="C8" s="16"/>
      <c r="D8" s="65">
        <v>5205307</v>
      </c>
      <c r="E8" s="38" t="s">
        <v>371</v>
      </c>
      <c r="F8" s="17"/>
      <c r="G8" s="18">
        <f>COUNTIFS(Todos!$B$2:$B$71,'Resumo '!G$1,Todos!$A$2:$A$71,'Resumo '!$E8)</f>
        <v>1</v>
      </c>
      <c r="H8" s="18">
        <f>COUNTIFS(Todos!$B$2:$B$71,'Resumo '!H$1,Todos!$A$2:$A$71,'Resumo '!$E8)</f>
        <v>1</v>
      </c>
      <c r="I8" s="19">
        <f t="shared" si="0"/>
        <v>2</v>
      </c>
      <c r="K8" s="16"/>
      <c r="L8" s="36">
        <v>5205307</v>
      </c>
      <c r="M8" s="37" t="s">
        <v>371</v>
      </c>
      <c r="N8" s="17"/>
      <c r="O8" s="18"/>
      <c r="P8" s="18"/>
      <c r="Q8" s="19"/>
      <c r="V8"/>
      <c r="W8"/>
      <c r="X8"/>
    </row>
    <row r="9" spans="2:24" s="14" customFormat="1" ht="21.75" customHeight="1" x14ac:dyDescent="0.4">
      <c r="C9" s="16"/>
      <c r="D9" s="65">
        <v>5206701</v>
      </c>
      <c r="E9" s="38" t="s">
        <v>372</v>
      </c>
      <c r="F9" s="17"/>
      <c r="G9" s="18">
        <f>COUNTIFS(Todos!$B$2:$B$71,'Resumo '!G$1,Todos!$A$2:$A$71,'Resumo '!$E9)</f>
        <v>0</v>
      </c>
      <c r="H9" s="18">
        <f>COUNTIFS(Todos!$B$2:$B$71,'Resumo '!H$1,Todos!$A$2:$A$71,'Resumo '!$E9)</f>
        <v>0</v>
      </c>
      <c r="I9" s="19">
        <f t="shared" si="0"/>
        <v>0</v>
      </c>
      <c r="K9" s="16"/>
      <c r="L9" s="36">
        <v>5206701</v>
      </c>
      <c r="M9" s="37" t="s">
        <v>372</v>
      </c>
      <c r="N9" s="17"/>
      <c r="O9" s="18"/>
      <c r="P9" s="18"/>
      <c r="Q9" s="19"/>
      <c r="V9"/>
      <c r="W9"/>
      <c r="X9"/>
    </row>
    <row r="10" spans="2:24" s="14" customFormat="1" ht="21.75" customHeight="1" x14ac:dyDescent="0.4">
      <c r="C10" s="16"/>
      <c r="D10" s="65">
        <v>5208301</v>
      </c>
      <c r="E10" s="38" t="s">
        <v>373</v>
      </c>
      <c r="F10" s="17"/>
      <c r="G10" s="18">
        <f>COUNTIFS(Todos!$B$2:$B$71,'Resumo '!G$1,Todos!$A$2:$A$71,'Resumo '!$E10)</f>
        <v>0</v>
      </c>
      <c r="H10" s="18">
        <f>COUNTIFS(Todos!$B$2:$B$71,'Resumo '!H$1,Todos!$A$2:$A$71,'Resumo '!$E10)</f>
        <v>0</v>
      </c>
      <c r="I10" s="19">
        <f t="shared" si="0"/>
        <v>0</v>
      </c>
      <c r="K10" s="16"/>
      <c r="L10" s="36">
        <v>5208301</v>
      </c>
      <c r="M10" s="37" t="s">
        <v>373</v>
      </c>
      <c r="N10" s="17"/>
      <c r="O10" s="18"/>
      <c r="P10" s="18"/>
      <c r="Q10" s="19"/>
      <c r="V10"/>
      <c r="W10"/>
      <c r="X10"/>
    </row>
    <row r="11" spans="2:24" s="14" customFormat="1" ht="21.75" customHeight="1" x14ac:dyDescent="0.4">
      <c r="C11" s="16"/>
      <c r="D11" s="65">
        <v>5207907</v>
      </c>
      <c r="E11" s="38" t="s">
        <v>374</v>
      </c>
      <c r="F11" s="17"/>
      <c r="G11" s="18">
        <f>COUNTIFS(Todos!$B$2:$B$71,'Resumo '!G$1,Todos!$A$2:$A$71,'Resumo '!$E11)</f>
        <v>1</v>
      </c>
      <c r="H11" s="18">
        <f>COUNTIFS(Todos!$B$2:$B$71,'Resumo '!H$1,Todos!$A$2:$A$71,'Resumo '!$E11)</f>
        <v>3</v>
      </c>
      <c r="I11" s="19">
        <f t="shared" si="0"/>
        <v>4</v>
      </c>
      <c r="K11" s="16"/>
      <c r="L11" s="36">
        <v>5207907</v>
      </c>
      <c r="M11" s="37" t="s">
        <v>374</v>
      </c>
      <c r="N11" s="17"/>
      <c r="O11" s="18"/>
      <c r="P11" s="18"/>
      <c r="Q11" s="19"/>
      <c r="V11"/>
      <c r="W11"/>
      <c r="X11"/>
    </row>
    <row r="12" spans="2:24" s="14" customFormat="1" ht="21.75" customHeight="1" x14ac:dyDescent="0.4">
      <c r="C12" s="16"/>
      <c r="D12" s="65">
        <v>5209408</v>
      </c>
      <c r="E12" s="38" t="s">
        <v>375</v>
      </c>
      <c r="F12" s="17"/>
      <c r="G12" s="18">
        <f>COUNTIFS(Todos!$B$2:$B$71,'Resumo '!G$1,Todos!$A$2:$A$71,'Resumo '!$E12)</f>
        <v>1</v>
      </c>
      <c r="H12" s="18">
        <f>COUNTIFS(Todos!$B$2:$B$71,'Resumo '!H$1,Todos!$A$2:$A$71,'Resumo '!$E12)</f>
        <v>2</v>
      </c>
      <c r="I12" s="19">
        <f t="shared" si="0"/>
        <v>3</v>
      </c>
      <c r="K12" s="16"/>
      <c r="L12" s="36">
        <v>5209408</v>
      </c>
      <c r="M12" s="37" t="s">
        <v>375</v>
      </c>
      <c r="N12" s="17"/>
      <c r="O12" s="18"/>
      <c r="P12" s="18"/>
      <c r="Q12" s="19"/>
      <c r="V12"/>
      <c r="W12"/>
      <c r="X12"/>
    </row>
    <row r="13" spans="2:24" s="14" customFormat="1" ht="21.75" customHeight="1" x14ac:dyDescent="0.4">
      <c r="C13" s="16"/>
      <c r="D13" s="65">
        <v>5209903</v>
      </c>
      <c r="E13" s="38" t="s">
        <v>376</v>
      </c>
      <c r="F13" s="17"/>
      <c r="G13" s="18">
        <f>COUNTIFS(Todos!$B$2:$B$71,'Resumo '!G$1,Todos!$A$2:$A$71,'Resumo '!$E13)</f>
        <v>1</v>
      </c>
      <c r="H13" s="18">
        <f>COUNTIFS(Todos!$B$2:$B$71,'Resumo '!H$1,Todos!$A$2:$A$71,'Resumo '!$E13)</f>
        <v>2</v>
      </c>
      <c r="I13" s="19">
        <f t="shared" si="0"/>
        <v>3</v>
      </c>
      <c r="K13" s="16"/>
      <c r="L13" s="36">
        <v>5209903</v>
      </c>
      <c r="M13" s="37" t="s">
        <v>376</v>
      </c>
      <c r="N13" s="17"/>
      <c r="O13" s="18"/>
      <c r="P13" s="18"/>
      <c r="Q13" s="19"/>
      <c r="V13"/>
      <c r="W13"/>
      <c r="X13"/>
    </row>
    <row r="14" spans="2:24" s="14" customFormat="1" ht="21.75" customHeight="1" x14ac:dyDescent="0.4">
      <c r="C14" s="16"/>
      <c r="D14" s="65">
        <v>5212709</v>
      </c>
      <c r="E14" s="38" t="s">
        <v>377</v>
      </c>
      <c r="F14" s="17"/>
      <c r="G14" s="18">
        <f>COUNTIFS(Todos!$B$2:$B$71,'Resumo '!G$1,Todos!$A$2:$A$71,'Resumo '!$E14)</f>
        <v>1</v>
      </c>
      <c r="H14" s="18">
        <f>COUNTIFS(Todos!$B$2:$B$71,'Resumo '!H$1,Todos!$A$2:$A$71,'Resumo '!$E14)</f>
        <v>2</v>
      </c>
      <c r="I14" s="19">
        <f t="shared" si="0"/>
        <v>3</v>
      </c>
      <c r="K14" s="16"/>
      <c r="L14" s="36">
        <v>5212709</v>
      </c>
      <c r="M14" s="37" t="s">
        <v>377</v>
      </c>
      <c r="N14" s="17"/>
      <c r="O14" s="18"/>
      <c r="P14" s="18"/>
      <c r="Q14" s="19"/>
      <c r="V14"/>
      <c r="W14"/>
      <c r="X14"/>
    </row>
    <row r="15" spans="2:24" s="14" customFormat="1" ht="21.75" customHeight="1" x14ac:dyDescent="0.4">
      <c r="C15" s="16"/>
      <c r="D15" s="65">
        <v>5213509</v>
      </c>
      <c r="E15" s="38" t="s">
        <v>378</v>
      </c>
      <c r="F15" s="17"/>
      <c r="G15" s="18">
        <f>COUNTIFS(Todos!$B$2:$B$71,'Resumo '!G$1,Todos!$A$2:$A$71,'Resumo '!$E15)</f>
        <v>0</v>
      </c>
      <c r="H15" s="18">
        <f>COUNTIFS(Todos!$B$2:$B$71,'Resumo '!H$1,Todos!$A$2:$A$71,'Resumo '!$E15)</f>
        <v>0</v>
      </c>
      <c r="I15" s="19">
        <f t="shared" si="0"/>
        <v>0</v>
      </c>
      <c r="K15" s="16"/>
      <c r="L15" s="36">
        <v>5213509</v>
      </c>
      <c r="M15" s="37" t="s">
        <v>378</v>
      </c>
      <c r="N15" s="17"/>
      <c r="O15" s="18"/>
      <c r="P15" s="18"/>
      <c r="Q15" s="19"/>
      <c r="V15"/>
      <c r="W15"/>
      <c r="X15"/>
    </row>
    <row r="16" spans="2:24" s="14" customFormat="1" ht="21.75" customHeight="1" x14ac:dyDescent="0.4">
      <c r="C16" s="16"/>
      <c r="D16" s="65">
        <v>5214903</v>
      </c>
      <c r="E16" s="38" t="s">
        <v>379</v>
      </c>
      <c r="F16" s="17"/>
      <c r="G16" s="18">
        <f>COUNTIFS(Todos!$B$2:$B$71,'Resumo '!G$1,Todos!$A$2:$A$71,'Resumo '!$E16)</f>
        <v>2</v>
      </c>
      <c r="H16" s="18">
        <f>COUNTIFS(Todos!$B$2:$B$71,'Resumo '!H$1,Todos!$A$2:$A$71,'Resumo '!$E16)</f>
        <v>2</v>
      </c>
      <c r="I16" s="19">
        <f t="shared" si="0"/>
        <v>4</v>
      </c>
      <c r="K16" s="16"/>
      <c r="L16" s="36">
        <v>5214903</v>
      </c>
      <c r="M16" s="37" t="s">
        <v>379</v>
      </c>
      <c r="N16" s="17"/>
      <c r="O16" s="18"/>
      <c r="P16" s="18"/>
      <c r="Q16" s="19"/>
      <c r="V16"/>
      <c r="W16"/>
      <c r="X16"/>
    </row>
    <row r="17" spans="2:24" s="14" customFormat="1" ht="21.75" customHeight="1" x14ac:dyDescent="0.4">
      <c r="C17" s="16"/>
      <c r="D17" s="65">
        <v>5218300</v>
      </c>
      <c r="E17" s="38" t="s">
        <v>380</v>
      </c>
      <c r="F17" s="17"/>
      <c r="G17" s="18">
        <f>COUNTIFS(Todos!$B$2:$B$71,'Resumo '!G$1,Todos!$A$2:$A$71,'Resumo '!$E17)</f>
        <v>1</v>
      </c>
      <c r="H17" s="18">
        <f>COUNTIFS(Todos!$B$2:$B$71,'Resumo '!H$1,Todos!$A$2:$A$71,'Resumo '!$E17)</f>
        <v>1</v>
      </c>
      <c r="I17" s="19">
        <f t="shared" si="0"/>
        <v>2</v>
      </c>
      <c r="K17" s="16"/>
      <c r="L17" s="36">
        <v>5218300</v>
      </c>
      <c r="M17" s="37" t="s">
        <v>380</v>
      </c>
      <c r="N17" s="17"/>
      <c r="O17" s="18"/>
      <c r="P17" s="18"/>
      <c r="Q17" s="19"/>
      <c r="V17"/>
      <c r="W17"/>
      <c r="X17"/>
    </row>
    <row r="18" spans="2:24" s="14" customFormat="1" ht="21.75" customHeight="1" x14ac:dyDescent="0.4">
      <c r="C18" s="16"/>
      <c r="D18" s="65">
        <v>5219803</v>
      </c>
      <c r="E18" s="38" t="s">
        <v>381</v>
      </c>
      <c r="F18" s="17"/>
      <c r="G18" s="18">
        <f>COUNTIFS(Todos!$B$2:$B$71,'Resumo '!G$1,Todos!$A$2:$A$71,'Resumo '!$E18)</f>
        <v>0</v>
      </c>
      <c r="H18" s="18">
        <f>COUNTIFS(Todos!$B$2:$B$71,'Resumo '!H$1,Todos!$A$2:$A$71,'Resumo '!$E18)</f>
        <v>0</v>
      </c>
      <c r="I18" s="19">
        <f t="shared" si="0"/>
        <v>0</v>
      </c>
      <c r="K18" s="16"/>
      <c r="L18" s="36">
        <v>5219803</v>
      </c>
      <c r="M18" s="37" t="s">
        <v>381</v>
      </c>
      <c r="N18" s="17"/>
      <c r="O18" s="18"/>
      <c r="P18" s="18"/>
      <c r="Q18" s="19"/>
      <c r="V18"/>
      <c r="W18"/>
      <c r="X18"/>
    </row>
    <row r="19" spans="2:24" s="14" customFormat="1" ht="21.75" customHeight="1" x14ac:dyDescent="0.4">
      <c r="C19" s="16"/>
      <c r="D19" s="65">
        <v>5220686</v>
      </c>
      <c r="E19" s="38" t="s">
        <v>382</v>
      </c>
      <c r="F19" s="17"/>
      <c r="G19" s="18">
        <f>COUNTIFS(Todos!$B$2:$B$71,'Resumo '!G$1,Todos!$A$2:$A$71,'Resumo '!$E19)</f>
        <v>0</v>
      </c>
      <c r="H19" s="18">
        <f>COUNTIFS(Todos!$B$2:$B$71,'Resumo '!H$1,Todos!$A$2:$A$71,'Resumo '!$E19)</f>
        <v>0</v>
      </c>
      <c r="I19" s="19">
        <f t="shared" si="0"/>
        <v>0</v>
      </c>
      <c r="K19" s="16"/>
      <c r="L19" s="36">
        <v>5220686</v>
      </c>
      <c r="M19" s="37" t="s">
        <v>382</v>
      </c>
      <c r="N19" s="17"/>
      <c r="O19" s="18"/>
      <c r="P19" s="18"/>
      <c r="Q19" s="19"/>
      <c r="V19"/>
      <c r="W19"/>
      <c r="X19"/>
    </row>
    <row r="20" spans="2:24" s="14" customFormat="1" ht="21.75" customHeight="1" x14ac:dyDescent="0.4">
      <c r="C20" s="16"/>
      <c r="D20" s="65">
        <v>5220702</v>
      </c>
      <c r="E20" s="38" t="s">
        <v>383</v>
      </c>
      <c r="F20" s="17"/>
      <c r="G20" s="18">
        <f>COUNTIFS(Todos!$B$2:$B$71,'Resumo '!G$1,Todos!$A$2:$A$71,'Resumo '!$E20)</f>
        <v>0</v>
      </c>
      <c r="H20" s="18">
        <f>COUNTIFS(Todos!$B$2:$B$71,'Resumo '!H$1,Todos!$A$2:$A$71,'Resumo '!$E20)</f>
        <v>1</v>
      </c>
      <c r="I20" s="19">
        <f t="shared" si="0"/>
        <v>1</v>
      </c>
      <c r="K20" s="16"/>
      <c r="L20" s="36">
        <v>5220702</v>
      </c>
      <c r="M20" s="37" t="s">
        <v>383</v>
      </c>
      <c r="N20" s="17"/>
      <c r="O20" s="18"/>
      <c r="P20" s="18"/>
      <c r="Q20" s="19"/>
      <c r="V20"/>
      <c r="W20"/>
      <c r="X20"/>
    </row>
    <row r="21" spans="2:24" s="14" customFormat="1" ht="21.75" customHeight="1" x14ac:dyDescent="0.4">
      <c r="C21" s="16"/>
      <c r="D21" s="65">
        <v>5221080</v>
      </c>
      <c r="E21" s="38" t="s">
        <v>384</v>
      </c>
      <c r="F21" s="17"/>
      <c r="G21" s="18">
        <f>COUNTIFS(Todos!$B$2:$B$71,'Resumo '!G$1,Todos!$A$2:$A$71,'Resumo '!$E21)</f>
        <v>0</v>
      </c>
      <c r="H21" s="18">
        <f>COUNTIFS(Todos!$B$2:$B$71,'Resumo '!H$1,Todos!$A$2:$A$71,'Resumo '!$E21)</f>
        <v>0</v>
      </c>
      <c r="I21" s="19">
        <f t="shared" si="0"/>
        <v>0</v>
      </c>
      <c r="K21" s="16"/>
      <c r="L21" s="36">
        <v>5221080</v>
      </c>
      <c r="M21" s="37" t="s">
        <v>384</v>
      </c>
      <c r="N21" s="17"/>
      <c r="O21" s="18"/>
      <c r="P21" s="18"/>
      <c r="Q21" s="19"/>
      <c r="V21"/>
      <c r="W21"/>
      <c r="X21"/>
    </row>
    <row r="22" spans="2:24" s="14" customFormat="1" ht="21.75" customHeight="1" x14ac:dyDescent="0.4">
      <c r="C22" s="16"/>
      <c r="D22" s="65">
        <v>5222203</v>
      </c>
      <c r="E22" s="38" t="s">
        <v>385</v>
      </c>
      <c r="F22" s="17"/>
      <c r="G22" s="18">
        <f>COUNTIFS(Todos!$B$2:$B$71,'Resumo '!G$1,Todos!$A$2:$A$71,'Resumo '!$E22)</f>
        <v>0</v>
      </c>
      <c r="H22" s="18">
        <f>COUNTIFS(Todos!$B$2:$B$71,'Resumo '!H$1,Todos!$A$2:$A$71,'Resumo '!$E22)</f>
        <v>2</v>
      </c>
      <c r="I22" s="19">
        <f t="shared" si="0"/>
        <v>2</v>
      </c>
      <c r="K22" s="16"/>
      <c r="L22" s="36">
        <v>5222203</v>
      </c>
      <c r="M22" s="37" t="s">
        <v>385</v>
      </c>
      <c r="N22" s="17"/>
      <c r="O22" s="18"/>
      <c r="P22" s="18"/>
      <c r="Q22" s="19"/>
      <c r="V22"/>
      <c r="W22"/>
      <c r="X22"/>
    </row>
    <row r="23" spans="2:24" s="14" customFormat="1" ht="21.75" customHeight="1" x14ac:dyDescent="0.4">
      <c r="C23" s="16"/>
      <c r="D23" s="65">
        <v>5220009</v>
      </c>
      <c r="E23" s="38" t="s">
        <v>386</v>
      </c>
      <c r="F23" s="17"/>
      <c r="G23" s="18">
        <f>COUNTIFS(Todos!$B$2:$B$71,'Resumo '!G$1,Todos!$A$2:$A$71,'Resumo '!$E23)</f>
        <v>0</v>
      </c>
      <c r="H23" s="18">
        <f>COUNTIFS(Todos!$B$2:$B$71,'Resumo '!H$1,Todos!$A$2:$A$71,'Resumo '!$E23)</f>
        <v>0</v>
      </c>
      <c r="I23" s="19">
        <f t="shared" si="0"/>
        <v>0</v>
      </c>
      <c r="K23" s="16"/>
      <c r="L23" s="36">
        <v>5220009</v>
      </c>
      <c r="M23" s="37" t="s">
        <v>386</v>
      </c>
      <c r="N23" s="17"/>
      <c r="O23" s="18"/>
      <c r="P23" s="18"/>
      <c r="Q23" s="19"/>
      <c r="V23"/>
      <c r="W23"/>
      <c r="X23"/>
    </row>
    <row r="24" spans="2:24" s="14" customFormat="1" ht="21.75" customHeight="1" thickBot="1" x14ac:dyDescent="0.45">
      <c r="C24" s="16"/>
      <c r="D24" s="65">
        <v>1506708</v>
      </c>
      <c r="E24" s="38" t="s">
        <v>387</v>
      </c>
      <c r="F24" s="17"/>
      <c r="G24" s="18">
        <f>COUNTIFS(Todos!$B$2:$B$71,'Resumo '!G$1,Todos!$A$2:$A$71,'Resumo '!$E24)</f>
        <v>0</v>
      </c>
      <c r="H24" s="18">
        <f>COUNTIFS(Todos!$B$2:$B$71,'Resumo '!H$1,Todos!$A$2:$A$71,'Resumo '!$E24)</f>
        <v>0</v>
      </c>
      <c r="I24" s="19">
        <f t="shared" si="0"/>
        <v>0</v>
      </c>
      <c r="K24" s="16"/>
      <c r="L24" s="36">
        <v>1506708</v>
      </c>
      <c r="M24" s="37" t="s">
        <v>387</v>
      </c>
      <c r="N24" s="17"/>
      <c r="O24" s="18"/>
      <c r="P24" s="18"/>
      <c r="Q24" s="19"/>
      <c r="V24"/>
      <c r="W24"/>
      <c r="X24"/>
    </row>
    <row r="25" spans="2:24" s="14" customFormat="1" ht="21.75" customHeight="1" x14ac:dyDescent="0.4">
      <c r="C25" s="44" t="s">
        <v>48</v>
      </c>
      <c r="D25" s="44"/>
      <c r="E25" s="44"/>
      <c r="F25" s="44"/>
      <c r="G25" s="20">
        <f>SUM(G5:G24)</f>
        <v>9</v>
      </c>
      <c r="H25" s="20">
        <f>SUM(H5:H24)</f>
        <v>16</v>
      </c>
      <c r="I25" s="21">
        <f>SUM(I5:I24)</f>
        <v>25</v>
      </c>
      <c r="K25" s="44" t="s">
        <v>48</v>
      </c>
      <c r="L25" s="44"/>
      <c r="M25" s="44"/>
      <c r="N25" s="44"/>
      <c r="O25" s="20">
        <v>17</v>
      </c>
      <c r="P25" s="20">
        <v>63</v>
      </c>
      <c r="Q25" s="21">
        <f>+O25+P25</f>
        <v>80</v>
      </c>
      <c r="S25" s="14" t="str">
        <f t="shared" si="1"/>
        <v>25/80</v>
      </c>
    </row>
    <row r="26" spans="2:24" s="14" customFormat="1" ht="21.75" customHeight="1" thickBot="1" x14ac:dyDescent="0.45">
      <c r="B26" s="22"/>
      <c r="C26" s="44" t="s">
        <v>49</v>
      </c>
      <c r="D26" s="44"/>
      <c r="E26" s="44"/>
      <c r="F26" s="44"/>
      <c r="G26" s="23">
        <f>COUNTIF(G5:G24,"&lt;&gt;0")</f>
        <v>8</v>
      </c>
      <c r="H26" s="23">
        <f>COUNTIF(H5:H24,"&lt;&gt;0")</f>
        <v>9</v>
      </c>
      <c r="I26" s="24">
        <f>COUNTIF(I5:I24,"&lt;&gt;0")</f>
        <v>10</v>
      </c>
      <c r="K26" s="44" t="s">
        <v>49</v>
      </c>
      <c r="L26" s="44"/>
      <c r="M26" s="44"/>
      <c r="N26" s="44"/>
      <c r="O26" s="23">
        <v>16</v>
      </c>
      <c r="P26" s="23">
        <v>35</v>
      </c>
      <c r="Q26" s="24">
        <v>36</v>
      </c>
      <c r="S26" s="14" t="str">
        <f t="shared" si="1"/>
        <v>10/36</v>
      </c>
    </row>
    <row r="27" spans="2:24" s="14" customFormat="1" ht="21.75" customHeight="1" x14ac:dyDescent="0.4">
      <c r="E27" s="25"/>
      <c r="G27" s="14">
        <v>32</v>
      </c>
      <c r="H27" s="14">
        <v>60</v>
      </c>
      <c r="I27" s="14">
        <v>92</v>
      </c>
    </row>
    <row r="28" spans="2:24" s="14" customFormat="1" ht="21.75" customHeight="1" x14ac:dyDescent="0.4">
      <c r="E28" s="25"/>
      <c r="G28" s="26">
        <f t="shared" ref="G28:H28" si="2">+G25/G27</f>
        <v>0.28125</v>
      </c>
      <c r="H28" s="26">
        <f t="shared" si="2"/>
        <v>0.26666666666666666</v>
      </c>
      <c r="I28" s="26">
        <f>+I25/I27</f>
        <v>0.27173913043478259</v>
      </c>
    </row>
    <row r="30" spans="2:24" ht="21.75" customHeight="1" x14ac:dyDescent="0.2">
      <c r="K30" s="27">
        <f>+G25/$I$25</f>
        <v>0.36</v>
      </c>
      <c r="L30" s="27">
        <f>+H25/$I$25</f>
        <v>0.64</v>
      </c>
      <c r="M30" s="27">
        <f>+I25/$I$25</f>
        <v>1</v>
      </c>
    </row>
    <row r="31" spans="2:24" ht="21.75" customHeight="1" x14ac:dyDescent="0.2">
      <c r="G31" s="15" t="s">
        <v>3</v>
      </c>
      <c r="H31" s="15" t="s">
        <v>53</v>
      </c>
      <c r="I31" s="15" t="s">
        <v>43</v>
      </c>
    </row>
    <row r="32" spans="2:24" s="28" customFormat="1" ht="21.75" customHeight="1" x14ac:dyDescent="0.2">
      <c r="D32" s="29"/>
      <c r="E32" s="29"/>
      <c r="F32" s="29" t="s">
        <v>51</v>
      </c>
      <c r="G32" s="30">
        <f>+G25</f>
        <v>9</v>
      </c>
      <c r="H32" s="30">
        <f t="shared" ref="H32:I32" si="3">+H25</f>
        <v>16</v>
      </c>
      <c r="I32" s="30">
        <f t="shared" si="3"/>
        <v>25</v>
      </c>
    </row>
    <row r="33" spans="3:9" s="28" customFormat="1" ht="21.75" customHeight="1" x14ac:dyDescent="0.2">
      <c r="D33" s="29"/>
      <c r="E33" s="29"/>
      <c r="F33" s="29" t="s">
        <v>52</v>
      </c>
      <c r="G33" s="30">
        <f>+G26</f>
        <v>8</v>
      </c>
      <c r="H33" s="30">
        <f t="shared" ref="H33:I33" si="4">+H26</f>
        <v>9</v>
      </c>
      <c r="I33" s="30">
        <f t="shared" si="4"/>
        <v>10</v>
      </c>
    </row>
    <row r="34" spans="3:9" s="28" customFormat="1" ht="21.75" customHeight="1" x14ac:dyDescent="0.2">
      <c r="E34" s="31"/>
      <c r="F34" s="32"/>
    </row>
    <row r="35" spans="3:9" s="28" customFormat="1" ht="21.75" customHeight="1" x14ac:dyDescent="0.2">
      <c r="E35" s="31"/>
      <c r="F35" s="32"/>
    </row>
    <row r="36" spans="3:9" s="28" customFormat="1" ht="21.75" customHeight="1" x14ac:dyDescent="0.2">
      <c r="C36" s="42" t="s">
        <v>48</v>
      </c>
      <c r="D36" s="42"/>
      <c r="E36" s="42"/>
      <c r="F36" s="42"/>
    </row>
    <row r="37" spans="3:9" s="28" customFormat="1" ht="21.75" customHeight="1" x14ac:dyDescent="0.2">
      <c r="C37" s="42" t="s">
        <v>49</v>
      </c>
      <c r="D37" s="42"/>
      <c r="E37" s="42"/>
      <c r="F37" s="42"/>
    </row>
    <row r="38" spans="3:9" s="28" customFormat="1" ht="21.75" customHeight="1" x14ac:dyDescent="0.2">
      <c r="E38" s="31"/>
      <c r="F38" s="32"/>
    </row>
    <row r="39" spans="3:9" s="28" customFormat="1" ht="21.75" customHeight="1" x14ac:dyDescent="0.2">
      <c r="E39" s="31"/>
      <c r="F39" s="32" t="s">
        <v>51</v>
      </c>
      <c r="G39" s="28" t="s">
        <v>52</v>
      </c>
    </row>
    <row r="40" spans="3:9" s="28" customFormat="1" ht="21.75" customHeight="1" x14ac:dyDescent="0.2">
      <c r="E40" s="31" t="s">
        <v>3</v>
      </c>
      <c r="F40" s="32">
        <f>+G32</f>
        <v>9</v>
      </c>
      <c r="G40" s="28">
        <f>+G33</f>
        <v>8</v>
      </c>
    </row>
    <row r="41" spans="3:9" s="28" customFormat="1" ht="21.75" customHeight="1" x14ac:dyDescent="0.2">
      <c r="E41" s="31" t="s">
        <v>53</v>
      </c>
      <c r="F41" s="32">
        <f>+H32</f>
        <v>16</v>
      </c>
      <c r="G41" s="28">
        <f>+H33</f>
        <v>9</v>
      </c>
    </row>
    <row r="42" spans="3:9" s="28" customFormat="1" ht="21.75" customHeight="1" x14ac:dyDescent="0.2">
      <c r="E42" s="31"/>
      <c r="F42" s="32"/>
    </row>
    <row r="43" spans="3:9" s="28" customFormat="1" ht="21.75" customHeight="1" x14ac:dyDescent="0.2">
      <c r="E43" s="31"/>
      <c r="F43" s="32">
        <v>63</v>
      </c>
    </row>
    <row r="44" spans="3:9" s="28" customFormat="1" ht="21.75" customHeight="1" x14ac:dyDescent="0.2">
      <c r="E44" s="31"/>
      <c r="F44" s="32">
        <v>17</v>
      </c>
    </row>
    <row r="45" spans="3:9" s="28" customFormat="1" ht="21.75" customHeight="1" x14ac:dyDescent="0.2">
      <c r="E45" s="31"/>
      <c r="F45" s="32">
        <f>+F43+F44</f>
        <v>80</v>
      </c>
    </row>
    <row r="46" spans="3:9" s="28" customFormat="1" ht="21.75" customHeight="1" x14ac:dyDescent="0.2">
      <c r="E46" s="31"/>
      <c r="F46" s="40">
        <f>+I32/F45</f>
        <v>0.3125</v>
      </c>
      <c r="G46" s="41">
        <f>+F40/F44</f>
        <v>0.52941176470588236</v>
      </c>
    </row>
    <row r="47" spans="3:9" s="28" customFormat="1" ht="21.75" customHeight="1" x14ac:dyDescent="0.2">
      <c r="E47" s="31"/>
      <c r="F47" s="32"/>
      <c r="G47" s="41">
        <f>+F41/F43</f>
        <v>0.25396825396825395</v>
      </c>
    </row>
    <row r="48" spans="3:9" s="28" customFormat="1" ht="21.75" customHeight="1" x14ac:dyDescent="0.2">
      <c r="E48" s="31"/>
      <c r="F48" s="32"/>
    </row>
    <row r="49" spans="5:6" s="28" customFormat="1" ht="21.75" customHeight="1" x14ac:dyDescent="0.2">
      <c r="E49" s="31"/>
      <c r="F49" s="32"/>
    </row>
    <row r="50" spans="5:6" s="28" customFormat="1" ht="21.75" customHeight="1" x14ac:dyDescent="0.2">
      <c r="E50" s="31"/>
      <c r="F50" s="32"/>
    </row>
    <row r="51" spans="5:6" s="28" customFormat="1" ht="21.75" customHeight="1" x14ac:dyDescent="0.2">
      <c r="E51" s="31"/>
      <c r="F51" s="32"/>
    </row>
    <row r="52" spans="5:6" s="28" customFormat="1" ht="21.75" customHeight="1" x14ac:dyDescent="0.2">
      <c r="E52" s="31"/>
      <c r="F52" s="32"/>
    </row>
    <row r="53" spans="5:6" s="28" customFormat="1" ht="21.75" customHeight="1" x14ac:dyDescent="0.2">
      <c r="E53" s="31"/>
      <c r="F53" s="32"/>
    </row>
    <row r="54" spans="5:6" s="28" customFormat="1" ht="21.75" customHeight="1" x14ac:dyDescent="0.2">
      <c r="E54" s="31"/>
      <c r="F54" s="32"/>
    </row>
    <row r="55" spans="5:6" s="28" customFormat="1" ht="21.75" customHeight="1" x14ac:dyDescent="0.2">
      <c r="E55" s="31"/>
      <c r="F55" s="32"/>
    </row>
  </sheetData>
  <mergeCells count="16">
    <mergeCell ref="C37:F37"/>
    <mergeCell ref="O3:Q3"/>
    <mergeCell ref="K25:N25"/>
    <mergeCell ref="K26:N26"/>
    <mergeCell ref="C36:F36"/>
    <mergeCell ref="C25:F25"/>
    <mergeCell ref="C26:F26"/>
    <mergeCell ref="K3:K4"/>
    <mergeCell ref="L3:L4"/>
    <mergeCell ref="M3:M4"/>
    <mergeCell ref="N3:N4"/>
    <mergeCell ref="C3:C4"/>
    <mergeCell ref="D3:D4"/>
    <mergeCell ref="E3:E4"/>
    <mergeCell ref="F3:F4"/>
    <mergeCell ref="G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Apendice III</vt:lpstr>
      <vt:lpstr>Todos</vt:lpstr>
      <vt:lpstr>CACS</vt:lpstr>
      <vt:lpstr>GESTORES</vt:lpstr>
      <vt:lpstr>Resumo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Giraldo</dc:creator>
  <cp:lastModifiedBy>Robinson Zuluaga</cp:lastModifiedBy>
  <dcterms:created xsi:type="dcterms:W3CDTF">2024-06-20T01:29:06Z</dcterms:created>
  <dcterms:modified xsi:type="dcterms:W3CDTF">2026-06-19T10:00:44Z</dcterms:modified>
</cp:coreProperties>
</file>