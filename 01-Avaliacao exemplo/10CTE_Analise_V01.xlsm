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R:\Dropbox\090_UFG\08_PTE - FAPPTE\23_10CTE\"/>
    </mc:Choice>
  </mc:AlternateContent>
  <xr:revisionPtr revIDLastSave="0" documentId="13_ncr:1_{241C1529-DE9E-49D4-9887-C18000E55E28}" xr6:coauthVersionLast="47" xr6:coauthVersionMax="47" xr10:uidLastSave="{00000000-0000-0000-0000-000000000000}"/>
  <bookViews>
    <workbookView xWindow="-23148" yWindow="-108" windowWidth="23256" windowHeight="12576" tabRatio="772" activeTab="4" xr2:uid="{CF705BD6-A6DF-48B5-B1CC-0BABAB37C2E4}"/>
  </bookViews>
  <sheets>
    <sheet name="Dados" sheetId="17" r:id="rId1"/>
    <sheet name="Apendice III" sheetId="24" r:id="rId2"/>
    <sheet name="Todos" sheetId="18" r:id="rId3"/>
    <sheet name="CACS" sheetId="22" r:id="rId4"/>
    <sheet name="GESTORES" sheetId="23" r:id="rId5"/>
    <sheet name="Resumo " sheetId="21" r:id="rId6"/>
  </sheets>
  <definedNames>
    <definedName name="_xlnm._FilterDatabase" localSheetId="5" hidden="1">'Resumo '!$D$4:$H$37</definedName>
    <definedName name="_xleta.X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" i="18" l="1"/>
  <c r="B18" i="18"/>
  <c r="C18" i="18"/>
  <c r="D18" i="18"/>
  <c r="E18" i="18"/>
  <c r="F18" i="18"/>
  <c r="G18" i="18"/>
  <c r="H18" i="18"/>
  <c r="I18" i="18"/>
  <c r="A19" i="18"/>
  <c r="B19" i="18"/>
  <c r="C19" i="18"/>
  <c r="D19" i="18"/>
  <c r="E19" i="18"/>
  <c r="F19" i="18"/>
  <c r="G19" i="18"/>
  <c r="H19" i="18"/>
  <c r="I19" i="18"/>
  <c r="A20" i="18"/>
  <c r="B20" i="18"/>
  <c r="C20" i="18"/>
  <c r="D20" i="18"/>
  <c r="E20" i="18"/>
  <c r="F20" i="18"/>
  <c r="G20" i="18"/>
  <c r="H20" i="18"/>
  <c r="I20" i="18"/>
  <c r="A21" i="18"/>
  <c r="B21" i="18"/>
  <c r="C21" i="18"/>
  <c r="D21" i="18"/>
  <c r="E21" i="18"/>
  <c r="F21" i="18"/>
  <c r="G21" i="18"/>
  <c r="H21" i="18"/>
  <c r="I21" i="18"/>
  <c r="A22" i="18"/>
  <c r="B22" i="18"/>
  <c r="C22" i="18"/>
  <c r="D22" i="18"/>
  <c r="E22" i="18"/>
  <c r="F22" i="18"/>
  <c r="G22" i="18"/>
  <c r="H22" i="18"/>
  <c r="I22" i="18"/>
  <c r="A23" i="18"/>
  <c r="B23" i="18"/>
  <c r="C23" i="18"/>
  <c r="D23" i="18"/>
  <c r="E23" i="18"/>
  <c r="F23" i="18"/>
  <c r="G23" i="18"/>
  <c r="H23" i="18"/>
  <c r="I23" i="18"/>
  <c r="A24" i="18"/>
  <c r="B24" i="18"/>
  <c r="C24" i="18"/>
  <c r="D24" i="18"/>
  <c r="E24" i="18"/>
  <c r="F24" i="18"/>
  <c r="G24" i="18"/>
  <c r="H24" i="18"/>
  <c r="I24" i="18"/>
  <c r="A25" i="18"/>
  <c r="B25" i="18"/>
  <c r="C25" i="18"/>
  <c r="D25" i="18"/>
  <c r="E25" i="18"/>
  <c r="F25" i="18"/>
  <c r="G25" i="18"/>
  <c r="H25" i="18"/>
  <c r="I25" i="18"/>
  <c r="A26" i="18"/>
  <c r="B26" i="18"/>
  <c r="C26" i="18"/>
  <c r="D26" i="18"/>
  <c r="E26" i="18"/>
  <c r="F26" i="18"/>
  <c r="G26" i="18"/>
  <c r="H26" i="18"/>
  <c r="I26" i="18"/>
  <c r="A27" i="18"/>
  <c r="B27" i="18"/>
  <c r="C27" i="18"/>
  <c r="D27" i="18"/>
  <c r="E27" i="18"/>
  <c r="F27" i="18"/>
  <c r="G27" i="18"/>
  <c r="H27" i="18"/>
  <c r="I27" i="18"/>
  <c r="A28" i="18"/>
  <c r="B28" i="18"/>
  <c r="C28" i="18"/>
  <c r="D28" i="18"/>
  <c r="E28" i="18"/>
  <c r="F28" i="18"/>
  <c r="G28" i="18"/>
  <c r="H28" i="18"/>
  <c r="I28" i="18"/>
  <c r="A29" i="18"/>
  <c r="B29" i="18"/>
  <c r="C29" i="18"/>
  <c r="D29" i="18"/>
  <c r="E29" i="18"/>
  <c r="F29" i="18"/>
  <c r="G29" i="18"/>
  <c r="H29" i="18"/>
  <c r="I29" i="18"/>
  <c r="A30" i="18"/>
  <c r="B30" i="18"/>
  <c r="C30" i="18"/>
  <c r="D30" i="18"/>
  <c r="E30" i="18"/>
  <c r="F30" i="18"/>
  <c r="G30" i="18"/>
  <c r="H30" i="18"/>
  <c r="I30" i="18"/>
  <c r="A31" i="18"/>
  <c r="B31" i="18"/>
  <c r="C31" i="18"/>
  <c r="D31" i="18"/>
  <c r="E31" i="18"/>
  <c r="F31" i="18"/>
  <c r="G31" i="18"/>
  <c r="H31" i="18"/>
  <c r="I31" i="18"/>
  <c r="A32" i="18"/>
  <c r="B32" i="18"/>
  <c r="C32" i="18"/>
  <c r="D32" i="18"/>
  <c r="E32" i="18"/>
  <c r="F32" i="18"/>
  <c r="G32" i="18"/>
  <c r="H32" i="18"/>
  <c r="I32" i="18"/>
  <c r="A33" i="18"/>
  <c r="B33" i="18"/>
  <c r="C33" i="18"/>
  <c r="D33" i="18"/>
  <c r="E33" i="18"/>
  <c r="F33" i="18"/>
  <c r="G33" i="18"/>
  <c r="H33" i="18"/>
  <c r="I33" i="18"/>
  <c r="A34" i="18"/>
  <c r="B34" i="18"/>
  <c r="C34" i="18"/>
  <c r="D34" i="18"/>
  <c r="E34" i="18"/>
  <c r="F34" i="18"/>
  <c r="G34" i="18"/>
  <c r="H34" i="18"/>
  <c r="I34" i="18"/>
  <c r="A35" i="18"/>
  <c r="B35" i="18"/>
  <c r="C35" i="18"/>
  <c r="D35" i="18"/>
  <c r="E35" i="18"/>
  <c r="F35" i="18"/>
  <c r="G35" i="18"/>
  <c r="H35" i="18"/>
  <c r="I35" i="18"/>
  <c r="A36" i="18"/>
  <c r="B36" i="18"/>
  <c r="C36" i="18"/>
  <c r="D36" i="18"/>
  <c r="E36" i="18"/>
  <c r="F36" i="18"/>
  <c r="G36" i="18"/>
  <c r="H36" i="18"/>
  <c r="I36" i="18"/>
  <c r="A37" i="18"/>
  <c r="B37" i="18"/>
  <c r="C37" i="18"/>
  <c r="D37" i="18"/>
  <c r="E37" i="18"/>
  <c r="F37" i="18"/>
  <c r="G37" i="18"/>
  <c r="H37" i="18"/>
  <c r="I37" i="18"/>
  <c r="A38" i="18"/>
  <c r="B38" i="18"/>
  <c r="C38" i="18"/>
  <c r="D38" i="18"/>
  <c r="E38" i="18"/>
  <c r="F38" i="18"/>
  <c r="G38" i="18"/>
  <c r="H38" i="18"/>
  <c r="I38" i="18"/>
  <c r="A39" i="18"/>
  <c r="B39" i="18"/>
  <c r="C39" i="18"/>
  <c r="D39" i="18"/>
  <c r="E39" i="18"/>
  <c r="F39" i="18"/>
  <c r="G39" i="18"/>
  <c r="H39" i="18"/>
  <c r="I39" i="18"/>
  <c r="A40" i="18"/>
  <c r="B40" i="18"/>
  <c r="C40" i="18"/>
  <c r="D40" i="18"/>
  <c r="E40" i="18"/>
  <c r="F40" i="18"/>
  <c r="G40" i="18"/>
  <c r="H40" i="18"/>
  <c r="I40" i="18"/>
  <c r="A41" i="18"/>
  <c r="B41" i="18"/>
  <c r="C41" i="18"/>
  <c r="D41" i="18"/>
  <c r="E41" i="18"/>
  <c r="F41" i="18"/>
  <c r="G41" i="18"/>
  <c r="H41" i="18"/>
  <c r="I41" i="18"/>
  <c r="A42" i="18"/>
  <c r="B42" i="18"/>
  <c r="C42" i="18"/>
  <c r="D42" i="18"/>
  <c r="E42" i="18"/>
  <c r="F42" i="18"/>
  <c r="G42" i="18"/>
  <c r="H42" i="18"/>
  <c r="I42" i="18"/>
  <c r="A43" i="18"/>
  <c r="B43" i="18"/>
  <c r="C43" i="18"/>
  <c r="D43" i="18"/>
  <c r="E43" i="18"/>
  <c r="F43" i="18"/>
  <c r="G43" i="18"/>
  <c r="H43" i="18"/>
  <c r="I43" i="18"/>
  <c r="A44" i="18"/>
  <c r="B44" i="18"/>
  <c r="C44" i="18"/>
  <c r="D44" i="18"/>
  <c r="E44" i="18"/>
  <c r="F44" i="18"/>
  <c r="G44" i="18"/>
  <c r="H44" i="18"/>
  <c r="I44" i="18"/>
  <c r="A45" i="18"/>
  <c r="B45" i="18"/>
  <c r="C45" i="18"/>
  <c r="D45" i="18"/>
  <c r="E45" i="18"/>
  <c r="F45" i="18"/>
  <c r="G45" i="18"/>
  <c r="H45" i="18"/>
  <c r="I45" i="18"/>
  <c r="A46" i="18"/>
  <c r="B46" i="18"/>
  <c r="C46" i="18"/>
  <c r="D46" i="18"/>
  <c r="E46" i="18"/>
  <c r="F46" i="18"/>
  <c r="G46" i="18"/>
  <c r="H46" i="18"/>
  <c r="I46" i="18"/>
  <c r="A47" i="18"/>
  <c r="B47" i="18"/>
  <c r="C47" i="18"/>
  <c r="D47" i="18"/>
  <c r="E47" i="18"/>
  <c r="F47" i="18"/>
  <c r="G47" i="18"/>
  <c r="H47" i="18"/>
  <c r="I47" i="18"/>
  <c r="A48" i="18"/>
  <c r="B48" i="18"/>
  <c r="C48" i="18"/>
  <c r="D48" i="18"/>
  <c r="E48" i="18"/>
  <c r="F48" i="18"/>
  <c r="G48" i="18"/>
  <c r="H48" i="18"/>
  <c r="I48" i="18"/>
  <c r="N11" i="23"/>
  <c r="A17" i="23"/>
  <c r="B17" i="23"/>
  <c r="C17" i="23"/>
  <c r="D17" i="23"/>
  <c r="E17" i="23"/>
  <c r="F17" i="23"/>
  <c r="G17" i="23"/>
  <c r="H17" i="23"/>
  <c r="I17" i="23"/>
  <c r="A18" i="23"/>
  <c r="B18" i="23"/>
  <c r="C18" i="23"/>
  <c r="D18" i="23"/>
  <c r="E18" i="23"/>
  <c r="F18" i="23"/>
  <c r="G18" i="23"/>
  <c r="H18" i="23"/>
  <c r="I18" i="23"/>
  <c r="A19" i="23"/>
  <c r="B19" i="23"/>
  <c r="C19" i="23"/>
  <c r="D19" i="23"/>
  <c r="E19" i="23"/>
  <c r="F19" i="23"/>
  <c r="G19" i="23"/>
  <c r="H19" i="23"/>
  <c r="I19" i="23"/>
  <c r="A20" i="23"/>
  <c r="B20" i="23"/>
  <c r="C20" i="23"/>
  <c r="D20" i="23"/>
  <c r="E20" i="23"/>
  <c r="F20" i="23"/>
  <c r="G20" i="23"/>
  <c r="H20" i="23"/>
  <c r="I20" i="23"/>
  <c r="A21" i="23"/>
  <c r="B21" i="23"/>
  <c r="C21" i="23"/>
  <c r="D21" i="23"/>
  <c r="E21" i="23"/>
  <c r="F21" i="23"/>
  <c r="G21" i="23"/>
  <c r="H21" i="23"/>
  <c r="I21" i="23"/>
  <c r="A22" i="23"/>
  <c r="B22" i="23"/>
  <c r="C22" i="23"/>
  <c r="D22" i="23"/>
  <c r="E22" i="23"/>
  <c r="F22" i="23"/>
  <c r="G22" i="23"/>
  <c r="H22" i="23"/>
  <c r="I22" i="23"/>
  <c r="A23" i="23"/>
  <c r="B23" i="23"/>
  <c r="C23" i="23"/>
  <c r="D23" i="23"/>
  <c r="E23" i="23"/>
  <c r="F23" i="23"/>
  <c r="G23" i="23"/>
  <c r="H23" i="23"/>
  <c r="I23" i="23"/>
  <c r="A24" i="23"/>
  <c r="B24" i="23"/>
  <c r="C24" i="23"/>
  <c r="D24" i="23"/>
  <c r="E24" i="23"/>
  <c r="F24" i="23"/>
  <c r="G24" i="23"/>
  <c r="H24" i="23"/>
  <c r="I24" i="23"/>
  <c r="A25" i="23"/>
  <c r="B25" i="23"/>
  <c r="C25" i="23"/>
  <c r="D25" i="23"/>
  <c r="E25" i="23"/>
  <c r="F25" i="23"/>
  <c r="G25" i="23"/>
  <c r="H25" i="23"/>
  <c r="I25" i="23"/>
  <c r="A26" i="23"/>
  <c r="B26" i="23"/>
  <c r="C26" i="23"/>
  <c r="D26" i="23"/>
  <c r="E26" i="23"/>
  <c r="F26" i="23"/>
  <c r="G26" i="23"/>
  <c r="H26" i="23"/>
  <c r="I26" i="23"/>
  <c r="A27" i="23"/>
  <c r="B27" i="23"/>
  <c r="C27" i="23"/>
  <c r="D27" i="23"/>
  <c r="E27" i="23"/>
  <c r="F27" i="23"/>
  <c r="G27" i="23"/>
  <c r="H27" i="23"/>
  <c r="I27" i="23"/>
  <c r="A28" i="23"/>
  <c r="B28" i="23"/>
  <c r="C28" i="23"/>
  <c r="D28" i="23"/>
  <c r="E28" i="23"/>
  <c r="F28" i="23"/>
  <c r="G28" i="23"/>
  <c r="H28" i="23"/>
  <c r="I28" i="23"/>
  <c r="A29" i="23"/>
  <c r="B29" i="23"/>
  <c r="C29" i="23"/>
  <c r="D29" i="23"/>
  <c r="E29" i="23"/>
  <c r="F29" i="23"/>
  <c r="G29" i="23"/>
  <c r="H29" i="23"/>
  <c r="I29" i="23"/>
  <c r="A30" i="23"/>
  <c r="B30" i="23"/>
  <c r="C30" i="23"/>
  <c r="D30" i="23"/>
  <c r="E30" i="23"/>
  <c r="F30" i="23"/>
  <c r="G30" i="23"/>
  <c r="H30" i="23"/>
  <c r="I30" i="23"/>
  <c r="A31" i="23"/>
  <c r="B31" i="23"/>
  <c r="C31" i="23"/>
  <c r="D31" i="23"/>
  <c r="E31" i="23"/>
  <c r="F31" i="23"/>
  <c r="G31" i="23"/>
  <c r="H31" i="23"/>
  <c r="I31" i="23"/>
  <c r="A32" i="23"/>
  <c r="B32" i="23"/>
  <c r="C32" i="23"/>
  <c r="D32" i="23"/>
  <c r="E32" i="23"/>
  <c r="F32" i="23"/>
  <c r="G32" i="23"/>
  <c r="H32" i="23"/>
  <c r="I32" i="23"/>
  <c r="A33" i="23"/>
  <c r="B33" i="23"/>
  <c r="C33" i="23"/>
  <c r="D33" i="23"/>
  <c r="E33" i="23"/>
  <c r="F33" i="23"/>
  <c r="G33" i="23"/>
  <c r="H33" i="23"/>
  <c r="I33" i="23"/>
  <c r="A34" i="23"/>
  <c r="B34" i="23"/>
  <c r="C34" i="23"/>
  <c r="D34" i="23"/>
  <c r="E34" i="23"/>
  <c r="F34" i="23"/>
  <c r="G34" i="23"/>
  <c r="H34" i="23"/>
  <c r="I34" i="23"/>
  <c r="A35" i="23"/>
  <c r="B35" i="23"/>
  <c r="C35" i="23"/>
  <c r="D35" i="23"/>
  <c r="E35" i="23"/>
  <c r="F35" i="23"/>
  <c r="G35" i="23"/>
  <c r="H35" i="23"/>
  <c r="I35" i="23"/>
  <c r="A36" i="23"/>
  <c r="B36" i="23"/>
  <c r="C36" i="23"/>
  <c r="D36" i="23"/>
  <c r="E36" i="23"/>
  <c r="F36" i="23"/>
  <c r="G36" i="23"/>
  <c r="H36" i="23"/>
  <c r="I36" i="23"/>
  <c r="A37" i="23"/>
  <c r="B37" i="23"/>
  <c r="C37" i="23"/>
  <c r="D37" i="23"/>
  <c r="E37" i="23"/>
  <c r="F37" i="23"/>
  <c r="G37" i="23"/>
  <c r="H37" i="23"/>
  <c r="I37" i="23"/>
  <c r="A38" i="23"/>
  <c r="B38" i="23"/>
  <c r="C38" i="23"/>
  <c r="D38" i="23"/>
  <c r="E38" i="23"/>
  <c r="F38" i="23"/>
  <c r="G38" i="23"/>
  <c r="H38" i="23"/>
  <c r="I38" i="23"/>
  <c r="A39" i="23"/>
  <c r="B39" i="23"/>
  <c r="C39" i="23"/>
  <c r="D39" i="23"/>
  <c r="E39" i="23"/>
  <c r="F39" i="23"/>
  <c r="G39" i="23"/>
  <c r="H39" i="23"/>
  <c r="I39" i="23"/>
  <c r="A40" i="23"/>
  <c r="B40" i="23"/>
  <c r="C40" i="23"/>
  <c r="D40" i="23"/>
  <c r="E40" i="23"/>
  <c r="F40" i="23"/>
  <c r="G40" i="23"/>
  <c r="H40" i="23"/>
  <c r="I40" i="23"/>
  <c r="A41" i="23"/>
  <c r="B41" i="23"/>
  <c r="C41" i="23"/>
  <c r="D41" i="23"/>
  <c r="E41" i="23"/>
  <c r="F41" i="23"/>
  <c r="G41" i="23"/>
  <c r="H41" i="23"/>
  <c r="I41" i="23"/>
  <c r="A42" i="23"/>
  <c r="B42" i="23"/>
  <c r="C42" i="23"/>
  <c r="D42" i="23"/>
  <c r="E42" i="23"/>
  <c r="F42" i="23"/>
  <c r="G42" i="23"/>
  <c r="H42" i="23"/>
  <c r="I42" i="23"/>
  <c r="A43" i="23"/>
  <c r="B43" i="23"/>
  <c r="C43" i="23"/>
  <c r="D43" i="23"/>
  <c r="E43" i="23"/>
  <c r="F43" i="23"/>
  <c r="G43" i="23"/>
  <c r="H43" i="23"/>
  <c r="I43" i="23"/>
  <c r="A44" i="23"/>
  <c r="B44" i="23"/>
  <c r="C44" i="23"/>
  <c r="D44" i="23"/>
  <c r="E44" i="23"/>
  <c r="F44" i="23"/>
  <c r="G44" i="23"/>
  <c r="H44" i="23"/>
  <c r="I44" i="23"/>
  <c r="A45" i="23"/>
  <c r="B45" i="23"/>
  <c r="C45" i="23"/>
  <c r="D45" i="23"/>
  <c r="E45" i="23"/>
  <c r="F45" i="23"/>
  <c r="G45" i="23"/>
  <c r="H45" i="23"/>
  <c r="I45" i="23"/>
  <c r="A46" i="23"/>
  <c r="B46" i="23"/>
  <c r="C46" i="23"/>
  <c r="D46" i="23"/>
  <c r="E46" i="23"/>
  <c r="F46" i="23"/>
  <c r="G46" i="23"/>
  <c r="H46" i="23"/>
  <c r="I46" i="23"/>
  <c r="A47" i="23"/>
  <c r="B47" i="23"/>
  <c r="C47" i="23"/>
  <c r="D47" i="23"/>
  <c r="E47" i="23"/>
  <c r="F47" i="23"/>
  <c r="G47" i="23"/>
  <c r="H47" i="23"/>
  <c r="I47" i="23"/>
  <c r="A48" i="23"/>
  <c r="B48" i="23"/>
  <c r="C48" i="23"/>
  <c r="D48" i="23"/>
  <c r="E48" i="23"/>
  <c r="F48" i="23"/>
  <c r="G48" i="23"/>
  <c r="H48" i="23"/>
  <c r="I48" i="23"/>
  <c r="A3" i="22"/>
  <c r="B3" i="22"/>
  <c r="C3" i="22"/>
  <c r="D3" i="22"/>
  <c r="E3" i="22"/>
  <c r="F3" i="22"/>
  <c r="G3" i="22"/>
  <c r="H3" i="22"/>
  <c r="I3" i="22"/>
  <c r="A4" i="22"/>
  <c r="B4" i="22"/>
  <c r="C4" i="22"/>
  <c r="D4" i="22"/>
  <c r="E4" i="22"/>
  <c r="F4" i="22"/>
  <c r="G4" i="22"/>
  <c r="H4" i="22"/>
  <c r="I4" i="22"/>
  <c r="A5" i="22"/>
  <c r="B5" i="22"/>
  <c r="C5" i="22"/>
  <c r="D5" i="22"/>
  <c r="E5" i="22"/>
  <c r="F5" i="22"/>
  <c r="G5" i="22"/>
  <c r="H5" i="22"/>
  <c r="I5" i="22"/>
  <c r="A6" i="22"/>
  <c r="B6" i="22"/>
  <c r="C6" i="22"/>
  <c r="D6" i="22"/>
  <c r="E6" i="22"/>
  <c r="F6" i="22"/>
  <c r="G6" i="22"/>
  <c r="H6" i="22"/>
  <c r="I6" i="22"/>
  <c r="A7" i="22"/>
  <c r="B7" i="22"/>
  <c r="C7" i="22"/>
  <c r="D7" i="22"/>
  <c r="E7" i="22"/>
  <c r="F7" i="22"/>
  <c r="G7" i="22"/>
  <c r="H7" i="22"/>
  <c r="I7" i="22"/>
  <c r="A8" i="22"/>
  <c r="B8" i="22"/>
  <c r="C8" i="22"/>
  <c r="D8" i="22"/>
  <c r="E8" i="22"/>
  <c r="F8" i="22"/>
  <c r="G8" i="22"/>
  <c r="H8" i="22"/>
  <c r="I8" i="22"/>
  <c r="A9" i="22"/>
  <c r="B9" i="22"/>
  <c r="C9" i="22"/>
  <c r="D9" i="22"/>
  <c r="E9" i="22"/>
  <c r="F9" i="22"/>
  <c r="G9" i="22"/>
  <c r="H9" i="22"/>
  <c r="I9" i="22"/>
  <c r="A10" i="22"/>
  <c r="B10" i="22"/>
  <c r="C10" i="22"/>
  <c r="D10" i="22"/>
  <c r="E10" i="22"/>
  <c r="F10" i="22"/>
  <c r="G10" i="22"/>
  <c r="H10" i="22"/>
  <c r="I10" i="22"/>
  <c r="A11" i="22"/>
  <c r="B11" i="22"/>
  <c r="C11" i="22"/>
  <c r="D11" i="22"/>
  <c r="E11" i="22"/>
  <c r="F11" i="22"/>
  <c r="G11" i="22"/>
  <c r="H11" i="22"/>
  <c r="I11" i="22"/>
  <c r="A12" i="22"/>
  <c r="B12" i="22"/>
  <c r="C12" i="22"/>
  <c r="D12" i="22"/>
  <c r="E12" i="22"/>
  <c r="F12" i="22"/>
  <c r="G12" i="22"/>
  <c r="H12" i="22"/>
  <c r="I12" i="22"/>
  <c r="A13" i="22"/>
  <c r="B13" i="22"/>
  <c r="C13" i="22"/>
  <c r="D13" i="22"/>
  <c r="E13" i="22"/>
  <c r="F13" i="22"/>
  <c r="G13" i="22"/>
  <c r="H13" i="22"/>
  <c r="I13" i="22"/>
  <c r="A14" i="22"/>
  <c r="B14" i="22"/>
  <c r="C14" i="22"/>
  <c r="D14" i="22"/>
  <c r="E14" i="22"/>
  <c r="F14" i="22"/>
  <c r="G14" i="22"/>
  <c r="H14" i="22"/>
  <c r="I14" i="22"/>
  <c r="A15" i="22"/>
  <c r="B15" i="22"/>
  <c r="C15" i="22"/>
  <c r="D15" i="22"/>
  <c r="E15" i="22"/>
  <c r="F15" i="22"/>
  <c r="G15" i="22"/>
  <c r="H15" i="22"/>
  <c r="I15" i="22"/>
  <c r="A16" i="22"/>
  <c r="B16" i="22"/>
  <c r="C16" i="22"/>
  <c r="D16" i="22"/>
  <c r="E16" i="22"/>
  <c r="F16" i="22"/>
  <c r="G16" i="22"/>
  <c r="H16" i="22"/>
  <c r="I16" i="22"/>
  <c r="A2" i="22"/>
  <c r="A3" i="18"/>
  <c r="B3" i="18"/>
  <c r="C3" i="18"/>
  <c r="D3" i="18"/>
  <c r="E3" i="18"/>
  <c r="F3" i="18"/>
  <c r="G3" i="18"/>
  <c r="H3" i="18"/>
  <c r="I3" i="18"/>
  <c r="A4" i="18"/>
  <c r="B4" i="18"/>
  <c r="C4" i="18"/>
  <c r="D4" i="18"/>
  <c r="E4" i="18"/>
  <c r="F4" i="18"/>
  <c r="G4" i="18"/>
  <c r="H4" i="18"/>
  <c r="I4" i="18"/>
  <c r="A5" i="18"/>
  <c r="B5" i="18"/>
  <c r="C5" i="18"/>
  <c r="D5" i="18"/>
  <c r="E5" i="18"/>
  <c r="F5" i="18"/>
  <c r="G5" i="18"/>
  <c r="H5" i="18"/>
  <c r="I5" i="18"/>
  <c r="A6" i="18"/>
  <c r="B6" i="18"/>
  <c r="C6" i="18"/>
  <c r="D6" i="18"/>
  <c r="E6" i="18"/>
  <c r="F6" i="18"/>
  <c r="G6" i="18"/>
  <c r="H6" i="18"/>
  <c r="I6" i="18"/>
  <c r="A7" i="18"/>
  <c r="B7" i="18"/>
  <c r="C7" i="18"/>
  <c r="D7" i="18"/>
  <c r="E7" i="18"/>
  <c r="F7" i="18"/>
  <c r="G7" i="18"/>
  <c r="H7" i="18"/>
  <c r="I7" i="18"/>
  <c r="A8" i="18"/>
  <c r="B8" i="18"/>
  <c r="C8" i="18"/>
  <c r="D8" i="18"/>
  <c r="E8" i="18"/>
  <c r="F8" i="18"/>
  <c r="G8" i="18"/>
  <c r="H8" i="18"/>
  <c r="I8" i="18"/>
  <c r="A9" i="18"/>
  <c r="B9" i="18"/>
  <c r="C9" i="18"/>
  <c r="D9" i="18"/>
  <c r="E9" i="18"/>
  <c r="F9" i="18"/>
  <c r="G9" i="18"/>
  <c r="H9" i="18"/>
  <c r="I9" i="18"/>
  <c r="A10" i="18"/>
  <c r="B10" i="18"/>
  <c r="C10" i="18"/>
  <c r="D10" i="18"/>
  <c r="E10" i="18"/>
  <c r="F10" i="18"/>
  <c r="G10" i="18"/>
  <c r="H10" i="18"/>
  <c r="I10" i="18"/>
  <c r="A11" i="18"/>
  <c r="B11" i="18"/>
  <c r="C11" i="18"/>
  <c r="D11" i="18"/>
  <c r="E11" i="18"/>
  <c r="F11" i="18"/>
  <c r="G11" i="18"/>
  <c r="H11" i="18"/>
  <c r="I11" i="18"/>
  <c r="A12" i="18"/>
  <c r="B12" i="18"/>
  <c r="C12" i="18"/>
  <c r="D12" i="18"/>
  <c r="E12" i="18"/>
  <c r="F12" i="18"/>
  <c r="G12" i="18"/>
  <c r="H12" i="18"/>
  <c r="I12" i="18"/>
  <c r="A13" i="18"/>
  <c r="B13" i="18"/>
  <c r="C13" i="18"/>
  <c r="D13" i="18"/>
  <c r="E13" i="18"/>
  <c r="F13" i="18"/>
  <c r="G13" i="18"/>
  <c r="H13" i="18"/>
  <c r="I13" i="18"/>
  <c r="A14" i="18"/>
  <c r="B14" i="18"/>
  <c r="C14" i="18"/>
  <c r="D14" i="18"/>
  <c r="E14" i="18"/>
  <c r="F14" i="18"/>
  <c r="G14" i="18"/>
  <c r="H14" i="18"/>
  <c r="I14" i="18"/>
  <c r="A15" i="18"/>
  <c r="B15" i="18"/>
  <c r="C15" i="18"/>
  <c r="D15" i="18"/>
  <c r="E15" i="18"/>
  <c r="F15" i="18"/>
  <c r="G15" i="18"/>
  <c r="H15" i="18"/>
  <c r="I15" i="18"/>
  <c r="A16" i="18"/>
  <c r="B16" i="18"/>
  <c r="C16" i="18"/>
  <c r="D16" i="18"/>
  <c r="E16" i="18"/>
  <c r="F16" i="18"/>
  <c r="G16" i="18"/>
  <c r="H16" i="18"/>
  <c r="I16" i="18"/>
  <c r="A17" i="18"/>
  <c r="B17" i="18"/>
  <c r="C17" i="18"/>
  <c r="D17" i="18"/>
  <c r="E17" i="18"/>
  <c r="F17" i="18"/>
  <c r="G17" i="18"/>
  <c r="H17" i="18"/>
  <c r="I17" i="18"/>
  <c r="A2" i="18"/>
  <c r="P12" i="23" l="1"/>
  <c r="R10" i="23"/>
  <c r="O9" i="23"/>
  <c r="N8" i="23"/>
  <c r="Q7" i="23"/>
  <c r="N6" i="23"/>
  <c r="O12" i="23"/>
  <c r="Q10" i="23"/>
  <c r="N9" i="23"/>
  <c r="P7" i="23"/>
  <c r="N12" i="23"/>
  <c r="P10" i="23"/>
  <c r="R8" i="23"/>
  <c r="O7" i="23"/>
  <c r="R11" i="23"/>
  <c r="O10" i="23"/>
  <c r="Q8" i="23"/>
  <c r="N7" i="23"/>
  <c r="Q11" i="23"/>
  <c r="N10" i="23"/>
  <c r="P8" i="23"/>
  <c r="R6" i="23"/>
  <c r="P11" i="23"/>
  <c r="R9" i="23"/>
  <c r="O8" i="23"/>
  <c r="Q6" i="23"/>
  <c r="R12" i="23"/>
  <c r="O11" i="23"/>
  <c r="Q9" i="23"/>
  <c r="P6" i="23"/>
  <c r="Q12" i="23"/>
  <c r="P9" i="23"/>
  <c r="R7" i="23"/>
  <c r="O6" i="23"/>
  <c r="I2" i="22"/>
  <c r="H2" i="22"/>
  <c r="G2" i="22"/>
  <c r="F2" i="22"/>
  <c r="E2" i="22"/>
  <c r="D2" i="22"/>
  <c r="C2" i="22"/>
  <c r="B2" i="22"/>
  <c r="C2" i="18"/>
  <c r="D2" i="18"/>
  <c r="E2" i="18"/>
  <c r="F2" i="18"/>
  <c r="G2" i="18"/>
  <c r="H2" i="18"/>
  <c r="I2" i="18"/>
  <c r="B2" i="18"/>
  <c r="R5" i="23"/>
  <c r="Q5" i="23"/>
  <c r="P5" i="23"/>
  <c r="O5" i="23"/>
  <c r="N5" i="23"/>
  <c r="R5" i="22"/>
  <c r="Q5" i="22"/>
  <c r="P5" i="22"/>
  <c r="O5" i="22"/>
  <c r="N5" i="22"/>
  <c r="O5" i="18"/>
  <c r="P5" i="18"/>
  <c r="Q5" i="18"/>
  <c r="R5" i="18"/>
  <c r="N5" i="18"/>
  <c r="O12" i="22" l="1"/>
  <c r="Q11" i="22"/>
  <c r="P11" i="22"/>
  <c r="O6" i="22"/>
  <c r="Q7" i="22"/>
  <c r="R9" i="22"/>
  <c r="O8" i="22"/>
  <c r="P6" i="22"/>
  <c r="P10" i="22"/>
  <c r="P7" i="22"/>
  <c r="Q9" i="22"/>
  <c r="O10" i="22"/>
  <c r="P9" i="22"/>
  <c r="N7" i="22"/>
  <c r="P8" i="22"/>
  <c r="N9" i="22"/>
  <c r="P12" i="22"/>
  <c r="Q6" i="22"/>
  <c r="O7" i="22"/>
  <c r="Q8" i="22"/>
  <c r="O9" i="22"/>
  <c r="Q10" i="22"/>
  <c r="O11" i="22"/>
  <c r="Q12" i="22"/>
  <c r="R7" i="22"/>
  <c r="N11" i="22"/>
  <c r="R11" i="22"/>
  <c r="N6" i="22"/>
  <c r="R6" i="22"/>
  <c r="N8" i="22"/>
  <c r="R8" i="22"/>
  <c r="N10" i="22"/>
  <c r="R10" i="22"/>
  <c r="N12" i="22"/>
  <c r="R12" i="22"/>
  <c r="N6" i="18" l="1"/>
  <c r="H10" i="21"/>
  <c r="H18" i="21"/>
  <c r="H26" i="21"/>
  <c r="H34" i="21"/>
  <c r="H5" i="21"/>
  <c r="G12" i="21"/>
  <c r="G20" i="21"/>
  <c r="G28" i="21"/>
  <c r="G23" i="21"/>
  <c r="H11" i="21"/>
  <c r="H19" i="21"/>
  <c r="H27" i="21"/>
  <c r="G5" i="21"/>
  <c r="G13" i="21"/>
  <c r="G21" i="21"/>
  <c r="G29" i="21"/>
  <c r="H29" i="21"/>
  <c r="G7" i="21"/>
  <c r="H12" i="21"/>
  <c r="H20" i="21"/>
  <c r="H28" i="21"/>
  <c r="G6" i="21"/>
  <c r="G14" i="21"/>
  <c r="G22" i="21"/>
  <c r="G30" i="21"/>
  <c r="H21" i="21"/>
  <c r="G15" i="21"/>
  <c r="H13" i="21"/>
  <c r="H6" i="21"/>
  <c r="H14" i="21"/>
  <c r="H22" i="21"/>
  <c r="H30" i="21"/>
  <c r="G8" i="21"/>
  <c r="G16" i="21"/>
  <c r="G24" i="21"/>
  <c r="G32" i="21"/>
  <c r="H7" i="21"/>
  <c r="H15" i="21"/>
  <c r="H23" i="21"/>
  <c r="H31" i="21"/>
  <c r="G9" i="21"/>
  <c r="G17" i="21"/>
  <c r="G25" i="21"/>
  <c r="G33" i="21"/>
  <c r="G11" i="21"/>
  <c r="G31" i="21"/>
  <c r="H8" i="21"/>
  <c r="H16" i="21"/>
  <c r="H24" i="21"/>
  <c r="H32" i="21"/>
  <c r="G10" i="21"/>
  <c r="G18" i="21"/>
  <c r="G26" i="21"/>
  <c r="G34" i="21"/>
  <c r="H33" i="21"/>
  <c r="G19" i="21"/>
  <c r="H9" i="21"/>
  <c r="H17" i="21"/>
  <c r="H25" i="21"/>
  <c r="G27" i="21"/>
  <c r="O6" i="18"/>
  <c r="O9" i="18"/>
  <c r="O11" i="18"/>
  <c r="N12" i="18"/>
  <c r="N11" i="18"/>
  <c r="N7" i="18"/>
  <c r="O7" i="18"/>
  <c r="N8" i="18"/>
  <c r="P10" i="18"/>
  <c r="Q6" i="18"/>
  <c r="Q12" i="18"/>
  <c r="O8" i="18"/>
  <c r="R10" i="18"/>
  <c r="Q8" i="18"/>
  <c r="O12" i="18"/>
  <c r="N10" i="18"/>
  <c r="Q11" i="18"/>
  <c r="P9" i="18"/>
  <c r="N9" i="18"/>
  <c r="R6" i="18"/>
  <c r="R12" i="18"/>
  <c r="R8" i="18"/>
  <c r="Q10" i="18"/>
  <c r="P12" i="18"/>
  <c r="P8" i="18"/>
  <c r="O10" i="18"/>
  <c r="P6" i="18"/>
  <c r="R9" i="18"/>
  <c r="Q7" i="18"/>
  <c r="R11" i="18"/>
  <c r="R7" i="18"/>
  <c r="Q9" i="18"/>
  <c r="P11" i="18"/>
  <c r="P7" i="18"/>
  <c r="I18" i="21" l="1"/>
  <c r="S18" i="21" s="1"/>
  <c r="I10" i="21"/>
  <c r="S10" i="21" s="1"/>
  <c r="I19" i="21"/>
  <c r="S19" i="21" s="1"/>
  <c r="I29" i="21"/>
  <c r="S29" i="21" s="1"/>
  <c r="I9" i="21"/>
  <c r="S9" i="21" s="1"/>
  <c r="I34" i="21"/>
  <c r="S34" i="21" s="1"/>
  <c r="I27" i="21"/>
  <c r="S27" i="21" s="1"/>
  <c r="I26" i="21"/>
  <c r="S26" i="21" s="1"/>
  <c r="I31" i="21"/>
  <c r="S31" i="21" s="1"/>
  <c r="I11" i="21"/>
  <c r="S11" i="21" s="1"/>
  <c r="I8" i="21"/>
  <c r="S8" i="21" s="1"/>
  <c r="I21" i="21"/>
  <c r="S21" i="21" s="1"/>
  <c r="I33" i="21"/>
  <c r="S33" i="21" s="1"/>
  <c r="I28" i="21"/>
  <c r="S28" i="21" s="1"/>
  <c r="I25" i="21"/>
  <c r="S25" i="21" s="1"/>
  <c r="I30" i="21"/>
  <c r="S30" i="21" s="1"/>
  <c r="I7" i="21"/>
  <c r="S7" i="21" s="1"/>
  <c r="I20" i="21"/>
  <c r="S20" i="21" s="1"/>
  <c r="I17" i="21"/>
  <c r="S17" i="21" s="1"/>
  <c r="I22" i="21"/>
  <c r="S22" i="21" s="1"/>
  <c r="I12" i="21"/>
  <c r="S12" i="21" s="1"/>
  <c r="I14" i="21"/>
  <c r="S14" i="21" s="1"/>
  <c r="H35" i="21"/>
  <c r="H36" i="21"/>
  <c r="H43" i="21" s="1"/>
  <c r="G51" i="21" s="1"/>
  <c r="I32" i="21"/>
  <c r="S32" i="21" s="1"/>
  <c r="I6" i="21"/>
  <c r="S6" i="21" s="1"/>
  <c r="I24" i="21"/>
  <c r="S24" i="21" s="1"/>
  <c r="I23" i="21"/>
  <c r="S23" i="21" s="1"/>
  <c r="I16" i="21"/>
  <c r="S16" i="21" s="1"/>
  <c r="I15" i="21"/>
  <c r="S15" i="21" s="1"/>
  <c r="I13" i="21"/>
  <c r="S13" i="21" s="1"/>
  <c r="G35" i="21"/>
  <c r="G36" i="21"/>
  <c r="G43" i="21" s="1"/>
  <c r="G50" i="21" s="1"/>
  <c r="I5" i="21"/>
  <c r="G42" i="21" l="1"/>
  <c r="F50" i="21" s="1"/>
  <c r="G38" i="21"/>
  <c r="H42" i="21"/>
  <c r="F51" i="21" s="1"/>
  <c r="H38" i="21"/>
  <c r="S5" i="21"/>
  <c r="I36" i="21"/>
  <c r="I35" i="21"/>
  <c r="K40" i="21" s="1"/>
  <c r="L40" i="21" l="1"/>
  <c r="I43" i="21"/>
  <c r="S36" i="21"/>
  <c r="I42" i="21"/>
  <c r="S35" i="21"/>
  <c r="M40" i="21"/>
  <c r="I38" i="21"/>
</calcChain>
</file>

<file path=xl/sharedStrings.xml><?xml version="1.0" encoding="utf-8"?>
<sst xmlns="http://schemas.openxmlformats.org/spreadsheetml/2006/main" count="968" uniqueCount="445">
  <si>
    <t>Carimbo de data/hora</t>
  </si>
  <si>
    <t>Comentários e/ou Sugestões:</t>
  </si>
  <si>
    <t>Ruim</t>
  </si>
  <si>
    <t>CACS</t>
  </si>
  <si>
    <t>GESTOR</t>
  </si>
  <si>
    <t>Como ficou sabendo da Capacitação?</t>
  </si>
  <si>
    <t>Grupos de WhatsApp</t>
  </si>
  <si>
    <t>Outro</t>
  </si>
  <si>
    <t>Oficio de convocação feito pelo FNDE</t>
  </si>
  <si>
    <t>Nome Completo:</t>
  </si>
  <si>
    <t>CPF</t>
  </si>
  <si>
    <t>e-mail</t>
  </si>
  <si>
    <t>Município que representa:</t>
  </si>
  <si>
    <t>Você faz parte do:</t>
  </si>
  <si>
    <t>Avaliar de 1 a 5 (1 significa "ruim" e 5 significa "excelente") [Inscrição]</t>
  </si>
  <si>
    <t>Avaliar de 1 a 5 (1 significa "ruim" e 5 significa "excelente") [Divulgação]</t>
  </si>
  <si>
    <t>Avaliar de 1 a 5 (1 significa "ruim" e 5 significa "excelente") [Data da Formação]</t>
  </si>
  <si>
    <t>Avaliar de 1 a 5 (1 significa "ruim" e 5 significa "excelente") [Horário da Formação]</t>
  </si>
  <si>
    <t>Avaliar de 1 a 5 (1 significa "ruim" e 5 significa "excelente") [Local da Formação]</t>
  </si>
  <si>
    <t>Avaliar de 1 a 5 (1 significa "ruim" e 5 significa "excelente") [Duração da Formação]</t>
  </si>
  <si>
    <t>Avaliar de 1 a 5 (1 significa "ruim" e 5 significa "excelente") [Como você avalia a Formação]</t>
  </si>
  <si>
    <t>Indique dois aspectos que você mais gostou na Formação:</t>
  </si>
  <si>
    <t>Indique dois aspectos que poderiam ser melhorados na Formação (com detalhes);</t>
  </si>
  <si>
    <t>Instituição vinculada:</t>
  </si>
  <si>
    <t>Mencionar a Instituição vinculada</t>
  </si>
  <si>
    <r>
      <t xml:space="preserve">Sugestão de </t>
    </r>
    <r>
      <rPr>
        <b/>
        <sz val="10"/>
        <color rgb="FFFFFFFF"/>
        <rFont val="Arial"/>
        <family val="2"/>
      </rPr>
      <t>temas</t>
    </r>
    <r>
      <rPr>
        <sz val="10"/>
        <color rgb="FFFFFFFF"/>
        <rFont val="Arial"/>
        <family val="2"/>
      </rPr>
      <t xml:space="preserve"> para </t>
    </r>
    <r>
      <rPr>
        <b/>
        <sz val="10"/>
        <color rgb="FFFFFFFF"/>
        <rFont val="Arial"/>
        <family val="2"/>
      </rPr>
      <t>futuras</t>
    </r>
    <r>
      <rPr>
        <sz val="10"/>
        <color rgb="FFFFFFFF"/>
        <rFont val="Arial"/>
        <family val="2"/>
      </rPr>
      <t xml:space="preserve"> capacitações 
(Webinar, vídeos de Youtube, postagens de Instagram, </t>
    </r>
    <r>
      <rPr>
        <i/>
        <sz val="10"/>
        <color rgb="FFFFFFFF"/>
        <rFont val="Arial"/>
        <family val="2"/>
      </rPr>
      <t>etc.</t>
    </r>
    <r>
      <rPr>
        <sz val="10"/>
        <color rgb="FFFFFFFF"/>
        <rFont val="Arial"/>
        <family val="2"/>
      </rPr>
      <t xml:space="preserve">) </t>
    </r>
  </si>
  <si>
    <t>CACS-FUNDEB</t>
  </si>
  <si>
    <t>Conselheira (o) do CACS/Fundeb</t>
  </si>
  <si>
    <t>Gestão municipal</t>
  </si>
  <si>
    <t>Secretaria Municipal de Educação;</t>
  </si>
  <si>
    <t>Prefeitura;</t>
  </si>
  <si>
    <t>E-mail encaminhado pelo CECATE/CO</t>
  </si>
  <si>
    <t>Secretaria Estadual de Educação;</t>
  </si>
  <si>
    <t>Município</t>
  </si>
  <si>
    <t>Faz parte</t>
  </si>
  <si>
    <t xml:space="preserve">Inscrição </t>
  </si>
  <si>
    <t xml:space="preserve">Divulgação </t>
  </si>
  <si>
    <t xml:space="preserve">Data da Formação </t>
  </si>
  <si>
    <t xml:space="preserve">Horário da Formação </t>
  </si>
  <si>
    <t xml:space="preserve">Local da Formação </t>
  </si>
  <si>
    <t xml:space="preserve">Duração da Formação </t>
  </si>
  <si>
    <t xml:space="preserve">Como você avalia a Formação </t>
  </si>
  <si>
    <t>Excelente</t>
  </si>
  <si>
    <t xml:space="preserve"> Muito Bom</t>
  </si>
  <si>
    <t xml:space="preserve"> Neutro</t>
  </si>
  <si>
    <t xml:space="preserve"> Regular</t>
  </si>
  <si>
    <t>TOTAL</t>
  </si>
  <si>
    <t>Data</t>
  </si>
  <si>
    <t>Código IBGE  </t>
  </si>
  <si>
    <t>Distância (km) </t>
  </si>
  <si>
    <t>Presentes</t>
  </si>
  <si>
    <t>109 </t>
  </si>
  <si>
    <t>245 </t>
  </si>
  <si>
    <t>136 </t>
  </si>
  <si>
    <t>149 </t>
  </si>
  <si>
    <t>328 </t>
  </si>
  <si>
    <t>180 </t>
  </si>
  <si>
    <t>52 </t>
  </si>
  <si>
    <t>174 </t>
  </si>
  <si>
    <t>79 </t>
  </si>
  <si>
    <t>38 </t>
  </si>
  <si>
    <t>0 </t>
  </si>
  <si>
    <t>115 </t>
  </si>
  <si>
    <t>45 </t>
  </si>
  <si>
    <t>78 </t>
  </si>
  <si>
    <t>130 </t>
  </si>
  <si>
    <t>17 </t>
  </si>
  <si>
    <t>150 </t>
  </si>
  <si>
    <t>160 </t>
  </si>
  <si>
    <t>100 </t>
  </si>
  <si>
    <t>90 </t>
  </si>
  <si>
    <t>40 </t>
  </si>
  <si>
    <t>70 </t>
  </si>
  <si>
    <t>120 </t>
  </si>
  <si>
    <t>110 </t>
  </si>
  <si>
    <t>Pessoas Inscritas</t>
  </si>
  <si>
    <t>Municípios com pelo menos um representante inscrito</t>
  </si>
  <si>
    <t>Avaliadores</t>
  </si>
  <si>
    <t>Nº de Avaliações</t>
  </si>
  <si>
    <t>Nº de Participantes</t>
  </si>
  <si>
    <t>GESTORES</t>
  </si>
  <si>
    <t>Telefone</t>
  </si>
  <si>
    <t>E-mail encaminhado pelo CECATE/CO, Oficio de convocação feito pelo FNDE, Grupos de WhatsApp</t>
  </si>
  <si>
    <t>E-mail encaminhado pelo CECATE/CO, Oficio de convocação feito pelo FNDE</t>
  </si>
  <si>
    <t>Código IBGE</t>
  </si>
  <si>
    <t>Thaise Geovanna Pereira Sobrinho</t>
  </si>
  <si>
    <t>038.182.931-63</t>
  </si>
  <si>
    <t>thaisensj@hotmail.com</t>
  </si>
  <si>
    <t>(66)97400-5419</t>
  </si>
  <si>
    <t>Novo São Joaquim (MT)</t>
  </si>
  <si>
    <t>Sete Pnate</t>
  </si>
  <si>
    <t>Tudo foi bom</t>
  </si>
  <si>
    <t>PDDE Básico Qualidade Extrutura</t>
  </si>
  <si>
    <t>Kamili Alexandre</t>
  </si>
  <si>
    <t>060.440.811-09</t>
  </si>
  <si>
    <t>Kamilifitdance@gmail.com</t>
  </si>
  <si>
    <t>(66)99204-7193</t>
  </si>
  <si>
    <t>Querência (MT)</t>
  </si>
  <si>
    <t>Explicação dinâmica e simples</t>
  </si>
  <si>
    <t>Organização boa, horários cumpridos de acordo com cronograma e explicações práticas e de fácil entendimento</t>
  </si>
  <si>
    <t>Gabriel Kasprczak da Silva</t>
  </si>
  <si>
    <t>935.418.991-15</t>
  </si>
  <si>
    <t>gabrielksilva@hotmail.com</t>
  </si>
  <si>
    <t>(66)99982-2518</t>
  </si>
  <si>
    <t>Canarana (MT)</t>
  </si>
  <si>
    <t>Alimentação do sete</t>
  </si>
  <si>
    <t>Tempo</t>
  </si>
  <si>
    <t>Muito bom</t>
  </si>
  <si>
    <t>Valfliene Aparecida de Melo Bética</t>
  </si>
  <si>
    <t>889.447.351-15</t>
  </si>
  <si>
    <t>valfliene@gmail.com</t>
  </si>
  <si>
    <t>(66)99984-4248</t>
  </si>
  <si>
    <t>Ribeirão Cascalheira (MT)</t>
  </si>
  <si>
    <t>Programa Sete, planejamento e regulamento do transporte</t>
  </si>
  <si>
    <t>Não teve</t>
  </si>
  <si>
    <t>E-mail encaminhado pelo CECATE/CO, Grupos de WhatsApp</t>
  </si>
  <si>
    <t>Cássio Gomes Coelho</t>
  </si>
  <si>
    <t>550.868.881-15</t>
  </si>
  <si>
    <t>Coelhocassiogc@gmail.com</t>
  </si>
  <si>
    <t>(66)99980-2994</t>
  </si>
  <si>
    <t>Confresa (MT)</t>
  </si>
  <si>
    <t>Apresentação dos conteúdos</t>
  </si>
  <si>
    <t>Uma formação mais longa para poder falar mais</t>
  </si>
  <si>
    <t>Formação por meet</t>
  </si>
  <si>
    <t>Murilo Vieira Assis</t>
  </si>
  <si>
    <t>043.855.311-02</t>
  </si>
  <si>
    <t>murilovassis@hotmail.com</t>
  </si>
  <si>
    <t>(66)99664-4772</t>
  </si>
  <si>
    <t>Baliza (GO)</t>
  </si>
  <si>
    <t>Instrução sistema e flexibilização da equipe</t>
  </si>
  <si>
    <t>Não</t>
  </si>
  <si>
    <t>Cintia de Almeida Oliveira Raimundo</t>
  </si>
  <si>
    <t>956.523.701-06</t>
  </si>
  <si>
    <t>cintiaraimundo70@gmail.com</t>
  </si>
  <si>
    <t>(66)99978-8010</t>
  </si>
  <si>
    <t>Bem explicado, treinamento na prática</t>
  </si>
  <si>
    <t>Mais tempo de treinamento</t>
  </si>
  <si>
    <t>Webinar</t>
  </si>
  <si>
    <t>Oficio de convocação feito pelo FNDE, Grupos de WhatsApp</t>
  </si>
  <si>
    <t>Rosirene Alves Martins Aguiar</t>
  </si>
  <si>
    <t>921.708.031-49</t>
  </si>
  <si>
    <t>aguiarrosirene8@gmail.com</t>
  </si>
  <si>
    <t>(66)98147-1011</t>
  </si>
  <si>
    <t>Todos são relevantes</t>
  </si>
  <si>
    <t>Sem</t>
  </si>
  <si>
    <t>Pra ficar perfeito oferecer um lanchinho</t>
  </si>
  <si>
    <t>LUCAS PEREIRA ASSIS</t>
  </si>
  <si>
    <t>041.356.531-97</t>
  </si>
  <si>
    <t>lucas_blz_@hotmail.com</t>
  </si>
  <si>
    <t>(66)99971-6956</t>
  </si>
  <si>
    <t>a clareza e atualização dos conteúdos, o formato acessível e dinâmico das aulas</t>
  </si>
  <si>
    <t>Todos aspectos foram bons</t>
  </si>
  <si>
    <t>João Paulo de sousa</t>
  </si>
  <si>
    <t>011.848.541-56</t>
  </si>
  <si>
    <t>999214662abc@gmail.com</t>
  </si>
  <si>
    <t>(66)98432-9186</t>
  </si>
  <si>
    <t>Aprender alimentar o sistema 7</t>
  </si>
  <si>
    <t>Planilha e cadastro</t>
  </si>
  <si>
    <t>Ótimo</t>
  </si>
  <si>
    <t>Wecton Ramos Gomes</t>
  </si>
  <si>
    <t>002.528.391-02</t>
  </si>
  <si>
    <t>Wecton.gomes@gmail.com</t>
  </si>
  <si>
    <t>(66)99654-9895</t>
  </si>
  <si>
    <t>Inteligência do formador</t>
  </si>
  <si>
    <t>Muito transparente</t>
  </si>
  <si>
    <t>Web</t>
  </si>
  <si>
    <t>Muito boa</t>
  </si>
  <si>
    <t>João Carlos Araujo Rodrigues</t>
  </si>
  <si>
    <t>048.318.311-31</t>
  </si>
  <si>
    <t>joaocarlos.ac621@gmail.com</t>
  </si>
  <si>
    <t>(66)99698-6788</t>
  </si>
  <si>
    <t>As explicações foram bem explicativas</t>
  </si>
  <si>
    <t>O tempo poderia ser maior</t>
  </si>
  <si>
    <t>Alexandre Lanusse Pereira Dias</t>
  </si>
  <si>
    <t>617.215.221-15</t>
  </si>
  <si>
    <t>Lanusseblz@hotmail.com</t>
  </si>
  <si>
    <t>(66)99988-9196</t>
  </si>
  <si>
    <t>A disponibilidade de atenção e domínio dos temos abordados...</t>
  </si>
  <si>
    <t>Maior tempo de formação</t>
  </si>
  <si>
    <t>KELLEN MARINA KLEIN ROSSATO</t>
  </si>
  <si>
    <t>038.713.381-09</t>
  </si>
  <si>
    <t>kellenkleinrossato@gmail.com</t>
  </si>
  <si>
    <t>(66)99714-0657</t>
  </si>
  <si>
    <t>Praticidade</t>
  </si>
  <si>
    <t>Lanche ou um cafezinho</t>
  </si>
  <si>
    <t>MARIA JOSÉ LEANDRO DE ALMEIDA OLIVEIRA</t>
  </si>
  <si>
    <t>987.429.811-15</t>
  </si>
  <si>
    <t>marialeandro@portoalegredonorte.mt.gov.br</t>
  </si>
  <si>
    <t>(66)98418-4363</t>
  </si>
  <si>
    <t>Porto Alegre do Norte (MT)</t>
  </si>
  <si>
    <t>Todos</t>
  </si>
  <si>
    <t>Não tenho</t>
  </si>
  <si>
    <t>Marcelo Nunes Oliveira</t>
  </si>
  <si>
    <t>362.568.541-87</t>
  </si>
  <si>
    <t>Marcelo.oliveira.consultor@gmail.com</t>
  </si>
  <si>
    <t>(66)99207-5555</t>
  </si>
  <si>
    <t>Aragarças (GO)</t>
  </si>
  <si>
    <t>Objetividade e conhecimento dos formadores</t>
  </si>
  <si>
    <t>Nenhum em mente</t>
  </si>
  <si>
    <t>Nada a comentar</t>
  </si>
  <si>
    <t>Elaine Cintia de Souza</t>
  </si>
  <si>
    <t>982.434.111-00</t>
  </si>
  <si>
    <t>elainecintia2015@gmail.com</t>
  </si>
  <si>
    <t>(66)99204-2256</t>
  </si>
  <si>
    <t>Pontal do Araguaia (MT)</t>
  </si>
  <si>
    <t>Local e material</t>
  </si>
  <si>
    <t>Duração</t>
  </si>
  <si>
    <t>Mauro Machado dos Santos</t>
  </si>
  <si>
    <t>884.725.401-97</t>
  </si>
  <si>
    <t>santosmachado3@hotmail.com</t>
  </si>
  <si>
    <t>(66)99977-1054</t>
  </si>
  <si>
    <t>Abordagem sobre transporte escolar</t>
  </si>
  <si>
    <t>Vânia Aparecida Neves Nogueira</t>
  </si>
  <si>
    <t>357.876.668-28</t>
  </si>
  <si>
    <t>Vanianevessilva@hotmail.com</t>
  </si>
  <si>
    <t>(66)99931-2629</t>
  </si>
  <si>
    <t>Água Boa (MT)</t>
  </si>
  <si>
    <t>Equipe palestrante</t>
  </si>
  <si>
    <t>Nenhum</t>
  </si>
  <si>
    <t>Leandra Roberta Brum Stefanello</t>
  </si>
  <si>
    <t>012.833.230-10</t>
  </si>
  <si>
    <t>leandra.r.b.s@hotmail.com</t>
  </si>
  <si>
    <t>(66)98410-9727</t>
  </si>
  <si>
    <t>Sobre papel do conselho e dos conselheiros r processo de prestação de contas</t>
  </si>
  <si>
    <t>Ótimo encontro</t>
  </si>
  <si>
    <t>Ketlenn Jaklynny Alves dos Santos</t>
  </si>
  <si>
    <t>053.782.371-90</t>
  </si>
  <si>
    <t>Jaklynny2009@hotmail.com</t>
  </si>
  <si>
    <t>(66)99964-3865</t>
  </si>
  <si>
    <t>A comunicação direta e simples</t>
  </si>
  <si>
    <t>Menos ruídos da sala, mais aula prática</t>
  </si>
  <si>
    <t>Vídeos</t>
  </si>
  <si>
    <t>Gostei muito</t>
  </si>
  <si>
    <t>Cristian Alex Lopes de Souza</t>
  </si>
  <si>
    <t>555.206.261-20</t>
  </si>
  <si>
    <t>alexcristian2312@gmail.com</t>
  </si>
  <si>
    <t>(66)98412-5188</t>
  </si>
  <si>
    <t>Todas as informações durante a aula.</t>
  </si>
  <si>
    <t>Lanche e almoço no local.</t>
  </si>
  <si>
    <t>Parabéns! Ótima formação!</t>
  </si>
  <si>
    <t>Ronivaldo Assis</t>
  </si>
  <si>
    <t>713.542.636-34</t>
  </si>
  <si>
    <t>ronnysantos4@hotmail.com</t>
  </si>
  <si>
    <t>(62)99904-9680</t>
  </si>
  <si>
    <t>Montes Claros de Goiás (GO)</t>
  </si>
  <si>
    <t>Atualizacao de conhecimentos</t>
  </si>
  <si>
    <t>Nada foi bom</t>
  </si>
  <si>
    <t>Rejane Evangelista Galvão</t>
  </si>
  <si>
    <t>978.403.941-91</t>
  </si>
  <si>
    <t>rejanebgd@hotmail.com</t>
  </si>
  <si>
    <t>(66)99221-1130</t>
  </si>
  <si>
    <t>A dinâmica utilizada para testar os conhecimentos sobre o assunto e a interação como troca de experiências.</t>
  </si>
  <si>
    <t>Ser dois de formação pra ter mais práticas; oferecer um lanche pois acordamos muito cedo e o almoço acaba sendo tarde.</t>
  </si>
  <si>
    <t>Rosane Fries</t>
  </si>
  <si>
    <t>005.341.921-90</t>
  </si>
  <si>
    <t>rosane.fries@canarana.edu.mt.gov.br</t>
  </si>
  <si>
    <t>(66)99611-2019</t>
  </si>
  <si>
    <t>Esclarecimento, dinâmica</t>
  </si>
  <si>
    <t>Não deu tempo de pensar.</t>
  </si>
  <si>
    <t>Celson sousa da silva</t>
  </si>
  <si>
    <t>951.230.831-20</t>
  </si>
  <si>
    <t>Celsonsousadasilva@hotmail.com</t>
  </si>
  <si>
    <t>(66)98445-7805</t>
  </si>
  <si>
    <t>Muito explicativa e dinâmica</t>
  </si>
  <si>
    <t>No geral foi bem elaborado poderia ser abordado problemas de cada localidade</t>
  </si>
  <si>
    <t>Desafios de municípios em crescimento</t>
  </si>
  <si>
    <t>Ter mais carga horária</t>
  </si>
  <si>
    <t>Fábio Pinto De Oliveira</t>
  </si>
  <si>
    <t>643.714.921-34</t>
  </si>
  <si>
    <t>Mcgfabio@gmail.com</t>
  </si>
  <si>
    <t>(62)99998-2626</t>
  </si>
  <si>
    <t>Bom aproveitamento</t>
  </si>
  <si>
    <t>Nada</t>
  </si>
  <si>
    <t>Gerayne Aquino Corrêa</t>
  </si>
  <si>
    <t>024.883.761-32</t>
  </si>
  <si>
    <t>gerayneaquinocorrea@gmail.com</t>
  </si>
  <si>
    <t>(66)99422-7979</t>
  </si>
  <si>
    <t>Araguaiana (MT)</t>
  </si>
  <si>
    <t>Palestrantes</t>
  </si>
  <si>
    <t>Pausas para um café</t>
  </si>
  <si>
    <t>Videos</t>
  </si>
  <si>
    <t>Andréa Paciente Hora</t>
  </si>
  <si>
    <t>013.540.821-09</t>
  </si>
  <si>
    <t>andrea_hora21@hotmail.com</t>
  </si>
  <si>
    <t>(66)98425-6888</t>
  </si>
  <si>
    <t>Vila Rica (MT)</t>
  </si>
  <si>
    <t>Informações clara</t>
  </si>
  <si>
    <t>Sem para o momento</t>
  </si>
  <si>
    <t>Marcos Luiz de Jesus Silva Rachid</t>
  </si>
  <si>
    <t>002.145.951-70</t>
  </si>
  <si>
    <t>marcosrachid93@gmail.com</t>
  </si>
  <si>
    <t>(66)99979-9371</t>
  </si>
  <si>
    <t>São Félix do Araguaia (MT)</t>
  </si>
  <si>
    <t>O esclarecimento de dúvidas e a absorção de novos pontos essenciais</t>
  </si>
  <si>
    <t>Maio tempo. E oportunidade de mexer com os sistemas sete e demais</t>
  </si>
  <si>
    <t>CAIQUE MATHEUS DA SILVA</t>
  </si>
  <si>
    <t>055.960.981-75</t>
  </si>
  <si>
    <t>caiquematheussnd1@gmail.com</t>
  </si>
  <si>
    <t>(66)98446-6322</t>
  </si>
  <si>
    <t>Serra Nova Dourada (MT)</t>
  </si>
  <si>
    <t>A explicação é a disposição</t>
  </si>
  <si>
    <t>Não tem nao</t>
  </si>
  <si>
    <t>YouTube</t>
  </si>
  <si>
    <t>Eliane Romualdo Gontijo Leite</t>
  </si>
  <si>
    <t>817.939.601-00</t>
  </si>
  <si>
    <t>eliane.rl.gontijo@gmail.com</t>
  </si>
  <si>
    <t>(66)98458-8018</t>
  </si>
  <si>
    <t>Bom Jesus do Araguaia (MT)</t>
  </si>
  <si>
    <t>Trabalhar em dois dias a temáticas</t>
  </si>
  <si>
    <t>Elisabete Rosália Herrmann Brito</t>
  </si>
  <si>
    <t>009.756.161-45</t>
  </si>
  <si>
    <t>elisabeteherrmann@gmail.com</t>
  </si>
  <si>
    <t>(66)98425-1993</t>
  </si>
  <si>
    <t>Conhecimento dos Técnicos, material</t>
  </si>
  <si>
    <t>Distância do local de formação</t>
  </si>
  <si>
    <t>Delcimar Vieira Lima</t>
  </si>
  <si>
    <t>474.491.361-04</t>
  </si>
  <si>
    <t>delcimarvieira2@hotmail.com</t>
  </si>
  <si>
    <t>(66)98452-9107</t>
  </si>
  <si>
    <t>Canabrava do Norte (MT)</t>
  </si>
  <si>
    <t>Dinâmica de ensino</t>
  </si>
  <si>
    <t>Mais tempo de formação, lanche para alunos.</t>
  </si>
  <si>
    <t>Clayton</t>
  </si>
  <si>
    <t>719.914.681-72</t>
  </si>
  <si>
    <t>olivanerd@hotmail.com</t>
  </si>
  <si>
    <t>(66)98447-3124</t>
  </si>
  <si>
    <t>Novo Santo Antônio (MT)</t>
  </si>
  <si>
    <t>A dinâmica de apresentação dos conteúdos</t>
  </si>
  <si>
    <t>o tempo foi muito pouco deveria ser planejado para minimo 16 horas em dois dias.</t>
  </si>
  <si>
    <t>Mais tempo.</t>
  </si>
  <si>
    <t>Luciano Carvalho da Silva</t>
  </si>
  <si>
    <t>051.765.051-77</t>
  </si>
  <si>
    <t>luciano.artros@gmail.com</t>
  </si>
  <si>
    <t>(66)99264-4006</t>
  </si>
  <si>
    <t>Barra do Garças (MT)</t>
  </si>
  <si>
    <t>Conseguiu atender bem algumas dúvidas pontuais que eu tinha a respeito do SETE. Então foi muito importante para alinhamento.</t>
  </si>
  <si>
    <t>A data da formação foi boa, mas acredito que seria melhor no começo de cada mês. E para ser menos puxado, seria recomendado ocorrer em dois dias (recomenda-se no começo do mês em decorrência de ocorrer atrasos em diárias, por exemplo)</t>
  </si>
  <si>
    <t>Realizar webnarios, dicas de como padronizar essas informações e relacionados.</t>
  </si>
  <si>
    <t>Oficio de convocação feito pelo FNDE, Outro</t>
  </si>
  <si>
    <t>Rosiane dos Santos Milhomem</t>
  </si>
  <si>
    <t>707.855.201-63</t>
  </si>
  <si>
    <t>rosianemilhomem@gmail.com</t>
  </si>
  <si>
    <t>(66)99688-7811</t>
  </si>
  <si>
    <t>O nível de esclarecimento é tira dúvidas, foi simplesmente perfeito.</t>
  </si>
  <si>
    <t>Local do evento, falta de profissional para informar o local do evento.</t>
  </si>
  <si>
    <t>Tempo de durabilidade do curso, poderia aumentar os dias sem ser tão rápido.</t>
  </si>
  <si>
    <t>Mais cursos.</t>
  </si>
  <si>
    <t>Andreia Arruda Américo</t>
  </si>
  <si>
    <t>009.151.451-70</t>
  </si>
  <si>
    <t>americoandreia48@gmail.com</t>
  </si>
  <si>
    <t>(66)98426-3841</t>
  </si>
  <si>
    <t>Sete, planejamento</t>
  </si>
  <si>
    <t>Pra mim não tenho aspectos pra melhorar</t>
  </si>
  <si>
    <t>Ter sido dois dias.</t>
  </si>
  <si>
    <t>Simone da Silva Rêgo de Souza</t>
  </si>
  <si>
    <t>767.007.493-49</t>
  </si>
  <si>
    <t>simonerego_cbn@hotmail.com</t>
  </si>
  <si>
    <t>(66)98126-3476</t>
  </si>
  <si>
    <t>Forma de condução da formação e a humildade dos formadores</t>
  </si>
  <si>
    <t>O local ser mais perto de nossa localidade e mais tempo de formação</t>
  </si>
  <si>
    <t>Trabalhar diretamente no sistema com todos pra aprender como trabalhar com o sistema</t>
  </si>
  <si>
    <t>Kate Regina Paulo da Silva</t>
  </si>
  <si>
    <t>762.162.171-00</t>
  </si>
  <si>
    <t>Katereginaps2@hotmail.com</t>
  </si>
  <si>
    <t>(66)98437-1064</t>
  </si>
  <si>
    <t>Gostei muito do conteúdo da formação</t>
  </si>
  <si>
    <t>A capacitação deve ser 2 dias. Muita informação pra pouco tempo de formação.</t>
  </si>
  <si>
    <t>Achei muita boa a capacitação.</t>
  </si>
  <si>
    <t>Lídia Arraes de Oliveira</t>
  </si>
  <si>
    <t>395.707.701-04</t>
  </si>
  <si>
    <t>lidiaarraes01@hotmail.com</t>
  </si>
  <si>
    <t>(66)98422-5865</t>
  </si>
  <si>
    <t>Caso fundeb e sete.</t>
  </si>
  <si>
    <t>As dúvidas sobre a formação do conselho.</t>
  </si>
  <si>
    <t>Conselho do cae.</t>
  </si>
  <si>
    <t>Parabéns!</t>
  </si>
  <si>
    <t>Josimeire de Souza Ramos Resende</t>
  </si>
  <si>
    <t>004.763.191-02</t>
  </si>
  <si>
    <t>joaimeire_quimica2011@hotmail.com</t>
  </si>
  <si>
    <t>(66)98433-8186</t>
  </si>
  <si>
    <t xml:space="preserve">A participação em grupo 
A exposição individual 
</t>
  </si>
  <si>
    <t>Quantidade de dias, pela distância que percorremos 1 dia é muito pouco.</t>
  </si>
  <si>
    <t>Nelmi Rodrigues Quixabeira</t>
  </si>
  <si>
    <t>966.966.051-34</t>
  </si>
  <si>
    <t>nelmiquixabeira@hotmail.com</t>
  </si>
  <si>
    <t>(66)98449-1635</t>
  </si>
  <si>
    <t>Eu gostei de tudo, só não foi legal a questão de não sabermos o cronograma da hora do almoço e também difícil acesso a água e banheiro. Mas a formação em si foi EXCELENTE. Poderia ser uma carga horária maior, para ter intervalo. Tudo foi perfeito.</t>
  </si>
  <si>
    <t>Só o local da formação mesmo.</t>
  </si>
  <si>
    <t>Vídeos de YouTube</t>
  </si>
  <si>
    <t>E-mail encaminhado pelo CECATE/CO, Oficio de convocação feito pelo FNDE, Grupos de WhatsApp, Outro</t>
  </si>
  <si>
    <t>Adriane Hilario santos</t>
  </si>
  <si>
    <t>822.671.541-53</t>
  </si>
  <si>
    <t>Adrianehilariosantos15@gmail.com</t>
  </si>
  <si>
    <t>(66)98446-0280</t>
  </si>
  <si>
    <t>Conteúdo</t>
  </si>
  <si>
    <t>Mais um dia</t>
  </si>
  <si>
    <t>Muito bom mais tempo p melhorar</t>
  </si>
  <si>
    <t>Ideman Celestino da Silva</t>
  </si>
  <si>
    <t>495.960.551-00</t>
  </si>
  <si>
    <t>idemarseletino@gmail.com</t>
  </si>
  <si>
    <t>(66)99202-0070</t>
  </si>
  <si>
    <t>Sete</t>
  </si>
  <si>
    <t>Transporte</t>
  </si>
  <si>
    <t>Antonia Pereira Luz</t>
  </si>
  <si>
    <t>794.651.021-72</t>
  </si>
  <si>
    <t>antonia.luz@snd.edu.mt.gov.br</t>
  </si>
  <si>
    <t>(66)98417-1023</t>
  </si>
  <si>
    <t>Clareza nas informações</t>
  </si>
  <si>
    <t>Gostaria que porrageasse para dois dias são muitas informações</t>
  </si>
  <si>
    <t>Lorena Pereira de Souza</t>
  </si>
  <si>
    <t>042.254.611-90</t>
  </si>
  <si>
    <t>lorennasouza09.ls@gmail.com</t>
  </si>
  <si>
    <t>(66)99241-6958</t>
  </si>
  <si>
    <t>A comunicação, boa explicação, conseguiram trazer respostas na qual se tinha muitas dúvidas.</t>
  </si>
  <si>
    <t>O tempo - dividir em dois dias.</t>
  </si>
  <si>
    <t>Novo São Joaquim</t>
  </si>
  <si>
    <t>Querência</t>
  </si>
  <si>
    <t>Canarana</t>
  </si>
  <si>
    <t>Ribeirão Cascalheira</t>
  </si>
  <si>
    <t>Confresa</t>
  </si>
  <si>
    <t>Baliza</t>
  </si>
  <si>
    <t>Alto Boa Vista</t>
  </si>
  <si>
    <t>Porto Alegre do Norte</t>
  </si>
  <si>
    <t>Aragarças</t>
  </si>
  <si>
    <t>Pontal do Araguaia</t>
  </si>
  <si>
    <t>Água Boa</t>
  </si>
  <si>
    <t>Montes Claros de Goiás</t>
  </si>
  <si>
    <t>Araguaiana</t>
  </si>
  <si>
    <t>Vila Rica</t>
  </si>
  <si>
    <t>São Félix do Araguaia</t>
  </si>
  <si>
    <t>Serra Nova Dourada</t>
  </si>
  <si>
    <t>Bom Jesus do Araguaia</t>
  </si>
  <si>
    <t>Canabrava do Norte</t>
  </si>
  <si>
    <t>Novo Santo Antônio</t>
  </si>
  <si>
    <t>Barra do Garças</t>
  </si>
  <si>
    <t>Bom Jardim de Goiás</t>
  </si>
  <si>
    <t>Campinápolis</t>
  </si>
  <si>
    <t>Cocalinho</t>
  </si>
  <si>
    <t>Gaúcha do Norte</t>
  </si>
  <si>
    <t>General Carneiro</t>
  </si>
  <si>
    <t>Luciara</t>
  </si>
  <si>
    <t>Nova Nazaré</t>
  </si>
  <si>
    <t>Nova Xavantina</t>
  </si>
  <si>
    <t>Santa Terezinha</t>
  </si>
  <si>
    <t>Santo Antônio do Leste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</si>
</sst>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2"/>
      <color theme="1"/>
      <name val="Gill Sans MT"/>
      <family val="2"/>
    </font>
    <font>
      <sz val="12"/>
      <color theme="1"/>
      <name val="Gill Sans MT"/>
      <family val="2"/>
    </font>
    <font>
      <sz val="10"/>
      <color theme="1"/>
      <name val="Times New Roman"/>
      <family val="1"/>
    </font>
    <font>
      <sz val="10"/>
      <color rgb="FFFFFFFF"/>
      <name val="Roboto"/>
    </font>
    <font>
      <b/>
      <sz val="10"/>
      <color rgb="FFFFFFFF"/>
      <name val="Roboto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i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434343"/>
      <name val="Roboto"/>
    </font>
    <font>
      <sz val="5"/>
      <color theme="1" tint="0.499984740745262"/>
      <name val="Arial"/>
      <family val="2"/>
    </font>
    <font>
      <b/>
      <sz val="5"/>
      <color theme="1" tint="0.499984740745262"/>
      <name val="Arial"/>
      <family val="2"/>
    </font>
    <font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9" tint="-0.499984740745262"/>
      <name val="Arial"/>
      <family val="2"/>
    </font>
    <font>
      <sz val="1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3F8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42F65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CCCCCC"/>
      </right>
      <top style="medium">
        <color rgb="FFE8EAED"/>
      </top>
      <bottom style="medium">
        <color rgb="FFCCCCCC"/>
      </bottom>
      <diagonal/>
    </border>
    <border>
      <left style="medium">
        <color rgb="FF442F65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442F65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8" fillId="0" borderId="0" xfId="0" applyFont="1"/>
    <xf numFmtId="0" fontId="9" fillId="5" borderId="8" xfId="0" applyFont="1" applyFill="1" applyBorder="1" applyAlignment="1">
      <alignment vertical="center" wrapText="1"/>
    </xf>
    <xf numFmtId="0" fontId="9" fillId="5" borderId="8" xfId="0" applyFont="1" applyFill="1" applyBorder="1" applyAlignment="1">
      <alignment horizontal="right" vertical="center" wrapText="1"/>
    </xf>
    <xf numFmtId="0" fontId="8" fillId="5" borderId="8" xfId="0" applyFont="1" applyFill="1" applyBorder="1" applyAlignment="1">
      <alignment vertical="center" wrapText="1"/>
    </xf>
    <xf numFmtId="0" fontId="8" fillId="5" borderId="9" xfId="0" applyFont="1" applyFill="1" applyBorder="1" applyAlignment="1">
      <alignment vertical="center" wrapText="1"/>
    </xf>
    <xf numFmtId="0" fontId="8" fillId="0" borderId="10" xfId="0" applyFont="1" applyBorder="1" applyAlignment="1">
      <alignment wrapText="1"/>
    </xf>
    <xf numFmtId="0" fontId="9" fillId="6" borderId="12" xfId="0" applyFont="1" applyFill="1" applyBorder="1" applyAlignment="1">
      <alignment vertical="center" wrapText="1"/>
    </xf>
    <xf numFmtId="0" fontId="9" fillId="6" borderId="12" xfId="0" applyFont="1" applyFill="1" applyBorder="1" applyAlignment="1">
      <alignment horizontal="right" vertical="center" wrapText="1"/>
    </xf>
    <xf numFmtId="0" fontId="8" fillId="6" borderId="12" xfId="0" applyFont="1" applyFill="1" applyBorder="1" applyAlignment="1">
      <alignment vertical="center" wrapText="1"/>
    </xf>
    <xf numFmtId="0" fontId="9" fillId="6" borderId="9" xfId="0" applyFont="1" applyFill="1" applyBorder="1" applyAlignment="1">
      <alignment vertical="center" wrapText="1"/>
    </xf>
    <xf numFmtId="0" fontId="8" fillId="6" borderId="9" xfId="0" applyFont="1" applyFill="1" applyBorder="1" applyAlignment="1">
      <alignment vertical="center" wrapText="1"/>
    </xf>
    <xf numFmtId="0" fontId="9" fillId="5" borderId="9" xfId="0" applyFont="1" applyFill="1" applyBorder="1" applyAlignment="1">
      <alignment vertical="center" wrapText="1"/>
    </xf>
    <xf numFmtId="0" fontId="4" fillId="3" borderId="4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6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textRotation="90" wrapText="1"/>
    </xf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164" fontId="0" fillId="2" borderId="2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indent="1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 indent="1"/>
    </xf>
    <xf numFmtId="0" fontId="15" fillId="9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/>
    </xf>
    <xf numFmtId="0" fontId="16" fillId="10" borderId="17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9" fontId="8" fillId="0" borderId="0" xfId="1" applyFont="1" applyAlignment="1">
      <alignment horizontal="center" vertical="center"/>
    </xf>
    <xf numFmtId="164" fontId="8" fillId="0" borderId="0" xfId="1" applyNumberFormat="1" applyFont="1" applyAlignment="1">
      <alignment horizontal="center" vertical="center"/>
    </xf>
    <xf numFmtId="0" fontId="8" fillId="2" borderId="0" xfId="0" applyFont="1" applyFill="1"/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center"/>
    </xf>
    <xf numFmtId="0" fontId="17" fillId="11" borderId="2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8" fillId="0" borderId="6" xfId="0" applyFont="1" applyBorder="1"/>
    <xf numFmtId="0" fontId="3" fillId="3" borderId="3" xfId="0" applyFont="1" applyFill="1" applyBorder="1" applyAlignment="1">
      <alignment horizontal="center" vertical="center"/>
    </xf>
    <xf numFmtId="22" fontId="9" fillId="5" borderId="7" xfId="0" applyNumberFormat="1" applyFont="1" applyFill="1" applyBorder="1" applyAlignment="1">
      <alignment horizontal="center" vertical="center" wrapText="1"/>
    </xf>
    <xf numFmtId="22" fontId="9" fillId="6" borderId="11" xfId="0" applyNumberFormat="1" applyFont="1" applyFill="1" applyBorder="1" applyAlignment="1">
      <alignment horizontal="center" vertical="center" wrapText="1"/>
    </xf>
    <xf numFmtId="0" fontId="8" fillId="0" borderId="10" xfId="0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5" fillId="3" borderId="4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9" fillId="5" borderId="18" xfId="0" applyFont="1" applyFill="1" applyBorder="1" applyAlignment="1">
      <alignment horizontal="right" vertical="center" wrapText="1"/>
    </xf>
    <xf numFmtId="0" fontId="9" fillId="6" borderId="18" xfId="0" applyFont="1" applyFill="1" applyBorder="1" applyAlignment="1">
      <alignment horizontal="right" vertical="center" wrapText="1"/>
    </xf>
    <xf numFmtId="0" fontId="9" fillId="5" borderId="0" xfId="0" applyFont="1" applyFill="1" applyAlignment="1">
      <alignment horizontal="right" vertical="center" wrapText="1"/>
    </xf>
    <xf numFmtId="0" fontId="8" fillId="0" borderId="0" xfId="0" applyFont="1" applyAlignment="1">
      <alignment wrapText="1"/>
    </xf>
    <xf numFmtId="0" fontId="8" fillId="2" borderId="0" xfId="0" applyFont="1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8" fillId="0" borderId="2" xfId="0" applyFont="1" applyBorder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22" fontId="9" fillId="5" borderId="11" xfId="0" applyNumberFormat="1" applyFont="1" applyFill="1" applyBorder="1" applyAlignment="1">
      <alignment horizontal="center" vertical="center" wrapText="1"/>
    </xf>
    <xf numFmtId="22" fontId="9" fillId="6" borderId="7" xfId="0" applyNumberFormat="1" applyFont="1" applyFill="1" applyBorder="1" applyAlignment="1">
      <alignment horizontal="center" vertical="center" wrapText="1"/>
    </xf>
    <xf numFmtId="22" fontId="9" fillId="5" borderId="13" xfId="0" applyNumberFormat="1" applyFont="1" applyFill="1" applyBorder="1" applyAlignment="1">
      <alignment horizontal="center" vertical="center" wrapText="1"/>
    </xf>
    <xf numFmtId="0" fontId="9" fillId="5" borderId="12" xfId="0" applyFont="1" applyFill="1" applyBorder="1" applyAlignment="1">
      <alignment vertical="center" wrapText="1"/>
    </xf>
    <xf numFmtId="0" fontId="9" fillId="6" borderId="8" xfId="0" applyFont="1" applyFill="1" applyBorder="1" applyAlignment="1">
      <alignment vertical="center" wrapText="1"/>
    </xf>
    <xf numFmtId="0" fontId="9" fillId="5" borderId="14" xfId="0" applyFont="1" applyFill="1" applyBorder="1" applyAlignment="1">
      <alignment vertical="center" wrapText="1"/>
    </xf>
    <xf numFmtId="0" fontId="9" fillId="5" borderId="12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 vertical="center" wrapText="1"/>
    </xf>
    <xf numFmtId="0" fontId="9" fillId="5" borderId="12" xfId="0" applyFont="1" applyFill="1" applyBorder="1" applyAlignment="1">
      <alignment horizontal="right" vertical="center" wrapText="1"/>
    </xf>
    <xf numFmtId="0" fontId="9" fillId="6" borderId="8" xfId="0" applyFont="1" applyFill="1" applyBorder="1" applyAlignment="1">
      <alignment horizontal="right" vertical="center" wrapText="1"/>
    </xf>
    <xf numFmtId="0" fontId="9" fillId="5" borderId="14" xfId="0" applyFont="1" applyFill="1" applyBorder="1" applyAlignment="1">
      <alignment horizontal="right" vertical="center" wrapText="1"/>
    </xf>
    <xf numFmtId="0" fontId="8" fillId="5" borderId="12" xfId="0" applyFont="1" applyFill="1" applyBorder="1" applyAlignment="1">
      <alignment vertical="center" wrapText="1"/>
    </xf>
    <xf numFmtId="0" fontId="8" fillId="6" borderId="8" xfId="0" applyFont="1" applyFill="1" applyBorder="1" applyAlignment="1">
      <alignment vertical="center" wrapText="1"/>
    </xf>
    <xf numFmtId="0" fontId="8" fillId="5" borderId="14" xfId="0" applyFont="1" applyFill="1" applyBorder="1" applyAlignment="1">
      <alignment vertical="center" wrapText="1"/>
    </xf>
    <xf numFmtId="0" fontId="9" fillId="5" borderId="10" xfId="0" applyFont="1" applyFill="1" applyBorder="1" applyAlignment="1">
      <alignment vertical="center" wrapText="1"/>
    </xf>
    <xf numFmtId="0" fontId="8" fillId="0" borderId="12" xfId="0" applyFont="1" applyBorder="1" applyAlignment="1">
      <alignment wrapText="1"/>
    </xf>
    <xf numFmtId="0" fontId="8" fillId="0" borderId="9" xfId="0" applyFont="1" applyBorder="1" applyAlignment="1">
      <alignment wrapText="1"/>
    </xf>
    <xf numFmtId="0" fontId="8" fillId="5" borderId="15" xfId="0" applyFont="1" applyFill="1" applyBorder="1" applyAlignment="1">
      <alignment vertical="center" wrapText="1"/>
    </xf>
    <xf numFmtId="0" fontId="9" fillId="6" borderId="10" xfId="0" applyFont="1" applyFill="1" applyBorder="1" applyAlignment="1">
      <alignment vertical="center" wrapText="1"/>
    </xf>
    <xf numFmtId="0" fontId="8" fillId="0" borderId="8" xfId="0" applyFont="1" applyBorder="1" applyAlignment="1">
      <alignment wrapText="1"/>
    </xf>
    <xf numFmtId="0" fontId="9" fillId="6" borderId="10" xfId="0" applyFont="1" applyFill="1" applyBorder="1" applyAlignment="1">
      <alignment horizontal="right" vertical="center" wrapText="1"/>
    </xf>
    <xf numFmtId="0" fontId="9" fillId="5" borderId="10" xfId="0" applyFont="1" applyFill="1" applyBorder="1" applyAlignment="1">
      <alignment horizontal="right" vertical="center" wrapText="1"/>
    </xf>
    <xf numFmtId="0" fontId="8" fillId="0" borderId="18" xfId="0" applyFont="1" applyBorder="1" applyAlignment="1">
      <alignment wrapText="1"/>
    </xf>
    <xf numFmtId="0" fontId="9" fillId="6" borderId="0" xfId="0" applyFont="1" applyFill="1" applyBorder="1" applyAlignment="1">
      <alignment horizontal="right" vertical="center" wrapText="1"/>
    </xf>
    <xf numFmtId="0" fontId="9" fillId="5" borderId="0" xfId="0" applyFont="1" applyFill="1" applyBorder="1" applyAlignment="1">
      <alignment horizontal="right" vertical="center" wrapText="1"/>
    </xf>
    <xf numFmtId="0" fontId="0" fillId="0" borderId="10" xfId="0" applyBorder="1"/>
    <xf numFmtId="0" fontId="8" fillId="0" borderId="0" xfId="0" applyFont="1" applyBorder="1" applyAlignment="1">
      <alignment wrapText="1"/>
    </xf>
    <xf numFmtId="0" fontId="0" fillId="0" borderId="10" xfId="0" applyBorder="1" applyAlignment="1">
      <alignment wrapText="1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FC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Todos!$N$5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FC-4D3E-82A8-5F53F3365DA4}"/>
            </c:ext>
          </c:extLst>
        </c:ser>
        <c:ser>
          <c:idx val="1"/>
          <c:order val="1"/>
          <c:tx>
            <c:strRef>
              <c:f>Todos!$O$5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2.1276595744680851E-2</c:v>
                </c:pt>
                <c:pt idx="4">
                  <c:v>6.3829787234042548E-2</c:v>
                </c:pt>
                <c:pt idx="5">
                  <c:v>2.1276595744680851E-2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FC-4D3E-82A8-5F53F3365DA4}"/>
            </c:ext>
          </c:extLst>
        </c:ser>
        <c:ser>
          <c:idx val="2"/>
          <c:order val="2"/>
          <c:tx>
            <c:strRef>
              <c:f>Todos!$P$5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Todos!$P$6:$P$12</c:f>
              <c:numCache>
                <c:formatCode>0.0%</c:formatCode>
                <c:ptCount val="7"/>
                <c:pt idx="0">
                  <c:v>4.2553191489361701E-2</c:v>
                </c:pt>
                <c:pt idx="1">
                  <c:v>0.10638297872340426</c:v>
                </c:pt>
                <c:pt idx="2">
                  <c:v>4.2553191489361701E-2</c:v>
                </c:pt>
                <c:pt idx="3">
                  <c:v>4.2553191489361701E-2</c:v>
                </c:pt>
                <c:pt idx="4">
                  <c:v>0.1276595744680851</c:v>
                </c:pt>
                <c:pt idx="5">
                  <c:v>0.10638297872340426</c:v>
                </c:pt>
                <c:pt idx="6">
                  <c:v>8.5106382978723402E-2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FC-4D3E-82A8-5F53F3365DA4}"/>
            </c:ext>
          </c:extLst>
        </c:ser>
        <c:ser>
          <c:idx val="3"/>
          <c:order val="3"/>
          <c:tx>
            <c:strRef>
              <c:f>Todos!$Q$5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Todos!$Q$6:$Q$12</c:f>
              <c:numCache>
                <c:formatCode>0.0%</c:formatCode>
                <c:ptCount val="7"/>
                <c:pt idx="0">
                  <c:v>0.25531914893617019</c:v>
                </c:pt>
                <c:pt idx="1">
                  <c:v>0.36170212765957449</c:v>
                </c:pt>
                <c:pt idx="2">
                  <c:v>0.31914893617021278</c:v>
                </c:pt>
                <c:pt idx="3">
                  <c:v>0.31914893617021278</c:v>
                </c:pt>
                <c:pt idx="4">
                  <c:v>0.23404255319148937</c:v>
                </c:pt>
                <c:pt idx="5">
                  <c:v>0.40425531914893614</c:v>
                </c:pt>
                <c:pt idx="6">
                  <c:v>0.25531914893617019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FC-4D3E-82A8-5F53F3365DA4}"/>
            </c:ext>
          </c:extLst>
        </c:ser>
        <c:ser>
          <c:idx val="4"/>
          <c:order val="4"/>
          <c:tx>
            <c:strRef>
              <c:f>Todos!$R$5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Todos!$R$6:$R$12</c:f>
              <c:numCache>
                <c:formatCode>0.0%</c:formatCode>
                <c:ptCount val="7"/>
                <c:pt idx="0">
                  <c:v>0.7021276595744681</c:v>
                </c:pt>
                <c:pt idx="1">
                  <c:v>0.53191489361702127</c:v>
                </c:pt>
                <c:pt idx="2">
                  <c:v>0.63829787234042556</c:v>
                </c:pt>
                <c:pt idx="3">
                  <c:v>0.61702127659574468</c:v>
                </c:pt>
                <c:pt idx="4">
                  <c:v>0.57446808510638303</c:v>
                </c:pt>
                <c:pt idx="5">
                  <c:v>0.46808510638297873</c:v>
                </c:pt>
                <c:pt idx="6">
                  <c:v>0.65957446808510634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FC-4D3E-82A8-5F53F3365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CACS!$N$5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01-4361-B35C-2076A2B285F1}"/>
            </c:ext>
          </c:extLst>
        </c:ser>
        <c:ser>
          <c:idx val="1"/>
          <c:order val="1"/>
          <c:tx>
            <c:strRef>
              <c:f>CACS!$O$5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01-4361-B35C-2076A2B285F1}"/>
            </c:ext>
          </c:extLst>
        </c:ser>
        <c:ser>
          <c:idx val="2"/>
          <c:order val="2"/>
          <c:tx>
            <c:strRef>
              <c:f>CACS!$P$5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CACS!$P$6:$P$12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6.6666666666666666E-2</c:v>
                </c:pt>
                <c:pt idx="5">
                  <c:v>6.6666666666666666E-2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01-4361-B35C-2076A2B285F1}"/>
            </c:ext>
          </c:extLst>
        </c:ser>
        <c:ser>
          <c:idx val="3"/>
          <c:order val="3"/>
          <c:tx>
            <c:strRef>
              <c:f>CACS!$Q$5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CACS!$Q$6:$Q$12</c:f>
              <c:numCache>
                <c:formatCode>0.0%</c:formatCode>
                <c:ptCount val="7"/>
                <c:pt idx="0">
                  <c:v>0.2</c:v>
                </c:pt>
                <c:pt idx="1">
                  <c:v>0.46666666666666667</c:v>
                </c:pt>
                <c:pt idx="2">
                  <c:v>0.26666666666666666</c:v>
                </c:pt>
                <c:pt idx="3">
                  <c:v>0.26666666666666666</c:v>
                </c:pt>
                <c:pt idx="4">
                  <c:v>0.2</c:v>
                </c:pt>
                <c:pt idx="5">
                  <c:v>0.4</c:v>
                </c:pt>
                <c:pt idx="6">
                  <c:v>0.26666666666666666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01-4361-B35C-2076A2B285F1}"/>
            </c:ext>
          </c:extLst>
        </c:ser>
        <c:ser>
          <c:idx val="4"/>
          <c:order val="4"/>
          <c:tx>
            <c:strRef>
              <c:f>CACS!$R$5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CACS!$R$6:$R$12</c:f>
              <c:numCache>
                <c:formatCode>0.0%</c:formatCode>
                <c:ptCount val="7"/>
                <c:pt idx="0">
                  <c:v>0.8</c:v>
                </c:pt>
                <c:pt idx="1">
                  <c:v>0.53333333333333333</c:v>
                </c:pt>
                <c:pt idx="2">
                  <c:v>0.73333333333333328</c:v>
                </c:pt>
                <c:pt idx="3">
                  <c:v>0.73333333333333328</c:v>
                </c:pt>
                <c:pt idx="4">
                  <c:v>0.73333333333333328</c:v>
                </c:pt>
                <c:pt idx="5">
                  <c:v>0.53333333333333333</c:v>
                </c:pt>
                <c:pt idx="6">
                  <c:v>0.73333333333333328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01-4361-B35C-2076A2B28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GESTORES!$N$5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E2-4BE5-817D-AC21A97B38C6}"/>
            </c:ext>
          </c:extLst>
        </c:ser>
        <c:ser>
          <c:idx val="1"/>
          <c:order val="1"/>
          <c:tx>
            <c:strRef>
              <c:f>GESTORES!$O$5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3.125E-2</c:v>
                </c:pt>
                <c:pt idx="4">
                  <c:v>9.375E-2</c:v>
                </c:pt>
                <c:pt idx="5">
                  <c:v>3.125E-2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E2-4BE5-817D-AC21A97B38C6}"/>
            </c:ext>
          </c:extLst>
        </c:ser>
        <c:ser>
          <c:idx val="2"/>
          <c:order val="2"/>
          <c:tx>
            <c:strRef>
              <c:f>GESTORES!$P$5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GESTORES!$P$6:$P$12</c:f>
              <c:numCache>
                <c:formatCode>0.0%</c:formatCode>
                <c:ptCount val="7"/>
                <c:pt idx="0">
                  <c:v>6.25E-2</c:v>
                </c:pt>
                <c:pt idx="1">
                  <c:v>0.15625</c:v>
                </c:pt>
                <c:pt idx="2">
                  <c:v>6.25E-2</c:v>
                </c:pt>
                <c:pt idx="3">
                  <c:v>6.25E-2</c:v>
                </c:pt>
                <c:pt idx="4">
                  <c:v>0.15625</c:v>
                </c:pt>
                <c:pt idx="5">
                  <c:v>0.125</c:v>
                </c:pt>
                <c:pt idx="6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E2-4BE5-817D-AC21A97B38C6}"/>
            </c:ext>
          </c:extLst>
        </c:ser>
        <c:ser>
          <c:idx val="3"/>
          <c:order val="3"/>
          <c:tx>
            <c:strRef>
              <c:f>GESTORES!$Q$5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GESTORES!$Q$6:$Q$12</c:f>
              <c:numCache>
                <c:formatCode>0.0%</c:formatCode>
                <c:ptCount val="7"/>
                <c:pt idx="0">
                  <c:v>0.28125</c:v>
                </c:pt>
                <c:pt idx="1">
                  <c:v>0.3125</c:v>
                </c:pt>
                <c:pt idx="2">
                  <c:v>0.34375</c:v>
                </c:pt>
                <c:pt idx="3">
                  <c:v>0.34375</c:v>
                </c:pt>
                <c:pt idx="4">
                  <c:v>0.25</c:v>
                </c:pt>
                <c:pt idx="5">
                  <c:v>0.40625</c:v>
                </c:pt>
                <c:pt idx="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E2-4BE5-817D-AC21A97B38C6}"/>
            </c:ext>
          </c:extLst>
        </c:ser>
        <c:ser>
          <c:idx val="4"/>
          <c:order val="4"/>
          <c:tx>
            <c:strRef>
              <c:f>GESTORES!$R$5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GESTORES!$R$6:$R$12</c:f>
              <c:numCache>
                <c:formatCode>0.0%</c:formatCode>
                <c:ptCount val="7"/>
                <c:pt idx="0">
                  <c:v>0.65625</c:v>
                </c:pt>
                <c:pt idx="1">
                  <c:v>0.53125</c:v>
                </c:pt>
                <c:pt idx="2">
                  <c:v>0.59375</c:v>
                </c:pt>
                <c:pt idx="3">
                  <c:v>0.5625</c:v>
                </c:pt>
                <c:pt idx="4">
                  <c:v>0.5</c:v>
                </c:pt>
                <c:pt idx="5">
                  <c:v>0.4375</c:v>
                </c:pt>
                <c:pt idx="6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E2-4BE5-817D-AC21A97B3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'Resumo '!$F$49</c:f>
              <c:strCache>
                <c:ptCount val="1"/>
                <c:pt idx="0">
                  <c:v>Nº de Avaliações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explosion val="5"/>
          <c:dPt>
            <c:idx val="1"/>
            <c:bubble3D val="0"/>
            <c:spPr>
              <a:solidFill>
                <a:srgbClr val="FFCD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2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'!$E$50:$E$51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'!$F$50:$F$51</c:f>
              <c:numCache>
                <c:formatCode>General</c:formatCode>
                <c:ptCount val="2"/>
                <c:pt idx="0">
                  <c:v>15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E7D-4BA3-A136-F9F438ADC8D9}"/>
            </c:ext>
          </c:extLst>
        </c:ser>
        <c:ser>
          <c:idx val="0"/>
          <c:order val="1"/>
          <c:tx>
            <c:strRef>
              <c:f>'Resumo '!$G$41</c:f>
              <c:strCache>
                <c:ptCount val="1"/>
                <c:pt idx="0">
                  <c:v>CACS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rgbClr val="FFCD2F"/>
              </a:solidFill>
            </c:spPr>
            <c:extLst>
              <c:ext xmlns:c16="http://schemas.microsoft.com/office/drawing/2014/chart" uri="{C3380CC4-5D6E-409C-BE32-E72D297353CC}">
                <c16:uniqueId val="{0000000C-BE7D-4BA3-A136-F9F438ADC8D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'!$E$50:$E$51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'!$G$42:$G$43</c:f>
              <c:numCache>
                <c:formatCode>General</c:formatCode>
                <c:ptCount val="2"/>
                <c:pt idx="0">
                  <c:v>15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E7D-4BA3-A136-F9F438ADC8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</xdr:row>
      <xdr:rowOff>0</xdr:rowOff>
    </xdr:from>
    <xdr:to>
      <xdr:col>17</xdr:col>
      <xdr:colOff>593148</xdr:colOff>
      <xdr:row>27</xdr:row>
      <xdr:rowOff>219076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AF7DC6-C59E-418C-9F94-A3793D8E1F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1276349</xdr:colOff>
      <xdr:row>13</xdr:row>
      <xdr:rowOff>9525</xdr:rowOff>
    </xdr:from>
    <xdr:to>
      <xdr:col>14</xdr:col>
      <xdr:colOff>466724</xdr:colOff>
      <xdr:row>24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575E78E-27A5-47A2-A8F5-D631E50B5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</xdr:row>
      <xdr:rowOff>0</xdr:rowOff>
    </xdr:from>
    <xdr:to>
      <xdr:col>17</xdr:col>
      <xdr:colOff>593148</xdr:colOff>
      <xdr:row>27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81F5E0-227C-4513-B2A0-B6422254CD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46</xdr:row>
      <xdr:rowOff>23812</xdr:rowOff>
    </xdr:from>
    <xdr:to>
      <xdr:col>12</xdr:col>
      <xdr:colOff>590550</xdr:colOff>
      <xdr:row>56</xdr:row>
      <xdr:rowOff>4762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EC7C01-7A9E-1338-7402-F1BE8F39E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F349-0C43-482B-9AE7-FF09C1F6FABC}">
  <dimension ref="A1:AB166"/>
  <sheetViews>
    <sheetView topLeftCell="A32" workbookViewId="0">
      <selection activeCell="A48" sqref="A48"/>
    </sheetView>
  </sheetViews>
  <sheetFormatPr defaultRowHeight="19.5" x14ac:dyDescent="0.4"/>
  <cols>
    <col min="1" max="1" width="22.5" style="56" customWidth="1"/>
    <col min="2" max="2" width="30.5" style="50" bestFit="1" customWidth="1"/>
    <col min="3" max="3" width="28.375" style="50" customWidth="1"/>
    <col min="4" max="4" width="32.5" style="50" customWidth="1"/>
    <col min="5" max="5" width="15.375" style="56" customWidth="1"/>
    <col min="6" max="6" width="23.75" style="56" customWidth="1"/>
    <col min="7" max="7" width="17.5" style="56" customWidth="1"/>
    <col min="8" max="14" width="9" style="50" customWidth="1"/>
    <col min="15" max="15" width="60.375" style="50" bestFit="1" customWidth="1"/>
    <col min="16" max="16" width="88.25" style="50" bestFit="1" customWidth="1"/>
    <col min="17" max="17" width="25.75" style="50" bestFit="1" customWidth="1"/>
    <col min="18" max="18" width="25" style="50" bestFit="1" customWidth="1"/>
    <col min="19" max="19" width="85.5" style="50" bestFit="1" customWidth="1"/>
    <col min="20" max="20" width="44.375" style="50" bestFit="1" customWidth="1"/>
    <col min="21" max="21" width="56.75" style="50" bestFit="1" customWidth="1"/>
    <col min="22" max="22" width="20.625" style="50" customWidth="1"/>
    <col min="23" max="24" width="12" style="50" customWidth="1"/>
    <col min="25" max="25" width="11.5" style="50" customWidth="1"/>
    <col min="26" max="26" width="19.625" style="50" customWidth="1"/>
    <col min="27" max="16384" width="9" style="50"/>
  </cols>
  <sheetData>
    <row r="1" spans="1:28" customFormat="1" ht="20.25" thickBot="1" x14ac:dyDescent="0.45">
      <c r="A1" s="52" t="s">
        <v>0</v>
      </c>
      <c r="B1" s="15" t="s">
        <v>9</v>
      </c>
      <c r="C1" s="15" t="s">
        <v>10</v>
      </c>
      <c r="D1" s="15" t="s">
        <v>11</v>
      </c>
      <c r="E1" s="57" t="s">
        <v>81</v>
      </c>
      <c r="F1" s="60" t="s">
        <v>12</v>
      </c>
      <c r="G1" s="60" t="s">
        <v>13</v>
      </c>
      <c r="H1" s="16" t="s">
        <v>14</v>
      </c>
      <c r="I1" s="16" t="s">
        <v>15</v>
      </c>
      <c r="J1" s="16" t="s">
        <v>16</v>
      </c>
      <c r="K1" s="16" t="s">
        <v>17</v>
      </c>
      <c r="L1" s="16" t="s">
        <v>18</v>
      </c>
      <c r="M1" s="16" t="s">
        <v>19</v>
      </c>
      <c r="N1" s="16" t="s">
        <v>20</v>
      </c>
      <c r="O1" s="16" t="s">
        <v>21</v>
      </c>
      <c r="P1" s="16" t="s">
        <v>22</v>
      </c>
      <c r="Q1" s="16" t="s">
        <v>23</v>
      </c>
      <c r="R1" s="16" t="s">
        <v>24</v>
      </c>
      <c r="S1" s="17" t="s">
        <v>25</v>
      </c>
      <c r="T1" s="16" t="s">
        <v>5</v>
      </c>
      <c r="U1" s="18" t="s">
        <v>1</v>
      </c>
      <c r="V1" s="51"/>
      <c r="W1" s="51"/>
      <c r="X1" s="51"/>
      <c r="Y1" s="51"/>
      <c r="Z1" s="51"/>
      <c r="AA1" s="51"/>
      <c r="AB1" s="51"/>
    </row>
    <row r="2" spans="1:28" ht="20.25" thickBot="1" x14ac:dyDescent="0.45">
      <c r="A2" s="53">
        <v>45924.645138888889</v>
      </c>
      <c r="B2" s="4" t="s">
        <v>85</v>
      </c>
      <c r="C2" s="4" t="s">
        <v>86</v>
      </c>
      <c r="D2" s="4" t="s">
        <v>87</v>
      </c>
      <c r="E2" s="58" t="s">
        <v>88</v>
      </c>
      <c r="F2" s="58" t="s">
        <v>89</v>
      </c>
      <c r="G2" s="58" t="s">
        <v>26</v>
      </c>
      <c r="H2" s="5">
        <v>5</v>
      </c>
      <c r="I2" s="5">
        <v>5</v>
      </c>
      <c r="J2" s="5">
        <v>5</v>
      </c>
      <c r="K2" s="5">
        <v>5</v>
      </c>
      <c r="L2" s="5">
        <v>5</v>
      </c>
      <c r="M2" s="4">
        <v>5</v>
      </c>
      <c r="N2" s="4">
        <v>5</v>
      </c>
      <c r="O2" s="4" t="s">
        <v>90</v>
      </c>
      <c r="P2" s="6" t="s">
        <v>91</v>
      </c>
      <c r="Q2" s="4" t="s">
        <v>29</v>
      </c>
      <c r="R2" s="4"/>
      <c r="S2" s="7" t="s">
        <v>92</v>
      </c>
      <c r="T2" s="8" t="s">
        <v>8</v>
      </c>
      <c r="U2" s="8"/>
      <c r="V2" s="4" t="s">
        <v>415</v>
      </c>
      <c r="W2" s="5">
        <v>5106281</v>
      </c>
      <c r="X2" s="64"/>
      <c r="Y2" s="8">
        <v>5106281</v>
      </c>
      <c r="Z2" s="8" t="s">
        <v>415</v>
      </c>
    </row>
    <row r="3" spans="1:28" ht="20.25" thickBot="1" x14ac:dyDescent="0.45">
      <c r="A3" s="54">
        <v>45924.663599537038</v>
      </c>
      <c r="B3" s="9" t="s">
        <v>179</v>
      </c>
      <c r="C3" s="9" t="s">
        <v>180</v>
      </c>
      <c r="D3" s="9" t="s">
        <v>181</v>
      </c>
      <c r="E3" s="59" t="s">
        <v>182</v>
      </c>
      <c r="F3" s="59" t="s">
        <v>97</v>
      </c>
      <c r="G3" s="59" t="s">
        <v>26</v>
      </c>
      <c r="H3" s="10">
        <v>4</v>
      </c>
      <c r="I3" s="10">
        <v>4</v>
      </c>
      <c r="J3" s="10">
        <v>4</v>
      </c>
      <c r="K3" s="10">
        <v>4</v>
      </c>
      <c r="L3" s="10">
        <v>4</v>
      </c>
      <c r="M3" s="9">
        <v>4</v>
      </c>
      <c r="N3" s="9">
        <v>4</v>
      </c>
      <c r="O3" s="9" t="s">
        <v>183</v>
      </c>
      <c r="P3" s="11" t="s">
        <v>184</v>
      </c>
      <c r="Q3" s="9" t="s">
        <v>27</v>
      </c>
      <c r="R3" s="9"/>
      <c r="S3" s="13"/>
      <c r="T3" s="8" t="s">
        <v>31</v>
      </c>
      <c r="U3" s="8"/>
      <c r="V3" s="9" t="s">
        <v>416</v>
      </c>
      <c r="W3" s="10">
        <v>5107065</v>
      </c>
      <c r="X3" s="65"/>
      <c r="Y3" s="8">
        <v>5107859</v>
      </c>
      <c r="Z3" s="8" t="s">
        <v>429</v>
      </c>
    </row>
    <row r="4" spans="1:28" ht="29.25" thickBot="1" x14ac:dyDescent="0.45">
      <c r="A4" s="53">
        <v>45924.664479166669</v>
      </c>
      <c r="B4" s="4" t="s">
        <v>185</v>
      </c>
      <c r="C4" s="4" t="s">
        <v>186</v>
      </c>
      <c r="D4" s="4" t="s">
        <v>187</v>
      </c>
      <c r="E4" s="58" t="s">
        <v>188</v>
      </c>
      <c r="F4" s="58" t="s">
        <v>189</v>
      </c>
      <c r="G4" s="58" t="s">
        <v>26</v>
      </c>
      <c r="H4" s="5">
        <v>4</v>
      </c>
      <c r="I4" s="5">
        <v>4</v>
      </c>
      <c r="J4" s="5">
        <v>4</v>
      </c>
      <c r="K4" s="5">
        <v>4</v>
      </c>
      <c r="L4" s="5">
        <v>4</v>
      </c>
      <c r="M4" s="4">
        <v>4</v>
      </c>
      <c r="N4" s="4">
        <v>4</v>
      </c>
      <c r="O4" s="4" t="s">
        <v>190</v>
      </c>
      <c r="P4" s="6" t="s">
        <v>191</v>
      </c>
      <c r="Q4" s="6" t="s">
        <v>27</v>
      </c>
      <c r="R4" s="4"/>
      <c r="S4" s="7"/>
      <c r="T4" s="8" t="s">
        <v>83</v>
      </c>
      <c r="U4" s="8"/>
      <c r="V4" s="4" t="s">
        <v>422</v>
      </c>
      <c r="W4" s="5">
        <v>5106778</v>
      </c>
      <c r="X4" s="64"/>
      <c r="Y4" s="8">
        <v>5107883</v>
      </c>
      <c r="Z4" s="8" t="s">
        <v>430</v>
      </c>
    </row>
    <row r="5" spans="1:28" ht="29.25" thickBot="1" x14ac:dyDescent="0.45">
      <c r="A5" s="54">
        <v>45924.66505787037</v>
      </c>
      <c r="B5" s="9" t="s">
        <v>207</v>
      </c>
      <c r="C5" s="9" t="s">
        <v>208</v>
      </c>
      <c r="D5" s="9" t="s">
        <v>209</v>
      </c>
      <c r="E5" s="59" t="s">
        <v>210</v>
      </c>
      <c r="F5" s="59" t="s">
        <v>112</v>
      </c>
      <c r="G5" s="59" t="s">
        <v>26</v>
      </c>
      <c r="H5" s="10">
        <v>5</v>
      </c>
      <c r="I5" s="10">
        <v>4</v>
      </c>
      <c r="J5" s="10">
        <v>5</v>
      </c>
      <c r="K5" s="10">
        <v>5</v>
      </c>
      <c r="L5" s="10">
        <v>5</v>
      </c>
      <c r="M5" s="9">
        <v>5</v>
      </c>
      <c r="N5" s="9">
        <v>5</v>
      </c>
      <c r="O5" s="9" t="s">
        <v>211</v>
      </c>
      <c r="P5" s="11" t="s">
        <v>106</v>
      </c>
      <c r="Q5" s="9" t="s">
        <v>30</v>
      </c>
      <c r="R5" s="9"/>
      <c r="S5" s="12"/>
      <c r="T5" s="8" t="s">
        <v>115</v>
      </c>
      <c r="U5" s="8"/>
      <c r="V5" s="9" t="s">
        <v>418</v>
      </c>
      <c r="W5" s="10">
        <v>5107180</v>
      </c>
      <c r="X5" s="65"/>
      <c r="Y5" s="8">
        <v>5106315</v>
      </c>
      <c r="Z5" s="8" t="s">
        <v>433</v>
      </c>
    </row>
    <row r="6" spans="1:28" ht="20.25" thickBot="1" x14ac:dyDescent="0.45">
      <c r="A6" s="76">
        <v>45924.665231481478</v>
      </c>
      <c r="B6" s="79" t="s">
        <v>219</v>
      </c>
      <c r="C6" s="79" t="s">
        <v>220</v>
      </c>
      <c r="D6" s="79" t="s">
        <v>221</v>
      </c>
      <c r="E6" s="82" t="s">
        <v>222</v>
      </c>
      <c r="F6" s="82" t="s">
        <v>97</v>
      </c>
      <c r="G6" s="82" t="s">
        <v>26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79">
        <v>5</v>
      </c>
      <c r="N6" s="79">
        <v>5</v>
      </c>
      <c r="O6" s="79" t="s">
        <v>223</v>
      </c>
      <c r="P6" s="88" t="s">
        <v>224</v>
      </c>
      <c r="Q6" s="79" t="s">
        <v>27</v>
      </c>
      <c r="R6" s="79"/>
      <c r="S6" s="13"/>
      <c r="T6" s="8" t="s">
        <v>8</v>
      </c>
      <c r="U6" s="8"/>
      <c r="V6" s="79" t="s">
        <v>416</v>
      </c>
      <c r="W6" s="85">
        <v>5107065</v>
      </c>
      <c r="X6" s="65"/>
      <c r="Y6" s="101"/>
      <c r="Z6" s="101"/>
    </row>
    <row r="7" spans="1:28" ht="20.25" thickBot="1" x14ac:dyDescent="0.45">
      <c r="A7" s="54">
        <v>45924.665937500002</v>
      </c>
      <c r="B7" s="9" t="s">
        <v>233</v>
      </c>
      <c r="C7" s="9" t="s">
        <v>234</v>
      </c>
      <c r="D7" s="9" t="s">
        <v>235</v>
      </c>
      <c r="E7" s="59" t="s">
        <v>236</v>
      </c>
      <c r="F7" s="59" t="s">
        <v>120</v>
      </c>
      <c r="G7" s="59" t="s">
        <v>26</v>
      </c>
      <c r="H7" s="10">
        <v>5</v>
      </c>
      <c r="I7" s="10">
        <v>5</v>
      </c>
      <c r="J7" s="10">
        <v>5</v>
      </c>
      <c r="K7" s="10">
        <v>5</v>
      </c>
      <c r="L7" s="10">
        <v>5</v>
      </c>
      <c r="M7" s="9">
        <v>5</v>
      </c>
      <c r="N7" s="9">
        <v>5</v>
      </c>
      <c r="O7" s="9" t="s">
        <v>237</v>
      </c>
      <c r="P7" s="11" t="s">
        <v>238</v>
      </c>
      <c r="Q7" s="11" t="s">
        <v>27</v>
      </c>
      <c r="R7" s="9"/>
      <c r="S7" s="12"/>
      <c r="T7" s="8" t="s">
        <v>31</v>
      </c>
      <c r="U7" s="8" t="s">
        <v>239</v>
      </c>
      <c r="V7" s="91" t="s">
        <v>419</v>
      </c>
      <c r="W7" s="91">
        <v>5103353</v>
      </c>
      <c r="X7" s="98"/>
      <c r="Y7" s="101"/>
      <c r="Z7" s="101"/>
    </row>
    <row r="8" spans="1:28" ht="29.25" thickBot="1" x14ac:dyDescent="0.45">
      <c r="A8" s="76">
        <v>45924.66615740741</v>
      </c>
      <c r="B8" s="79" t="s">
        <v>247</v>
      </c>
      <c r="C8" s="79" t="s">
        <v>248</v>
      </c>
      <c r="D8" s="79" t="s">
        <v>249</v>
      </c>
      <c r="E8" s="82" t="s">
        <v>250</v>
      </c>
      <c r="F8" s="82" t="s">
        <v>204</v>
      </c>
      <c r="G8" s="82" t="s">
        <v>26</v>
      </c>
      <c r="H8" s="85">
        <v>5</v>
      </c>
      <c r="I8" s="85">
        <v>5</v>
      </c>
      <c r="J8" s="85">
        <v>5</v>
      </c>
      <c r="K8" s="85">
        <v>5</v>
      </c>
      <c r="L8" s="85">
        <v>5</v>
      </c>
      <c r="M8" s="79">
        <v>4</v>
      </c>
      <c r="N8" s="79">
        <v>5</v>
      </c>
      <c r="O8" s="79" t="s">
        <v>251</v>
      </c>
      <c r="P8" s="88" t="s">
        <v>252</v>
      </c>
      <c r="Q8" s="88" t="s">
        <v>27</v>
      </c>
      <c r="R8" s="79"/>
      <c r="S8" s="13"/>
      <c r="T8" s="8" t="s">
        <v>83</v>
      </c>
      <c r="U8" s="8"/>
      <c r="V8" s="95" t="s">
        <v>424</v>
      </c>
      <c r="W8" s="95">
        <v>5106653</v>
      </c>
      <c r="X8" s="98"/>
      <c r="Y8" s="101"/>
      <c r="Z8" s="101"/>
    </row>
    <row r="9" spans="1:28" ht="26.25" thickBot="1" x14ac:dyDescent="0.45">
      <c r="A9" s="75">
        <v>45924.666458333333</v>
      </c>
      <c r="B9" s="78" t="s">
        <v>253</v>
      </c>
      <c r="C9" s="78" t="s">
        <v>254</v>
      </c>
      <c r="D9" s="78" t="s">
        <v>255</v>
      </c>
      <c r="E9" s="81" t="s">
        <v>256</v>
      </c>
      <c r="F9" s="81" t="s">
        <v>104</v>
      </c>
      <c r="G9" s="81" t="s">
        <v>26</v>
      </c>
      <c r="H9" s="84">
        <v>5</v>
      </c>
      <c r="I9" s="84">
        <v>5</v>
      </c>
      <c r="J9" s="84">
        <v>5</v>
      </c>
      <c r="K9" s="84">
        <v>5</v>
      </c>
      <c r="L9" s="84">
        <v>4</v>
      </c>
      <c r="M9" s="78">
        <v>5</v>
      </c>
      <c r="N9" s="78">
        <v>4</v>
      </c>
      <c r="O9" s="78" t="s">
        <v>257</v>
      </c>
      <c r="P9" s="87" t="s">
        <v>258</v>
      </c>
      <c r="Q9" s="87" t="s">
        <v>29</v>
      </c>
      <c r="R9" s="78"/>
      <c r="S9" s="7"/>
      <c r="T9" s="8" t="s">
        <v>31</v>
      </c>
      <c r="U9" s="8"/>
      <c r="V9" s="91" t="s">
        <v>417</v>
      </c>
      <c r="W9" s="91">
        <v>5102702</v>
      </c>
      <c r="X9" s="98"/>
      <c r="Y9" s="101"/>
      <c r="Z9" s="101"/>
    </row>
    <row r="10" spans="1:28" ht="20.25" thickBot="1" x14ac:dyDescent="0.45">
      <c r="A10" s="76">
        <v>45924.667118055557</v>
      </c>
      <c r="B10" s="79" t="s">
        <v>259</v>
      </c>
      <c r="C10" s="79" t="s">
        <v>260</v>
      </c>
      <c r="D10" s="79" t="s">
        <v>261</v>
      </c>
      <c r="E10" s="82" t="s">
        <v>262</v>
      </c>
      <c r="F10" s="82" t="s">
        <v>120</v>
      </c>
      <c r="G10" s="82" t="s">
        <v>26</v>
      </c>
      <c r="H10" s="85">
        <v>4</v>
      </c>
      <c r="I10" s="85">
        <v>4</v>
      </c>
      <c r="J10" s="85">
        <v>5</v>
      </c>
      <c r="K10" s="85">
        <v>5</v>
      </c>
      <c r="L10" s="85">
        <v>5</v>
      </c>
      <c r="M10" s="79">
        <v>5</v>
      </c>
      <c r="N10" s="79">
        <v>5</v>
      </c>
      <c r="O10" s="79" t="s">
        <v>263</v>
      </c>
      <c r="P10" s="88" t="s">
        <v>264</v>
      </c>
      <c r="Q10" s="79" t="s">
        <v>29</v>
      </c>
      <c r="R10" s="79"/>
      <c r="S10" s="13" t="s">
        <v>265</v>
      </c>
      <c r="T10" s="8" t="s">
        <v>8</v>
      </c>
      <c r="U10" s="8" t="s">
        <v>266</v>
      </c>
      <c r="V10" s="95" t="s">
        <v>419</v>
      </c>
      <c r="W10" s="95">
        <v>5103353</v>
      </c>
      <c r="X10" s="98"/>
      <c r="Y10" s="101"/>
      <c r="Z10" s="101"/>
    </row>
    <row r="11" spans="1:28" ht="26.25" thickBot="1" x14ac:dyDescent="0.45">
      <c r="A11" s="75">
        <v>45924.669108796297</v>
      </c>
      <c r="B11" s="78" t="s">
        <v>267</v>
      </c>
      <c r="C11" s="78" t="s">
        <v>268</v>
      </c>
      <c r="D11" s="78" t="s">
        <v>269</v>
      </c>
      <c r="E11" s="81" t="s">
        <v>270</v>
      </c>
      <c r="F11" s="58" t="s">
        <v>244</v>
      </c>
      <c r="G11" s="81" t="s">
        <v>26</v>
      </c>
      <c r="H11" s="84">
        <v>5</v>
      </c>
      <c r="I11" s="84">
        <v>4</v>
      </c>
      <c r="J11" s="84">
        <v>5</v>
      </c>
      <c r="K11" s="84">
        <v>5</v>
      </c>
      <c r="L11" s="84">
        <v>5</v>
      </c>
      <c r="M11" s="78">
        <v>4</v>
      </c>
      <c r="N11" s="78">
        <v>5</v>
      </c>
      <c r="O11" s="78" t="s">
        <v>271</v>
      </c>
      <c r="P11" s="87" t="s">
        <v>272</v>
      </c>
      <c r="Q11" s="87" t="s">
        <v>29</v>
      </c>
      <c r="R11" s="78"/>
      <c r="S11" s="7"/>
      <c r="T11" s="8" t="s">
        <v>31</v>
      </c>
      <c r="U11" s="8"/>
      <c r="V11" s="91" t="s">
        <v>426</v>
      </c>
      <c r="W11" s="91">
        <v>5213707</v>
      </c>
      <c r="X11" s="98"/>
      <c r="Y11" s="101"/>
      <c r="Z11" s="101"/>
    </row>
    <row r="12" spans="1:28" ht="26.25" thickBot="1" x14ac:dyDescent="0.45">
      <c r="A12" s="53">
        <v>45925.705868055556</v>
      </c>
      <c r="B12" s="4" t="s">
        <v>281</v>
      </c>
      <c r="C12" s="4" t="s">
        <v>282</v>
      </c>
      <c r="D12" s="4" t="s">
        <v>283</v>
      </c>
      <c r="E12" s="58" t="s">
        <v>284</v>
      </c>
      <c r="F12" s="58" t="s">
        <v>285</v>
      </c>
      <c r="G12" s="58" t="s">
        <v>26</v>
      </c>
      <c r="H12" s="5">
        <v>5</v>
      </c>
      <c r="I12" s="5">
        <v>5</v>
      </c>
      <c r="J12" s="5">
        <v>5</v>
      </c>
      <c r="K12" s="5">
        <v>5</v>
      </c>
      <c r="L12" s="5">
        <v>5</v>
      </c>
      <c r="M12" s="4">
        <v>5</v>
      </c>
      <c r="N12" s="4">
        <v>5</v>
      </c>
      <c r="O12" s="4" t="s">
        <v>286</v>
      </c>
      <c r="P12" s="6" t="s">
        <v>287</v>
      </c>
      <c r="Q12" s="6" t="s">
        <v>29</v>
      </c>
      <c r="R12" s="4"/>
      <c r="S12" s="7"/>
      <c r="T12" s="8" t="s">
        <v>7</v>
      </c>
      <c r="U12" s="8"/>
      <c r="V12" s="95" t="s">
        <v>428</v>
      </c>
      <c r="W12" s="95">
        <v>5108600</v>
      </c>
      <c r="X12" s="98"/>
      <c r="Y12" s="101"/>
      <c r="Z12" s="101"/>
    </row>
    <row r="13" spans="1:28" ht="20.25" thickBot="1" x14ac:dyDescent="0.45">
      <c r="A13" s="54">
        <v>45925.706342592595</v>
      </c>
      <c r="B13" s="9" t="s">
        <v>288</v>
      </c>
      <c r="C13" s="9" t="s">
        <v>289</v>
      </c>
      <c r="D13" s="9" t="s">
        <v>290</v>
      </c>
      <c r="E13" s="59" t="s">
        <v>291</v>
      </c>
      <c r="F13" s="59" t="s">
        <v>292</v>
      </c>
      <c r="G13" s="59" t="s">
        <v>26</v>
      </c>
      <c r="H13" s="10">
        <v>5</v>
      </c>
      <c r="I13" s="10">
        <v>4</v>
      </c>
      <c r="J13" s="10">
        <v>5</v>
      </c>
      <c r="K13" s="10">
        <v>4</v>
      </c>
      <c r="L13" s="10">
        <v>5</v>
      </c>
      <c r="M13" s="9">
        <v>4</v>
      </c>
      <c r="N13" s="9">
        <v>5</v>
      </c>
      <c r="O13" s="9" t="s">
        <v>293</v>
      </c>
      <c r="P13" s="11" t="s">
        <v>294</v>
      </c>
      <c r="Q13" s="9" t="s">
        <v>30</v>
      </c>
      <c r="R13" s="9"/>
      <c r="S13" s="13" t="s">
        <v>272</v>
      </c>
      <c r="T13" s="8" t="s">
        <v>7</v>
      </c>
      <c r="U13" s="8"/>
      <c r="V13" s="91" t="s">
        <v>429</v>
      </c>
      <c r="W13" s="91">
        <v>5107859</v>
      </c>
      <c r="X13" s="98"/>
      <c r="Y13" s="101"/>
      <c r="Z13" s="101"/>
    </row>
    <row r="14" spans="1:28" ht="20.25" thickBot="1" x14ac:dyDescent="0.45">
      <c r="A14" s="53">
        <v>45925.706793981481</v>
      </c>
      <c r="B14" s="4" t="s">
        <v>295</v>
      </c>
      <c r="C14" s="4" t="s">
        <v>296</v>
      </c>
      <c r="D14" s="4" t="s">
        <v>297</v>
      </c>
      <c r="E14" s="58" t="s">
        <v>298</v>
      </c>
      <c r="F14" s="58" t="s">
        <v>299</v>
      </c>
      <c r="G14" s="58" t="s">
        <v>26</v>
      </c>
      <c r="H14" s="5">
        <v>5</v>
      </c>
      <c r="I14" s="5">
        <v>5</v>
      </c>
      <c r="J14" s="5">
        <v>5</v>
      </c>
      <c r="K14" s="5">
        <v>5</v>
      </c>
      <c r="L14" s="5">
        <v>5</v>
      </c>
      <c r="M14" s="4">
        <v>5</v>
      </c>
      <c r="N14" s="4">
        <v>5</v>
      </c>
      <c r="O14" s="4" t="s">
        <v>300</v>
      </c>
      <c r="P14" s="6" t="s">
        <v>301</v>
      </c>
      <c r="Q14" s="6" t="s">
        <v>27</v>
      </c>
      <c r="R14" s="4"/>
      <c r="S14" s="7" t="s">
        <v>302</v>
      </c>
      <c r="T14" s="8" t="s">
        <v>7</v>
      </c>
      <c r="U14" s="8"/>
      <c r="V14" s="95" t="s">
        <v>430</v>
      </c>
      <c r="W14" s="95">
        <v>5107883</v>
      </c>
      <c r="X14" s="98"/>
      <c r="Y14" s="101"/>
      <c r="Z14" s="101"/>
    </row>
    <row r="15" spans="1:28" ht="29.25" thickBot="1" x14ac:dyDescent="0.45">
      <c r="A15" s="75">
        <v>45925.706909722219</v>
      </c>
      <c r="B15" s="78" t="s">
        <v>309</v>
      </c>
      <c r="C15" s="78" t="s">
        <v>310</v>
      </c>
      <c r="D15" s="78" t="s">
        <v>311</v>
      </c>
      <c r="E15" s="81" t="s">
        <v>312</v>
      </c>
      <c r="F15" s="81" t="s">
        <v>285</v>
      </c>
      <c r="G15" s="81" t="s">
        <v>26</v>
      </c>
      <c r="H15" s="84">
        <v>5</v>
      </c>
      <c r="I15" s="84">
        <v>5</v>
      </c>
      <c r="J15" s="84">
        <v>4</v>
      </c>
      <c r="K15" s="84">
        <v>5</v>
      </c>
      <c r="L15" s="84">
        <v>3</v>
      </c>
      <c r="M15" s="78">
        <v>4</v>
      </c>
      <c r="N15" s="78">
        <v>5</v>
      </c>
      <c r="O15" s="78" t="s">
        <v>313</v>
      </c>
      <c r="P15" s="87" t="s">
        <v>314</v>
      </c>
      <c r="Q15" s="78" t="s">
        <v>29</v>
      </c>
      <c r="R15" s="78"/>
      <c r="S15" s="14"/>
      <c r="T15" s="8" t="s">
        <v>83</v>
      </c>
      <c r="U15" s="8"/>
      <c r="V15" s="91" t="s">
        <v>428</v>
      </c>
      <c r="W15" s="91">
        <v>5108600</v>
      </c>
      <c r="X15" s="98"/>
      <c r="Y15" s="101"/>
      <c r="Z15" s="101"/>
    </row>
    <row r="16" spans="1:28" ht="20.25" thickBot="1" x14ac:dyDescent="0.45">
      <c r="A16" s="53">
        <v>45925.707650462966</v>
      </c>
      <c r="B16" s="4" t="s">
        <v>354</v>
      </c>
      <c r="C16" s="4" t="s">
        <v>355</v>
      </c>
      <c r="D16" s="4" t="s">
        <v>356</v>
      </c>
      <c r="E16" s="58" t="s">
        <v>357</v>
      </c>
      <c r="F16" s="58" t="s">
        <v>319</v>
      </c>
      <c r="G16" s="58" t="s">
        <v>26</v>
      </c>
      <c r="H16" s="5">
        <v>5</v>
      </c>
      <c r="I16" s="5">
        <v>4</v>
      </c>
      <c r="J16" s="5">
        <v>4</v>
      </c>
      <c r="K16" s="5">
        <v>4</v>
      </c>
      <c r="L16" s="5">
        <v>5</v>
      </c>
      <c r="M16" s="5">
        <v>3</v>
      </c>
      <c r="N16" s="5">
        <v>4</v>
      </c>
      <c r="O16" s="4" t="s">
        <v>358</v>
      </c>
      <c r="P16" s="4" t="s">
        <v>359</v>
      </c>
      <c r="Q16" s="4" t="s">
        <v>29</v>
      </c>
      <c r="R16" s="6"/>
      <c r="S16" s="7" t="s">
        <v>360</v>
      </c>
      <c r="T16" s="90" t="s">
        <v>31</v>
      </c>
      <c r="U16" s="90"/>
      <c r="V16" s="95" t="s">
        <v>432</v>
      </c>
      <c r="W16" s="95">
        <v>5102694</v>
      </c>
      <c r="X16" s="98"/>
      <c r="Y16" s="101"/>
      <c r="Z16" s="101"/>
      <c r="AA16" s="102"/>
      <c r="AB16" s="102"/>
    </row>
    <row r="17" spans="1:26" ht="26.25" thickBot="1" x14ac:dyDescent="0.45">
      <c r="A17" s="54">
        <v>45924.645520833335</v>
      </c>
      <c r="B17" s="9" t="s">
        <v>93</v>
      </c>
      <c r="C17" s="9" t="s">
        <v>94</v>
      </c>
      <c r="D17" s="9" t="s">
        <v>95</v>
      </c>
      <c r="E17" s="59" t="s">
        <v>96</v>
      </c>
      <c r="F17" s="59" t="s">
        <v>97</v>
      </c>
      <c r="G17" s="59" t="s">
        <v>28</v>
      </c>
      <c r="H17" s="10">
        <v>5</v>
      </c>
      <c r="I17" s="10">
        <v>5</v>
      </c>
      <c r="J17" s="10">
        <v>5</v>
      </c>
      <c r="K17" s="10">
        <v>5</v>
      </c>
      <c r="L17" s="10">
        <v>5</v>
      </c>
      <c r="M17" s="9">
        <v>5</v>
      </c>
      <c r="N17" s="9">
        <v>5</v>
      </c>
      <c r="O17" s="9" t="s">
        <v>98</v>
      </c>
      <c r="P17" s="11" t="s">
        <v>99</v>
      </c>
      <c r="Q17" s="11" t="s">
        <v>29</v>
      </c>
      <c r="R17" s="9"/>
      <c r="S17" s="13"/>
      <c r="T17" s="8" t="s">
        <v>31</v>
      </c>
      <c r="U17" s="8"/>
      <c r="V17" s="9" t="s">
        <v>416</v>
      </c>
      <c r="W17" s="10">
        <v>5107065</v>
      </c>
      <c r="X17" s="65"/>
      <c r="Y17" s="8">
        <v>5107065</v>
      </c>
      <c r="Z17" s="8" t="s">
        <v>416</v>
      </c>
    </row>
    <row r="18" spans="1:26" ht="26.25" thickBot="1" x14ac:dyDescent="0.45">
      <c r="A18" s="53">
        <v>45924.645740740743</v>
      </c>
      <c r="B18" s="4" t="s">
        <v>100</v>
      </c>
      <c r="C18" s="4" t="s">
        <v>101</v>
      </c>
      <c r="D18" s="4" t="s">
        <v>102</v>
      </c>
      <c r="E18" s="58" t="s">
        <v>103</v>
      </c>
      <c r="F18" s="58" t="s">
        <v>104</v>
      </c>
      <c r="G18" s="58" t="s">
        <v>28</v>
      </c>
      <c r="H18" s="5">
        <v>5</v>
      </c>
      <c r="I18" s="5">
        <v>4</v>
      </c>
      <c r="J18" s="5">
        <v>5</v>
      </c>
      <c r="K18" s="5">
        <v>5</v>
      </c>
      <c r="L18" s="5">
        <v>5</v>
      </c>
      <c r="M18" s="4">
        <v>4</v>
      </c>
      <c r="N18" s="4">
        <v>5</v>
      </c>
      <c r="O18" s="4" t="s">
        <v>105</v>
      </c>
      <c r="P18" s="6" t="s">
        <v>106</v>
      </c>
      <c r="Q18" s="6" t="s">
        <v>29</v>
      </c>
      <c r="R18" s="4"/>
      <c r="S18" s="7"/>
      <c r="T18" s="8" t="s">
        <v>6</v>
      </c>
      <c r="U18" s="8" t="s">
        <v>107</v>
      </c>
      <c r="V18" s="4" t="s">
        <v>417</v>
      </c>
      <c r="W18" s="5">
        <v>5102702</v>
      </c>
      <c r="X18" s="64"/>
      <c r="Y18" s="8">
        <v>5102702</v>
      </c>
      <c r="Z18" s="8" t="s">
        <v>417</v>
      </c>
    </row>
    <row r="19" spans="1:26" ht="29.25" thickBot="1" x14ac:dyDescent="0.45">
      <c r="A19" s="54">
        <v>45924.645995370367</v>
      </c>
      <c r="B19" s="9" t="s">
        <v>108</v>
      </c>
      <c r="C19" s="9" t="s">
        <v>109</v>
      </c>
      <c r="D19" s="9" t="s">
        <v>110</v>
      </c>
      <c r="E19" s="59" t="s">
        <v>111</v>
      </c>
      <c r="F19" s="59" t="s">
        <v>112</v>
      </c>
      <c r="G19" s="59" t="s">
        <v>28</v>
      </c>
      <c r="H19" s="10">
        <v>5</v>
      </c>
      <c r="I19" s="10">
        <v>5</v>
      </c>
      <c r="J19" s="10">
        <v>5</v>
      </c>
      <c r="K19" s="10">
        <v>5</v>
      </c>
      <c r="L19" s="10">
        <v>5</v>
      </c>
      <c r="M19" s="9">
        <v>5</v>
      </c>
      <c r="N19" s="9">
        <v>5</v>
      </c>
      <c r="O19" s="9" t="s">
        <v>113</v>
      </c>
      <c r="P19" s="11" t="s">
        <v>114</v>
      </c>
      <c r="Q19" s="11" t="s">
        <v>29</v>
      </c>
      <c r="R19" s="9"/>
      <c r="S19" s="13"/>
      <c r="T19" s="8" t="s">
        <v>115</v>
      </c>
      <c r="U19" s="8"/>
      <c r="V19" s="9" t="s">
        <v>418</v>
      </c>
      <c r="W19" s="10">
        <v>5107180</v>
      </c>
      <c r="X19" s="65"/>
      <c r="Y19" s="8">
        <v>5107180</v>
      </c>
      <c r="Z19" s="8" t="s">
        <v>418</v>
      </c>
    </row>
    <row r="20" spans="1:26" ht="29.25" thickBot="1" x14ac:dyDescent="0.45">
      <c r="A20" s="53">
        <v>45924.646249999998</v>
      </c>
      <c r="B20" s="4" t="s">
        <v>116</v>
      </c>
      <c r="C20" s="4" t="s">
        <v>117</v>
      </c>
      <c r="D20" s="4" t="s">
        <v>118</v>
      </c>
      <c r="E20" s="58" t="s">
        <v>119</v>
      </c>
      <c r="F20" s="58" t="s">
        <v>120</v>
      </c>
      <c r="G20" s="58" t="s">
        <v>28</v>
      </c>
      <c r="H20" s="5">
        <v>5</v>
      </c>
      <c r="I20" s="5">
        <v>5</v>
      </c>
      <c r="J20" s="5">
        <v>5</v>
      </c>
      <c r="K20" s="5">
        <v>5</v>
      </c>
      <c r="L20" s="5">
        <v>5</v>
      </c>
      <c r="M20" s="4">
        <v>5</v>
      </c>
      <c r="N20" s="4">
        <v>5</v>
      </c>
      <c r="O20" s="4" t="s">
        <v>121</v>
      </c>
      <c r="P20" s="6" t="s">
        <v>122</v>
      </c>
      <c r="Q20" s="6" t="s">
        <v>29</v>
      </c>
      <c r="R20" s="4"/>
      <c r="S20" s="7" t="s">
        <v>123</v>
      </c>
      <c r="T20" s="8" t="s">
        <v>82</v>
      </c>
      <c r="U20" s="8"/>
      <c r="V20" s="4" t="s">
        <v>419</v>
      </c>
      <c r="W20" s="5">
        <v>5103353</v>
      </c>
      <c r="X20" s="64"/>
      <c r="Y20" s="8">
        <v>5103353</v>
      </c>
      <c r="Z20" s="8" t="s">
        <v>419</v>
      </c>
    </row>
    <row r="21" spans="1:26" ht="26.25" thickBot="1" x14ac:dyDescent="0.45">
      <c r="A21" s="54">
        <v>45924.646319444444</v>
      </c>
      <c r="B21" s="9" t="s">
        <v>124</v>
      </c>
      <c r="C21" s="9" t="s">
        <v>125</v>
      </c>
      <c r="D21" s="9" t="s">
        <v>126</v>
      </c>
      <c r="E21" s="59" t="s">
        <v>127</v>
      </c>
      <c r="F21" s="59" t="s">
        <v>128</v>
      </c>
      <c r="G21" s="59" t="s">
        <v>28</v>
      </c>
      <c r="H21" s="10">
        <v>5</v>
      </c>
      <c r="I21" s="10">
        <v>5</v>
      </c>
      <c r="J21" s="10">
        <v>5</v>
      </c>
      <c r="K21" s="10">
        <v>5</v>
      </c>
      <c r="L21" s="10">
        <v>5</v>
      </c>
      <c r="M21" s="9">
        <v>5</v>
      </c>
      <c r="N21" s="9">
        <v>5</v>
      </c>
      <c r="O21" s="9" t="s">
        <v>129</v>
      </c>
      <c r="P21" s="11" t="s">
        <v>130</v>
      </c>
      <c r="Q21" s="11" t="s">
        <v>29</v>
      </c>
      <c r="R21" s="9"/>
      <c r="S21" s="13"/>
      <c r="T21" s="8" t="s">
        <v>31</v>
      </c>
      <c r="U21" s="8"/>
      <c r="V21" s="9" t="s">
        <v>420</v>
      </c>
      <c r="W21" s="10">
        <v>5203104</v>
      </c>
      <c r="X21" s="65"/>
      <c r="Y21" s="102">
        <v>5203104</v>
      </c>
      <c r="Z21" s="102" t="s">
        <v>420</v>
      </c>
    </row>
    <row r="22" spans="1:26" ht="29.25" thickBot="1" x14ac:dyDescent="0.45">
      <c r="A22" s="53">
        <v>45924.646412037036</v>
      </c>
      <c r="B22" s="4" t="s">
        <v>131</v>
      </c>
      <c r="C22" s="4" t="s">
        <v>132</v>
      </c>
      <c r="D22" s="4" t="s">
        <v>133</v>
      </c>
      <c r="E22" s="58" t="s">
        <v>134</v>
      </c>
      <c r="F22" s="58" t="s">
        <v>104</v>
      </c>
      <c r="G22" s="58" t="s">
        <v>28</v>
      </c>
      <c r="H22" s="5">
        <v>4</v>
      </c>
      <c r="I22" s="5">
        <v>3</v>
      </c>
      <c r="J22" s="5">
        <v>4</v>
      </c>
      <c r="K22" s="5">
        <v>4</v>
      </c>
      <c r="L22" s="5">
        <v>2</v>
      </c>
      <c r="M22" s="4">
        <v>4</v>
      </c>
      <c r="N22" s="4">
        <v>4</v>
      </c>
      <c r="O22" s="4" t="s">
        <v>135</v>
      </c>
      <c r="P22" s="6" t="s">
        <v>136</v>
      </c>
      <c r="Q22" s="4" t="s">
        <v>29</v>
      </c>
      <c r="R22" s="4"/>
      <c r="S22" s="7" t="s">
        <v>137</v>
      </c>
      <c r="T22" s="8" t="s">
        <v>138</v>
      </c>
      <c r="U22" s="8"/>
      <c r="V22" s="4" t="s">
        <v>417</v>
      </c>
      <c r="W22" s="5">
        <v>5102702</v>
      </c>
      <c r="X22" s="100"/>
      <c r="Y22" s="102">
        <v>5106778</v>
      </c>
      <c r="Z22" s="102" t="s">
        <v>422</v>
      </c>
    </row>
    <row r="23" spans="1:26" ht="26.25" thickBot="1" x14ac:dyDescent="0.45">
      <c r="A23" s="54">
        <v>45924.646504629629</v>
      </c>
      <c r="B23" s="9" t="s">
        <v>139</v>
      </c>
      <c r="C23" s="9" t="s">
        <v>140</v>
      </c>
      <c r="D23" s="9" t="s">
        <v>141</v>
      </c>
      <c r="E23" s="59" t="s">
        <v>142</v>
      </c>
      <c r="F23" s="59" t="s">
        <v>89</v>
      </c>
      <c r="G23" s="59" t="s">
        <v>28</v>
      </c>
      <c r="H23" s="10">
        <v>4</v>
      </c>
      <c r="I23" s="10">
        <v>4</v>
      </c>
      <c r="J23" s="10">
        <v>4</v>
      </c>
      <c r="K23" s="10">
        <v>4</v>
      </c>
      <c r="L23" s="10">
        <v>4</v>
      </c>
      <c r="M23" s="9">
        <v>4</v>
      </c>
      <c r="N23" s="9">
        <v>4</v>
      </c>
      <c r="O23" s="9" t="s">
        <v>143</v>
      </c>
      <c r="P23" s="11" t="s">
        <v>144</v>
      </c>
      <c r="Q23" s="11" t="s">
        <v>29</v>
      </c>
      <c r="R23" s="9"/>
      <c r="S23" s="13"/>
      <c r="T23" s="8" t="s">
        <v>8</v>
      </c>
      <c r="U23" s="8" t="s">
        <v>145</v>
      </c>
      <c r="V23" s="94" t="s">
        <v>415</v>
      </c>
      <c r="W23" s="96">
        <v>5106281</v>
      </c>
      <c r="X23" s="99"/>
      <c r="Y23" s="102">
        <v>5201702</v>
      </c>
      <c r="Z23" s="102" t="s">
        <v>423</v>
      </c>
    </row>
    <row r="24" spans="1:26" ht="26.25" thickBot="1" x14ac:dyDescent="0.45">
      <c r="A24" s="53">
        <v>45924.646944444445</v>
      </c>
      <c r="B24" s="4" t="s">
        <v>146</v>
      </c>
      <c r="C24" s="4" t="s">
        <v>147</v>
      </c>
      <c r="D24" s="4" t="s">
        <v>148</v>
      </c>
      <c r="E24" s="58" t="s">
        <v>149</v>
      </c>
      <c r="F24" s="58" t="s">
        <v>128</v>
      </c>
      <c r="G24" s="58" t="s">
        <v>28</v>
      </c>
      <c r="H24" s="5">
        <v>5</v>
      </c>
      <c r="I24" s="5">
        <v>5</v>
      </c>
      <c r="J24" s="5">
        <v>5</v>
      </c>
      <c r="K24" s="5">
        <v>5</v>
      </c>
      <c r="L24" s="5">
        <v>5</v>
      </c>
      <c r="M24" s="4">
        <v>5</v>
      </c>
      <c r="N24" s="4">
        <v>5</v>
      </c>
      <c r="O24" s="4" t="s">
        <v>150</v>
      </c>
      <c r="P24" s="6" t="s">
        <v>151</v>
      </c>
      <c r="Q24" s="6" t="s">
        <v>29</v>
      </c>
      <c r="R24" s="4"/>
      <c r="S24" s="14"/>
      <c r="T24" s="8" t="s">
        <v>31</v>
      </c>
      <c r="U24" s="8"/>
      <c r="V24" s="90" t="s">
        <v>420</v>
      </c>
      <c r="W24" s="97">
        <v>5203104</v>
      </c>
      <c r="X24" s="100"/>
      <c r="Y24" s="102">
        <v>5106653</v>
      </c>
      <c r="Z24" s="102" t="s">
        <v>424</v>
      </c>
    </row>
    <row r="25" spans="1:26" ht="26.25" thickBot="1" x14ac:dyDescent="0.45">
      <c r="A25" s="54">
        <v>45924.64744212963</v>
      </c>
      <c r="B25" s="9" t="s">
        <v>152</v>
      </c>
      <c r="C25" s="9" t="s">
        <v>153</v>
      </c>
      <c r="D25" s="9" t="s">
        <v>154</v>
      </c>
      <c r="E25" s="59" t="s">
        <v>155</v>
      </c>
      <c r="F25" s="81" t="s">
        <v>216</v>
      </c>
      <c r="G25" s="59" t="s">
        <v>28</v>
      </c>
      <c r="H25" s="10">
        <v>5</v>
      </c>
      <c r="I25" s="10">
        <v>5</v>
      </c>
      <c r="J25" s="10">
        <v>4</v>
      </c>
      <c r="K25" s="10">
        <v>4</v>
      </c>
      <c r="L25" s="10">
        <v>5</v>
      </c>
      <c r="M25" s="9">
        <v>4</v>
      </c>
      <c r="N25" s="9">
        <v>5</v>
      </c>
      <c r="O25" s="9" t="s">
        <v>156</v>
      </c>
      <c r="P25" s="11" t="s">
        <v>157</v>
      </c>
      <c r="Q25" s="11" t="s">
        <v>29</v>
      </c>
      <c r="R25" s="9"/>
      <c r="S25" s="12"/>
      <c r="T25" s="8" t="s">
        <v>31</v>
      </c>
      <c r="U25" s="8" t="s">
        <v>158</v>
      </c>
      <c r="V25" s="94" t="s">
        <v>421</v>
      </c>
      <c r="W25" s="96">
        <v>5100359</v>
      </c>
      <c r="X25" s="99"/>
      <c r="Y25" s="102">
        <v>5100201</v>
      </c>
      <c r="Z25" s="102" t="s">
        <v>425</v>
      </c>
    </row>
    <row r="26" spans="1:26" ht="20.25" thickBot="1" x14ac:dyDescent="0.45">
      <c r="A26" s="53">
        <v>45924.648032407407</v>
      </c>
      <c r="B26" s="4" t="s">
        <v>159</v>
      </c>
      <c r="C26" s="4" t="s">
        <v>160</v>
      </c>
      <c r="D26" s="4" t="s">
        <v>161</v>
      </c>
      <c r="E26" s="58" t="s">
        <v>162</v>
      </c>
      <c r="F26" s="58" t="s">
        <v>97</v>
      </c>
      <c r="G26" s="58" t="s">
        <v>28</v>
      </c>
      <c r="H26" s="5">
        <v>5</v>
      </c>
      <c r="I26" s="5">
        <v>5</v>
      </c>
      <c r="J26" s="5">
        <v>5</v>
      </c>
      <c r="K26" s="5">
        <v>5</v>
      </c>
      <c r="L26" s="5">
        <v>5</v>
      </c>
      <c r="M26" s="4">
        <v>5</v>
      </c>
      <c r="N26" s="4">
        <v>5</v>
      </c>
      <c r="O26" s="4" t="s">
        <v>163</v>
      </c>
      <c r="P26" s="6" t="s">
        <v>164</v>
      </c>
      <c r="Q26" s="4" t="s">
        <v>30</v>
      </c>
      <c r="R26" s="4"/>
      <c r="S26" s="7" t="s">
        <v>165</v>
      </c>
      <c r="T26" s="8" t="s">
        <v>31</v>
      </c>
      <c r="U26" s="8" t="s">
        <v>166</v>
      </c>
      <c r="V26" s="90" t="s">
        <v>416</v>
      </c>
      <c r="W26" s="97">
        <v>5107065</v>
      </c>
      <c r="X26" s="100"/>
      <c r="Y26" s="102">
        <v>5213707</v>
      </c>
      <c r="Z26" s="102" t="s">
        <v>426</v>
      </c>
    </row>
    <row r="27" spans="1:26" ht="29.25" thickBot="1" x14ac:dyDescent="0.45">
      <c r="A27" s="54">
        <v>45924.648773148147</v>
      </c>
      <c r="B27" s="9" t="s">
        <v>167</v>
      </c>
      <c r="C27" s="9" t="s">
        <v>168</v>
      </c>
      <c r="D27" s="9" t="s">
        <v>169</v>
      </c>
      <c r="E27" s="59" t="s">
        <v>170</v>
      </c>
      <c r="F27" s="59" t="s">
        <v>120</v>
      </c>
      <c r="G27" s="59" t="s">
        <v>28</v>
      </c>
      <c r="H27" s="10">
        <v>5</v>
      </c>
      <c r="I27" s="10">
        <v>5</v>
      </c>
      <c r="J27" s="10">
        <v>5</v>
      </c>
      <c r="K27" s="10">
        <v>5</v>
      </c>
      <c r="L27" s="10">
        <v>5</v>
      </c>
      <c r="M27" s="9">
        <v>5</v>
      </c>
      <c r="N27" s="9">
        <v>5</v>
      </c>
      <c r="O27" s="9" t="s">
        <v>171</v>
      </c>
      <c r="P27" s="11" t="s">
        <v>172</v>
      </c>
      <c r="Q27" s="11" t="s">
        <v>29</v>
      </c>
      <c r="R27" s="9"/>
      <c r="S27" s="13"/>
      <c r="T27" s="8" t="s">
        <v>82</v>
      </c>
      <c r="U27" s="8"/>
      <c r="V27" s="94" t="s">
        <v>419</v>
      </c>
      <c r="W27" s="96">
        <v>5103353</v>
      </c>
      <c r="X27" s="99"/>
      <c r="Y27" s="102">
        <v>5101001</v>
      </c>
      <c r="Z27" s="102" t="s">
        <v>427</v>
      </c>
    </row>
    <row r="28" spans="1:26" ht="20.25" thickBot="1" x14ac:dyDescent="0.45">
      <c r="A28" s="53">
        <v>45924.650960648149</v>
      </c>
      <c r="B28" s="4" t="s">
        <v>173</v>
      </c>
      <c r="C28" s="4" t="s">
        <v>174</v>
      </c>
      <c r="D28" s="4" t="s">
        <v>175</v>
      </c>
      <c r="E28" s="58" t="s">
        <v>176</v>
      </c>
      <c r="F28" s="58" t="s">
        <v>128</v>
      </c>
      <c r="G28" s="58" t="s">
        <v>28</v>
      </c>
      <c r="H28" s="5">
        <v>5</v>
      </c>
      <c r="I28" s="5">
        <v>5</v>
      </c>
      <c r="J28" s="5">
        <v>4</v>
      </c>
      <c r="K28" s="5">
        <v>5</v>
      </c>
      <c r="L28" s="5">
        <v>4</v>
      </c>
      <c r="M28" s="4">
        <v>4</v>
      </c>
      <c r="N28" s="4">
        <v>5</v>
      </c>
      <c r="O28" s="4" t="s">
        <v>177</v>
      </c>
      <c r="P28" s="6" t="s">
        <v>178</v>
      </c>
      <c r="Q28" s="4" t="s">
        <v>29</v>
      </c>
      <c r="R28" s="4"/>
      <c r="S28" s="14"/>
      <c r="T28" s="8" t="s">
        <v>8</v>
      </c>
      <c r="U28" s="8"/>
      <c r="V28" s="90" t="s">
        <v>420</v>
      </c>
      <c r="W28" s="97">
        <v>5203104</v>
      </c>
      <c r="X28" s="100"/>
      <c r="Y28" s="102">
        <v>5108600</v>
      </c>
      <c r="Z28" s="102" t="s">
        <v>428</v>
      </c>
    </row>
    <row r="29" spans="1:26" ht="20.25" thickBot="1" x14ac:dyDescent="0.45">
      <c r="A29" s="54">
        <v>45924.664571759262</v>
      </c>
      <c r="B29" s="9" t="s">
        <v>192</v>
      </c>
      <c r="C29" s="9" t="s">
        <v>193</v>
      </c>
      <c r="D29" s="9" t="s">
        <v>194</v>
      </c>
      <c r="E29" s="59" t="s">
        <v>195</v>
      </c>
      <c r="F29" s="59" t="s">
        <v>196</v>
      </c>
      <c r="G29" s="59" t="s">
        <v>28</v>
      </c>
      <c r="H29" s="10">
        <v>5</v>
      </c>
      <c r="I29" s="10">
        <v>5</v>
      </c>
      <c r="J29" s="10">
        <v>5</v>
      </c>
      <c r="K29" s="10">
        <v>5</v>
      </c>
      <c r="L29" s="10">
        <v>5</v>
      </c>
      <c r="M29" s="9">
        <v>5</v>
      </c>
      <c r="N29" s="9">
        <v>5</v>
      </c>
      <c r="O29" s="9" t="s">
        <v>197</v>
      </c>
      <c r="P29" s="11" t="s">
        <v>198</v>
      </c>
      <c r="Q29" s="9" t="s">
        <v>29</v>
      </c>
      <c r="R29" s="9"/>
      <c r="S29" s="12"/>
      <c r="T29" s="8" t="s">
        <v>8</v>
      </c>
      <c r="U29" s="8" t="s">
        <v>199</v>
      </c>
      <c r="V29" s="94" t="s">
        <v>423</v>
      </c>
      <c r="W29" s="96">
        <v>5201702</v>
      </c>
      <c r="X29" s="99"/>
      <c r="Y29" s="102">
        <v>5101852</v>
      </c>
      <c r="Z29" s="102" t="s">
        <v>431</v>
      </c>
    </row>
    <row r="30" spans="1:26" ht="20.25" thickBot="1" x14ac:dyDescent="0.45">
      <c r="A30" s="53">
        <v>45924.664780092593</v>
      </c>
      <c r="B30" s="4" t="s">
        <v>200</v>
      </c>
      <c r="C30" s="4" t="s">
        <v>201</v>
      </c>
      <c r="D30" s="4" t="s">
        <v>202</v>
      </c>
      <c r="E30" s="58" t="s">
        <v>203</v>
      </c>
      <c r="F30" s="58" t="s">
        <v>204</v>
      </c>
      <c r="G30" s="58" t="s">
        <v>28</v>
      </c>
      <c r="H30" s="5">
        <v>5</v>
      </c>
      <c r="I30" s="5">
        <v>4</v>
      </c>
      <c r="J30" s="5">
        <v>5</v>
      </c>
      <c r="K30" s="5">
        <v>5</v>
      </c>
      <c r="L30" s="5">
        <v>5</v>
      </c>
      <c r="M30" s="4">
        <v>4</v>
      </c>
      <c r="N30" s="4">
        <v>5</v>
      </c>
      <c r="O30" s="4" t="s">
        <v>205</v>
      </c>
      <c r="P30" s="6" t="s">
        <v>206</v>
      </c>
      <c r="Q30" s="4" t="s">
        <v>29</v>
      </c>
      <c r="R30" s="4"/>
      <c r="S30" s="7"/>
      <c r="T30" s="8" t="s">
        <v>31</v>
      </c>
      <c r="U30" s="8"/>
      <c r="V30" s="90" t="s">
        <v>424</v>
      </c>
      <c r="W30" s="97">
        <v>5106653</v>
      </c>
      <c r="X30" s="100"/>
      <c r="Y30" s="102">
        <v>5102694</v>
      </c>
      <c r="Z30" s="102" t="s">
        <v>432</v>
      </c>
    </row>
    <row r="31" spans="1:26" ht="20.25" thickBot="1" x14ac:dyDescent="0.45">
      <c r="A31" s="75">
        <v>45924.665219907409</v>
      </c>
      <c r="B31" s="78" t="s">
        <v>212</v>
      </c>
      <c r="C31" s="78" t="s">
        <v>213</v>
      </c>
      <c r="D31" s="78" t="s">
        <v>214</v>
      </c>
      <c r="E31" s="81" t="s">
        <v>215</v>
      </c>
      <c r="F31" s="81" t="s">
        <v>216</v>
      </c>
      <c r="G31" s="81" t="s">
        <v>28</v>
      </c>
      <c r="H31" s="84">
        <v>4</v>
      </c>
      <c r="I31" s="84">
        <v>3</v>
      </c>
      <c r="J31" s="84">
        <v>4</v>
      </c>
      <c r="K31" s="84">
        <v>4</v>
      </c>
      <c r="L31" s="84">
        <v>4</v>
      </c>
      <c r="M31" s="78">
        <v>4</v>
      </c>
      <c r="N31" s="78">
        <v>4</v>
      </c>
      <c r="O31" s="78" t="s">
        <v>217</v>
      </c>
      <c r="P31" s="87" t="s">
        <v>218</v>
      </c>
      <c r="Q31" s="78" t="s">
        <v>29</v>
      </c>
      <c r="R31" s="78"/>
      <c r="S31" s="14"/>
      <c r="T31" s="8" t="s">
        <v>7</v>
      </c>
      <c r="U31" s="8"/>
      <c r="V31" s="90" t="s">
        <v>425</v>
      </c>
      <c r="W31" s="97">
        <v>5100201</v>
      </c>
      <c r="X31" s="100"/>
      <c r="Y31" s="102">
        <v>5101803</v>
      </c>
      <c r="Z31" s="102" t="s">
        <v>434</v>
      </c>
    </row>
    <row r="32" spans="1:26" ht="20.25" thickBot="1" x14ac:dyDescent="0.45">
      <c r="A32" s="53">
        <v>45924.665254629632</v>
      </c>
      <c r="B32" s="4" t="s">
        <v>225</v>
      </c>
      <c r="C32" s="4" t="s">
        <v>226</v>
      </c>
      <c r="D32" s="4" t="s">
        <v>227</v>
      </c>
      <c r="E32" s="58" t="s">
        <v>228</v>
      </c>
      <c r="F32" s="58" t="s">
        <v>216</v>
      </c>
      <c r="G32" s="58" t="s">
        <v>28</v>
      </c>
      <c r="H32" s="5">
        <v>4</v>
      </c>
      <c r="I32" s="5">
        <v>4</v>
      </c>
      <c r="J32" s="5">
        <v>4</v>
      </c>
      <c r="K32" s="5">
        <v>4</v>
      </c>
      <c r="L32" s="5">
        <v>3</v>
      </c>
      <c r="M32" s="4">
        <v>3</v>
      </c>
      <c r="N32" s="4">
        <v>3</v>
      </c>
      <c r="O32" s="4" t="s">
        <v>229</v>
      </c>
      <c r="P32" s="6" t="s">
        <v>230</v>
      </c>
      <c r="Q32" s="4" t="s">
        <v>29</v>
      </c>
      <c r="R32" s="4"/>
      <c r="S32" s="7" t="s">
        <v>231</v>
      </c>
      <c r="T32" s="8" t="s">
        <v>31</v>
      </c>
      <c r="U32" s="8" t="s">
        <v>232</v>
      </c>
      <c r="V32" s="90" t="s">
        <v>425</v>
      </c>
      <c r="W32" s="97">
        <v>5100201</v>
      </c>
      <c r="X32" s="66"/>
      <c r="Y32"/>
      <c r="Z32"/>
    </row>
    <row r="33" spans="1:28" ht="20.25" thickBot="1" x14ac:dyDescent="0.45">
      <c r="A33" s="75">
        <v>45924.666122685187</v>
      </c>
      <c r="B33" s="78" t="s">
        <v>240</v>
      </c>
      <c r="C33" s="78" t="s">
        <v>241</v>
      </c>
      <c r="D33" s="78" t="s">
        <v>242</v>
      </c>
      <c r="E33" s="81" t="s">
        <v>243</v>
      </c>
      <c r="F33" s="81" t="s">
        <v>244</v>
      </c>
      <c r="G33" s="81" t="s">
        <v>28</v>
      </c>
      <c r="H33" s="84">
        <v>5</v>
      </c>
      <c r="I33" s="84">
        <v>5</v>
      </c>
      <c r="J33" s="84">
        <v>5</v>
      </c>
      <c r="K33" s="84">
        <v>5</v>
      </c>
      <c r="L33" s="84">
        <v>4</v>
      </c>
      <c r="M33" s="78">
        <v>5</v>
      </c>
      <c r="N33" s="78">
        <v>5</v>
      </c>
      <c r="O33" s="78" t="s">
        <v>245</v>
      </c>
      <c r="P33" s="87" t="s">
        <v>246</v>
      </c>
      <c r="Q33" s="87" t="s">
        <v>30</v>
      </c>
      <c r="R33" s="78"/>
      <c r="S33" s="7"/>
      <c r="T33" s="8" t="s">
        <v>31</v>
      </c>
      <c r="U33" s="8"/>
      <c r="V33" s="8" t="s">
        <v>426</v>
      </c>
      <c r="W33" s="8">
        <v>5213707</v>
      </c>
      <c r="X33" s="67"/>
      <c r="Y33"/>
      <c r="Z33"/>
    </row>
    <row r="34" spans="1:28" ht="29.25" thickBot="1" x14ac:dyDescent="0.45">
      <c r="A34" s="76">
        <v>45925.705046296294</v>
      </c>
      <c r="B34" s="79" t="s">
        <v>273</v>
      </c>
      <c r="C34" s="79" t="s">
        <v>274</v>
      </c>
      <c r="D34" s="79" t="s">
        <v>275</v>
      </c>
      <c r="E34" s="82" t="s">
        <v>276</v>
      </c>
      <c r="F34" s="82" t="s">
        <v>277</v>
      </c>
      <c r="G34" s="82" t="s">
        <v>28</v>
      </c>
      <c r="H34" s="85">
        <v>5</v>
      </c>
      <c r="I34" s="85">
        <v>5</v>
      </c>
      <c r="J34" s="85">
        <v>5</v>
      </c>
      <c r="K34" s="85">
        <v>5</v>
      </c>
      <c r="L34" s="85">
        <v>5</v>
      </c>
      <c r="M34" s="79">
        <v>4</v>
      </c>
      <c r="N34" s="79">
        <v>5</v>
      </c>
      <c r="O34" s="79" t="s">
        <v>278</v>
      </c>
      <c r="P34" s="88" t="s">
        <v>279</v>
      </c>
      <c r="Q34" s="88" t="s">
        <v>29</v>
      </c>
      <c r="R34" s="79"/>
      <c r="S34" s="13" t="s">
        <v>280</v>
      </c>
      <c r="T34" s="8" t="s">
        <v>115</v>
      </c>
      <c r="U34" s="8" t="s">
        <v>158</v>
      </c>
      <c r="V34" s="8" t="s">
        <v>427</v>
      </c>
      <c r="W34" s="8">
        <v>5101001</v>
      </c>
      <c r="X34" s="67"/>
      <c r="Y34"/>
      <c r="Z34"/>
    </row>
    <row r="35" spans="1:28" ht="29.25" thickBot="1" x14ac:dyDescent="0.45">
      <c r="A35" s="54">
        <v>45925.706875000003</v>
      </c>
      <c r="B35" s="9" t="s">
        <v>303</v>
      </c>
      <c r="C35" s="9" t="s">
        <v>304</v>
      </c>
      <c r="D35" s="9" t="s">
        <v>305</v>
      </c>
      <c r="E35" s="59" t="s">
        <v>306</v>
      </c>
      <c r="F35" s="59" t="s">
        <v>307</v>
      </c>
      <c r="G35" s="59" t="s">
        <v>28</v>
      </c>
      <c r="H35" s="10">
        <v>4</v>
      </c>
      <c r="I35" s="10">
        <v>4</v>
      </c>
      <c r="J35" s="10">
        <v>4</v>
      </c>
      <c r="K35" s="10">
        <v>4</v>
      </c>
      <c r="L35" s="10">
        <v>2</v>
      </c>
      <c r="M35" s="9">
        <v>4</v>
      </c>
      <c r="N35" s="9">
        <v>3</v>
      </c>
      <c r="O35" s="9" t="s">
        <v>308</v>
      </c>
      <c r="P35" s="11" t="s">
        <v>158</v>
      </c>
      <c r="Q35" s="11" t="s">
        <v>29</v>
      </c>
      <c r="R35" s="9"/>
      <c r="S35" s="11"/>
      <c r="T35" s="91" t="s">
        <v>115</v>
      </c>
      <c r="U35" s="92"/>
      <c r="V35" s="8" t="s">
        <v>431</v>
      </c>
      <c r="W35" s="8">
        <v>5101852</v>
      </c>
      <c r="X35" s="67"/>
      <c r="Y35"/>
      <c r="Z35"/>
      <c r="AA35" s="103"/>
      <c r="AB35" s="103"/>
    </row>
    <row r="36" spans="1:28" ht="20.25" thickBot="1" x14ac:dyDescent="0.45">
      <c r="A36" s="76">
        <v>45925.706921296296</v>
      </c>
      <c r="B36" s="79" t="s">
        <v>315</v>
      </c>
      <c r="C36" s="79" t="s">
        <v>316</v>
      </c>
      <c r="D36" s="79" t="s">
        <v>317</v>
      </c>
      <c r="E36" s="82" t="s">
        <v>318</v>
      </c>
      <c r="F36" s="82" t="s">
        <v>319</v>
      </c>
      <c r="G36" s="82" t="s">
        <v>28</v>
      </c>
      <c r="H36" s="85">
        <v>5</v>
      </c>
      <c r="I36" s="85">
        <v>5</v>
      </c>
      <c r="J36" s="85">
        <v>5</v>
      </c>
      <c r="K36" s="85">
        <v>5</v>
      </c>
      <c r="L36" s="85">
        <v>3</v>
      </c>
      <c r="M36" s="85">
        <v>5</v>
      </c>
      <c r="N36" s="85">
        <v>5</v>
      </c>
      <c r="O36" s="79" t="s">
        <v>320</v>
      </c>
      <c r="P36" s="79" t="s">
        <v>321</v>
      </c>
      <c r="Q36" s="79" t="s">
        <v>30</v>
      </c>
      <c r="R36" s="88"/>
      <c r="S36" s="88" t="s">
        <v>165</v>
      </c>
      <c r="T36" s="79" t="s">
        <v>31</v>
      </c>
      <c r="U36" s="12"/>
      <c r="V36" s="8" t="s">
        <v>432</v>
      </c>
      <c r="W36" s="8">
        <v>5102694</v>
      </c>
      <c r="X36" s="67"/>
      <c r="Y36"/>
      <c r="Z36"/>
      <c r="AA36" s="8"/>
      <c r="AB36" s="8"/>
    </row>
    <row r="37" spans="1:28" ht="26.25" thickBot="1" x14ac:dyDescent="0.45">
      <c r="A37" s="75">
        <v>45925.707488425927</v>
      </c>
      <c r="B37" s="78" t="s">
        <v>322</v>
      </c>
      <c r="C37" s="78" t="s">
        <v>323</v>
      </c>
      <c r="D37" s="78" t="s">
        <v>324</v>
      </c>
      <c r="E37" s="81" t="s">
        <v>325</v>
      </c>
      <c r="F37" s="81" t="s">
        <v>326</v>
      </c>
      <c r="G37" s="81" t="s">
        <v>28</v>
      </c>
      <c r="H37" s="84">
        <v>5</v>
      </c>
      <c r="I37" s="84">
        <v>5</v>
      </c>
      <c r="J37" s="84">
        <v>5</v>
      </c>
      <c r="K37" s="84">
        <v>5</v>
      </c>
      <c r="L37" s="84">
        <v>5</v>
      </c>
      <c r="M37" s="84">
        <v>5</v>
      </c>
      <c r="N37" s="84">
        <v>5</v>
      </c>
      <c r="O37" s="78" t="s">
        <v>327</v>
      </c>
      <c r="P37" s="78" t="s">
        <v>328</v>
      </c>
      <c r="Q37" s="78" t="s">
        <v>29</v>
      </c>
      <c r="R37" s="87"/>
      <c r="S37" s="87"/>
      <c r="T37" s="78" t="s">
        <v>83</v>
      </c>
      <c r="U37" s="7" t="s">
        <v>329</v>
      </c>
      <c r="V37" s="8" t="s">
        <v>433</v>
      </c>
      <c r="W37" s="8">
        <v>5106315</v>
      </c>
      <c r="X37" s="67"/>
      <c r="Y37"/>
      <c r="Z37"/>
      <c r="AA37" s="8"/>
      <c r="AB37" s="8"/>
    </row>
    <row r="38" spans="1:28" ht="39" thickBot="1" x14ac:dyDescent="0.45">
      <c r="A38" s="76">
        <v>45925.707511574074</v>
      </c>
      <c r="B38" s="79" t="s">
        <v>330</v>
      </c>
      <c r="C38" s="79" t="s">
        <v>331</v>
      </c>
      <c r="D38" s="79" t="s">
        <v>332</v>
      </c>
      <c r="E38" s="82" t="s">
        <v>333</v>
      </c>
      <c r="F38" s="82" t="s">
        <v>334</v>
      </c>
      <c r="G38" s="82" t="s">
        <v>28</v>
      </c>
      <c r="H38" s="85">
        <v>5</v>
      </c>
      <c r="I38" s="85">
        <v>5</v>
      </c>
      <c r="J38" s="85">
        <v>5</v>
      </c>
      <c r="K38" s="85">
        <v>5</v>
      </c>
      <c r="L38" s="85">
        <v>5</v>
      </c>
      <c r="M38" s="85">
        <v>5</v>
      </c>
      <c r="N38" s="85">
        <v>5</v>
      </c>
      <c r="O38" s="79" t="s">
        <v>335</v>
      </c>
      <c r="P38" s="79" t="s">
        <v>336</v>
      </c>
      <c r="Q38" s="79" t="s">
        <v>29</v>
      </c>
      <c r="R38" s="88"/>
      <c r="S38" s="88" t="s">
        <v>337</v>
      </c>
      <c r="T38" s="79" t="s">
        <v>338</v>
      </c>
      <c r="U38" s="13"/>
      <c r="V38" s="8" t="s">
        <v>434</v>
      </c>
      <c r="W38" s="8">
        <v>5101803</v>
      </c>
      <c r="X38" s="67"/>
      <c r="Y38"/>
      <c r="Z38"/>
      <c r="AA38" s="8"/>
      <c r="AB38" s="8"/>
    </row>
    <row r="39" spans="1:28" ht="20.25" thickBot="1" x14ac:dyDescent="0.45">
      <c r="A39" s="75">
        <v>45925.707546296297</v>
      </c>
      <c r="B39" s="78" t="s">
        <v>339</v>
      </c>
      <c r="C39" s="78" t="s">
        <v>340</v>
      </c>
      <c r="D39" s="78" t="s">
        <v>341</v>
      </c>
      <c r="E39" s="81" t="s">
        <v>342</v>
      </c>
      <c r="F39" s="81" t="s">
        <v>292</v>
      </c>
      <c r="G39" s="81" t="s">
        <v>28</v>
      </c>
      <c r="H39" s="84">
        <v>5</v>
      </c>
      <c r="I39" s="84">
        <v>5</v>
      </c>
      <c r="J39" s="84">
        <v>5</v>
      </c>
      <c r="K39" s="84">
        <v>4</v>
      </c>
      <c r="L39" s="84">
        <v>4</v>
      </c>
      <c r="M39" s="84">
        <v>4</v>
      </c>
      <c r="N39" s="84">
        <v>5</v>
      </c>
      <c r="O39" s="78" t="s">
        <v>343</v>
      </c>
      <c r="P39" s="78" t="s">
        <v>344</v>
      </c>
      <c r="Q39" s="78" t="s">
        <v>29</v>
      </c>
      <c r="R39" s="87"/>
      <c r="S39" s="87" t="s">
        <v>345</v>
      </c>
      <c r="T39" s="78" t="s">
        <v>8</v>
      </c>
      <c r="U39" s="7" t="s">
        <v>346</v>
      </c>
      <c r="V39" s="8" t="s">
        <v>429</v>
      </c>
      <c r="W39" s="8">
        <v>5107859</v>
      </c>
      <c r="X39" s="67"/>
      <c r="Y39"/>
      <c r="Z39"/>
      <c r="AA39" s="8"/>
      <c r="AB39" s="8"/>
    </row>
    <row r="40" spans="1:28" ht="20.25" thickBot="1" x14ac:dyDescent="0.45">
      <c r="A40" s="76">
        <v>45925.707569444443</v>
      </c>
      <c r="B40" s="79" t="s">
        <v>347</v>
      </c>
      <c r="C40" s="79" t="s">
        <v>348</v>
      </c>
      <c r="D40" s="79" t="s">
        <v>349</v>
      </c>
      <c r="E40" s="82" t="s">
        <v>350</v>
      </c>
      <c r="F40" s="82" t="s">
        <v>292</v>
      </c>
      <c r="G40" s="82" t="s">
        <v>28</v>
      </c>
      <c r="H40" s="85">
        <v>5</v>
      </c>
      <c r="I40" s="85">
        <v>4</v>
      </c>
      <c r="J40" s="85">
        <v>5</v>
      </c>
      <c r="K40" s="85">
        <v>5</v>
      </c>
      <c r="L40" s="85">
        <v>5</v>
      </c>
      <c r="M40" s="85">
        <v>5</v>
      </c>
      <c r="N40" s="85">
        <v>5</v>
      </c>
      <c r="O40" s="79" t="s">
        <v>351</v>
      </c>
      <c r="P40" s="79" t="s">
        <v>352</v>
      </c>
      <c r="Q40" s="79" t="s">
        <v>29</v>
      </c>
      <c r="R40" s="88"/>
      <c r="S40" s="88"/>
      <c r="T40" s="79" t="s">
        <v>31</v>
      </c>
      <c r="U40" s="13" t="s">
        <v>353</v>
      </c>
      <c r="V40" s="8" t="s">
        <v>429</v>
      </c>
      <c r="W40" s="8">
        <v>5107859</v>
      </c>
      <c r="X40" s="67"/>
      <c r="Y40"/>
      <c r="Z40"/>
      <c r="AA40" s="8"/>
      <c r="AB40" s="8"/>
    </row>
    <row r="41" spans="1:28" ht="20.25" thickBot="1" x14ac:dyDescent="0.45">
      <c r="A41" s="54">
        <v>45925.708043981482</v>
      </c>
      <c r="B41" s="9" t="s">
        <v>361</v>
      </c>
      <c r="C41" s="9" t="s">
        <v>362</v>
      </c>
      <c r="D41" s="9" t="s">
        <v>363</v>
      </c>
      <c r="E41" s="59" t="s">
        <v>364</v>
      </c>
      <c r="F41" s="59" t="s">
        <v>307</v>
      </c>
      <c r="G41" s="59" t="s">
        <v>28</v>
      </c>
      <c r="H41" s="10">
        <v>4</v>
      </c>
      <c r="I41" s="10">
        <v>4</v>
      </c>
      <c r="J41" s="10">
        <v>4</v>
      </c>
      <c r="K41" s="10">
        <v>4</v>
      </c>
      <c r="L41" s="10">
        <v>4</v>
      </c>
      <c r="M41" s="10">
        <v>4</v>
      </c>
      <c r="N41" s="10">
        <v>4</v>
      </c>
      <c r="O41" s="9" t="s">
        <v>365</v>
      </c>
      <c r="P41" s="9" t="s">
        <v>366</v>
      </c>
      <c r="Q41" s="9" t="s">
        <v>29</v>
      </c>
      <c r="R41" s="11"/>
      <c r="S41" s="11"/>
      <c r="T41" s="9" t="s">
        <v>8</v>
      </c>
      <c r="U41" s="13" t="s">
        <v>367</v>
      </c>
      <c r="V41" s="8" t="s">
        <v>431</v>
      </c>
      <c r="W41" s="8">
        <v>5101852</v>
      </c>
      <c r="X41" s="67"/>
      <c r="Y41"/>
      <c r="Z41"/>
      <c r="AA41" s="8"/>
      <c r="AB41" s="8"/>
    </row>
    <row r="42" spans="1:28" ht="20.25" thickBot="1" x14ac:dyDescent="0.45">
      <c r="A42" s="53">
        <v>45925.708171296297</v>
      </c>
      <c r="B42" s="4" t="s">
        <v>368</v>
      </c>
      <c r="C42" s="4" t="s">
        <v>369</v>
      </c>
      <c r="D42" s="4" t="s">
        <v>370</v>
      </c>
      <c r="E42" s="58" t="s">
        <v>371</v>
      </c>
      <c r="F42" s="58" t="s">
        <v>277</v>
      </c>
      <c r="G42" s="58" t="s">
        <v>28</v>
      </c>
      <c r="H42" s="5">
        <v>4</v>
      </c>
      <c r="I42" s="5">
        <v>3</v>
      </c>
      <c r="J42" s="5">
        <v>4</v>
      </c>
      <c r="K42" s="5">
        <v>4</v>
      </c>
      <c r="L42" s="5">
        <v>4</v>
      </c>
      <c r="M42" s="5">
        <v>4</v>
      </c>
      <c r="N42" s="5">
        <v>4</v>
      </c>
      <c r="O42" s="4" t="s">
        <v>372</v>
      </c>
      <c r="P42" s="4" t="s">
        <v>373</v>
      </c>
      <c r="Q42" s="4" t="s">
        <v>29</v>
      </c>
      <c r="R42" s="6"/>
      <c r="S42" s="6" t="s">
        <v>374</v>
      </c>
      <c r="T42" s="4" t="s">
        <v>6</v>
      </c>
      <c r="U42" s="7" t="s">
        <v>375</v>
      </c>
      <c r="V42" s="8" t="s">
        <v>427</v>
      </c>
      <c r="W42" s="8">
        <v>5101001</v>
      </c>
      <c r="X42" s="67"/>
      <c r="Y42"/>
      <c r="Z42"/>
      <c r="AA42" s="8"/>
      <c r="AB42" s="8"/>
    </row>
    <row r="43" spans="1:28" ht="39" thickBot="1" x14ac:dyDescent="0.45">
      <c r="A43" s="54">
        <v>45925.70820601852</v>
      </c>
      <c r="B43" s="9" t="s">
        <v>376</v>
      </c>
      <c r="C43" s="9" t="s">
        <v>377</v>
      </c>
      <c r="D43" s="9" t="s">
        <v>378</v>
      </c>
      <c r="E43" s="59" t="s">
        <v>379</v>
      </c>
      <c r="F43" s="59" t="s">
        <v>319</v>
      </c>
      <c r="G43" s="59" t="s">
        <v>28</v>
      </c>
      <c r="H43" s="10">
        <v>4</v>
      </c>
      <c r="I43" s="10">
        <v>4</v>
      </c>
      <c r="J43" s="10">
        <v>4</v>
      </c>
      <c r="K43" s="10">
        <v>4</v>
      </c>
      <c r="L43" s="10">
        <v>3</v>
      </c>
      <c r="M43" s="10">
        <v>2</v>
      </c>
      <c r="N43" s="10">
        <v>4</v>
      </c>
      <c r="O43" s="9" t="s">
        <v>380</v>
      </c>
      <c r="P43" s="9" t="s">
        <v>381</v>
      </c>
      <c r="Q43" s="9" t="s">
        <v>29</v>
      </c>
      <c r="R43" s="11"/>
      <c r="S43" s="9"/>
      <c r="T43" s="9" t="s">
        <v>31</v>
      </c>
      <c r="U43" s="12"/>
      <c r="V43" s="8" t="s">
        <v>432</v>
      </c>
      <c r="W43" s="8">
        <v>5102694</v>
      </c>
      <c r="X43" s="67"/>
      <c r="Y43"/>
      <c r="Z43"/>
      <c r="AA43" s="8"/>
      <c r="AB43" s="8"/>
    </row>
    <row r="44" spans="1:28" ht="51.75" thickBot="1" x14ac:dyDescent="0.45">
      <c r="A44" s="53">
        <v>45925.708368055559</v>
      </c>
      <c r="B44" s="4" t="s">
        <v>382</v>
      </c>
      <c r="C44" s="4" t="s">
        <v>383</v>
      </c>
      <c r="D44" s="4" t="s">
        <v>384</v>
      </c>
      <c r="E44" s="58" t="s">
        <v>385</v>
      </c>
      <c r="F44" s="58" t="s">
        <v>307</v>
      </c>
      <c r="G44" s="58" t="s">
        <v>28</v>
      </c>
      <c r="H44" s="5">
        <v>5</v>
      </c>
      <c r="I44" s="5">
        <v>5</v>
      </c>
      <c r="J44" s="5">
        <v>5</v>
      </c>
      <c r="K44" s="5">
        <v>2</v>
      </c>
      <c r="L44" s="5">
        <v>2</v>
      </c>
      <c r="M44" s="5">
        <v>3</v>
      </c>
      <c r="N44" s="5">
        <v>4</v>
      </c>
      <c r="O44" s="4" t="s">
        <v>386</v>
      </c>
      <c r="P44" s="4" t="s">
        <v>387</v>
      </c>
      <c r="Q44" s="4" t="s">
        <v>29</v>
      </c>
      <c r="R44" s="6"/>
      <c r="S44" s="6" t="s">
        <v>388</v>
      </c>
      <c r="T44" s="4" t="s">
        <v>389</v>
      </c>
      <c r="U44" s="7"/>
      <c r="V44" s="8" t="s">
        <v>431</v>
      </c>
      <c r="W44" s="8">
        <v>5101852</v>
      </c>
      <c r="X44" s="67"/>
      <c r="Y44"/>
      <c r="Z44"/>
      <c r="AA44" s="8"/>
      <c r="AB44" s="8"/>
    </row>
    <row r="45" spans="1:28" ht="20.25" thickBot="1" x14ac:dyDescent="0.45">
      <c r="A45" s="54">
        <v>45925.708831018521</v>
      </c>
      <c r="B45" s="9" t="s">
        <v>390</v>
      </c>
      <c r="C45" s="9" t="s">
        <v>391</v>
      </c>
      <c r="D45" s="9" t="s">
        <v>392</v>
      </c>
      <c r="E45" s="59" t="s">
        <v>393</v>
      </c>
      <c r="F45" s="59" t="s">
        <v>285</v>
      </c>
      <c r="G45" s="59" t="s">
        <v>28</v>
      </c>
      <c r="H45" s="10">
        <v>4</v>
      </c>
      <c r="I45" s="10">
        <v>4</v>
      </c>
      <c r="J45" s="10">
        <v>4</v>
      </c>
      <c r="K45" s="10">
        <v>4</v>
      </c>
      <c r="L45" s="10">
        <v>4</v>
      </c>
      <c r="M45" s="10">
        <v>4</v>
      </c>
      <c r="N45" s="10">
        <v>4</v>
      </c>
      <c r="O45" s="9" t="s">
        <v>394</v>
      </c>
      <c r="P45" s="9" t="s">
        <v>395</v>
      </c>
      <c r="Q45" s="9" t="s">
        <v>30</v>
      </c>
      <c r="R45" s="11"/>
      <c r="S45" s="9"/>
      <c r="T45" s="9" t="s">
        <v>31</v>
      </c>
      <c r="U45" s="12" t="s">
        <v>396</v>
      </c>
      <c r="V45" s="8" t="s">
        <v>428</v>
      </c>
      <c r="W45" s="8">
        <v>5108600</v>
      </c>
      <c r="X45" s="67"/>
      <c r="Y45"/>
      <c r="Z45"/>
      <c r="AA45" s="8"/>
      <c r="AB45" s="8"/>
    </row>
    <row r="46" spans="1:28" ht="26.25" thickBot="1" x14ac:dyDescent="0.45">
      <c r="A46" s="53">
        <v>45925.70890046296</v>
      </c>
      <c r="B46" s="4" t="s">
        <v>397</v>
      </c>
      <c r="C46" s="4" t="s">
        <v>398</v>
      </c>
      <c r="D46" s="4" t="s">
        <v>399</v>
      </c>
      <c r="E46" s="58" t="s">
        <v>400</v>
      </c>
      <c r="F46" s="58" t="s">
        <v>292</v>
      </c>
      <c r="G46" s="58" t="s">
        <v>28</v>
      </c>
      <c r="H46" s="5">
        <v>3</v>
      </c>
      <c r="I46" s="5">
        <v>3</v>
      </c>
      <c r="J46" s="5">
        <v>3</v>
      </c>
      <c r="K46" s="5">
        <v>3</v>
      </c>
      <c r="L46" s="5">
        <v>3</v>
      </c>
      <c r="M46" s="5">
        <v>3</v>
      </c>
      <c r="N46" s="5">
        <v>3</v>
      </c>
      <c r="O46" s="4" t="s">
        <v>401</v>
      </c>
      <c r="P46" s="4" t="s">
        <v>402</v>
      </c>
      <c r="Q46" s="4" t="s">
        <v>29</v>
      </c>
      <c r="R46" s="6"/>
      <c r="S46" s="4"/>
      <c r="T46" s="4" t="s">
        <v>83</v>
      </c>
      <c r="U46" s="14" t="s">
        <v>107</v>
      </c>
      <c r="V46" s="8" t="s">
        <v>429</v>
      </c>
      <c r="W46" s="8">
        <v>5107859</v>
      </c>
      <c r="X46" s="67"/>
      <c r="Y46"/>
      <c r="Z46"/>
      <c r="AA46" s="8"/>
      <c r="AB46" s="8"/>
    </row>
    <row r="47" spans="1:28" ht="20.25" thickBot="1" x14ac:dyDescent="0.45">
      <c r="A47" s="54">
        <v>45925.708958333336</v>
      </c>
      <c r="B47" s="9" t="s">
        <v>403</v>
      </c>
      <c r="C47" s="9" t="s">
        <v>404</v>
      </c>
      <c r="D47" s="9" t="s">
        <v>405</v>
      </c>
      <c r="E47" s="59" t="s">
        <v>406</v>
      </c>
      <c r="F47" s="59" t="s">
        <v>299</v>
      </c>
      <c r="G47" s="59" t="s">
        <v>28</v>
      </c>
      <c r="H47" s="10">
        <v>3</v>
      </c>
      <c r="I47" s="10">
        <v>3</v>
      </c>
      <c r="J47" s="10">
        <v>3</v>
      </c>
      <c r="K47" s="10">
        <v>3</v>
      </c>
      <c r="L47" s="10">
        <v>3</v>
      </c>
      <c r="M47" s="10">
        <v>3</v>
      </c>
      <c r="N47" s="10">
        <v>3</v>
      </c>
      <c r="O47" s="9" t="s">
        <v>407</v>
      </c>
      <c r="P47" s="9" t="s">
        <v>408</v>
      </c>
      <c r="Q47" s="9" t="s">
        <v>32</v>
      </c>
      <c r="R47" s="11"/>
      <c r="S47" s="9"/>
      <c r="T47" s="9" t="s">
        <v>31</v>
      </c>
      <c r="U47" s="12"/>
      <c r="V47" s="8" t="s">
        <v>430</v>
      </c>
      <c r="W47" s="8">
        <v>5107883</v>
      </c>
      <c r="X47" s="67"/>
      <c r="Y47"/>
      <c r="Z47"/>
      <c r="AA47" s="8"/>
      <c r="AB47" s="8"/>
    </row>
    <row r="48" spans="1:28" ht="26.25" thickBot="1" x14ac:dyDescent="0.45">
      <c r="A48" s="53">
        <v>45925.785231481481</v>
      </c>
      <c r="B48" s="4" t="s">
        <v>409</v>
      </c>
      <c r="C48" s="4" t="s">
        <v>410</v>
      </c>
      <c r="D48" s="4" t="s">
        <v>411</v>
      </c>
      <c r="E48" s="58" t="s">
        <v>412</v>
      </c>
      <c r="F48" s="58" t="s">
        <v>334</v>
      </c>
      <c r="G48" s="58" t="s">
        <v>28</v>
      </c>
      <c r="H48" s="5">
        <v>5</v>
      </c>
      <c r="I48" s="5">
        <v>4</v>
      </c>
      <c r="J48" s="5">
        <v>5</v>
      </c>
      <c r="K48" s="5">
        <v>5</v>
      </c>
      <c r="L48" s="5">
        <v>5</v>
      </c>
      <c r="M48" s="5">
        <v>5</v>
      </c>
      <c r="N48" s="5">
        <v>5</v>
      </c>
      <c r="O48" s="4" t="s">
        <v>413</v>
      </c>
      <c r="P48" s="4" t="s">
        <v>414</v>
      </c>
      <c r="Q48" s="4" t="s">
        <v>29</v>
      </c>
      <c r="R48" s="6"/>
      <c r="S48" s="4"/>
      <c r="T48" s="4" t="s">
        <v>7</v>
      </c>
      <c r="U48" s="7"/>
      <c r="V48" s="8" t="s">
        <v>434</v>
      </c>
      <c r="W48" s="8">
        <v>5101803</v>
      </c>
      <c r="X48" s="67"/>
      <c r="Y48" s="8"/>
      <c r="Z48" s="8"/>
      <c r="AA48" s="8"/>
      <c r="AB48" s="8"/>
    </row>
    <row r="49" spans="1:28" ht="20.25" thickBot="1" x14ac:dyDescent="0.45">
      <c r="A49" s="76"/>
      <c r="B49" s="79"/>
      <c r="C49" s="79"/>
      <c r="D49" s="79"/>
      <c r="E49" s="82"/>
      <c r="F49" s="82"/>
      <c r="G49" s="82"/>
      <c r="H49" s="85"/>
      <c r="I49" s="85"/>
      <c r="J49" s="85"/>
      <c r="K49" s="85"/>
      <c r="L49" s="85"/>
      <c r="M49" s="85"/>
      <c r="N49" s="85"/>
      <c r="O49" s="79"/>
      <c r="P49" s="79"/>
      <c r="Q49" s="79"/>
      <c r="R49" s="88"/>
      <c r="S49" s="88"/>
      <c r="T49" s="79"/>
      <c r="U49" s="13"/>
      <c r="V49" s="8"/>
      <c r="W49" s="8"/>
      <c r="X49" s="8"/>
      <c r="Y49" s="8"/>
      <c r="Z49" s="8"/>
      <c r="AA49" s="8"/>
      <c r="AB49" s="8"/>
    </row>
    <row r="50" spans="1:28" ht="20.25" thickBot="1" x14ac:dyDescent="0.45">
      <c r="A50" s="75"/>
      <c r="B50" s="78"/>
      <c r="C50" s="78"/>
      <c r="D50" s="78"/>
      <c r="E50" s="81"/>
      <c r="F50" s="81"/>
      <c r="G50" s="81"/>
      <c r="H50" s="84"/>
      <c r="I50" s="84"/>
      <c r="J50" s="84"/>
      <c r="K50" s="84"/>
      <c r="L50" s="84"/>
      <c r="M50" s="84"/>
      <c r="N50" s="84"/>
      <c r="O50" s="78"/>
      <c r="P50" s="78"/>
      <c r="Q50" s="78"/>
      <c r="R50" s="87"/>
      <c r="S50" s="78"/>
      <c r="T50" s="78"/>
      <c r="U50" s="14"/>
      <c r="V50" s="8"/>
      <c r="W50" s="8"/>
      <c r="X50" s="8"/>
      <c r="Y50" s="8"/>
      <c r="Z50" s="8"/>
      <c r="AA50" s="8"/>
      <c r="AB50" s="8"/>
    </row>
    <row r="51" spans="1:28" ht="20.25" thickBot="1" x14ac:dyDescent="0.45">
      <c r="A51" s="76"/>
      <c r="B51" s="79"/>
      <c r="C51" s="79"/>
      <c r="D51" s="79"/>
      <c r="E51" s="82"/>
      <c r="F51" s="82"/>
      <c r="G51" s="82"/>
      <c r="H51" s="85"/>
      <c r="I51" s="85"/>
      <c r="J51" s="85"/>
      <c r="K51" s="85"/>
      <c r="L51" s="85"/>
      <c r="M51" s="85"/>
      <c r="N51" s="85"/>
      <c r="O51" s="79"/>
      <c r="P51" s="79"/>
      <c r="Q51" s="79"/>
      <c r="R51" s="88"/>
      <c r="S51" s="79"/>
      <c r="T51" s="79"/>
      <c r="U51" s="12"/>
      <c r="V51" s="8"/>
      <c r="W51" s="8"/>
      <c r="X51" s="8"/>
      <c r="Y51" s="8"/>
      <c r="Z51" s="8"/>
      <c r="AA51" s="8"/>
      <c r="AB51" s="8"/>
    </row>
    <row r="52" spans="1:28" ht="20.25" thickBot="1" x14ac:dyDescent="0.45">
      <c r="A52" s="75"/>
      <c r="B52" s="78"/>
      <c r="C52" s="78"/>
      <c r="D52" s="78"/>
      <c r="E52" s="81"/>
      <c r="F52" s="81"/>
      <c r="G52" s="81"/>
      <c r="H52" s="84"/>
      <c r="I52" s="84"/>
      <c r="J52" s="84"/>
      <c r="K52" s="84"/>
      <c r="L52" s="84"/>
      <c r="M52" s="84"/>
      <c r="N52" s="84"/>
      <c r="O52" s="78"/>
      <c r="P52" s="78"/>
      <c r="Q52" s="78"/>
      <c r="R52" s="87"/>
      <c r="S52" s="87"/>
      <c r="T52" s="78"/>
      <c r="U52" s="7"/>
      <c r="V52" s="8"/>
      <c r="W52" s="8"/>
      <c r="X52" s="8"/>
      <c r="Y52" s="8"/>
      <c r="Z52" s="8"/>
      <c r="AA52" s="8"/>
      <c r="AB52" s="8"/>
    </row>
    <row r="53" spans="1:28" ht="20.25" thickBot="1" x14ac:dyDescent="0.45">
      <c r="A53" s="76"/>
      <c r="B53" s="79"/>
      <c r="C53" s="79"/>
      <c r="D53" s="79"/>
      <c r="E53" s="82"/>
      <c r="F53" s="82"/>
      <c r="G53" s="82"/>
      <c r="H53" s="85"/>
      <c r="I53" s="85"/>
      <c r="J53" s="85"/>
      <c r="K53" s="85"/>
      <c r="L53" s="85"/>
      <c r="M53" s="85"/>
      <c r="N53" s="85"/>
      <c r="O53" s="79"/>
      <c r="P53" s="79"/>
      <c r="Q53" s="79"/>
      <c r="R53" s="88"/>
      <c r="S53" s="88"/>
      <c r="T53" s="79"/>
      <c r="U53" s="13"/>
      <c r="V53" s="8"/>
      <c r="W53" s="8"/>
      <c r="X53" s="8"/>
      <c r="Y53" s="8"/>
      <c r="Z53" s="8"/>
      <c r="AA53" s="8"/>
      <c r="AB53" s="8"/>
    </row>
    <row r="54" spans="1:28" ht="20.25" thickBot="1" x14ac:dyDescent="0.45">
      <c r="A54" s="75"/>
      <c r="B54" s="78"/>
      <c r="C54" s="78"/>
      <c r="D54" s="78"/>
      <c r="E54" s="81"/>
      <c r="F54" s="81"/>
      <c r="G54" s="81"/>
      <c r="H54" s="84"/>
      <c r="I54" s="84"/>
      <c r="J54" s="84"/>
      <c r="K54" s="84"/>
      <c r="L54" s="84"/>
      <c r="M54" s="84"/>
      <c r="N54" s="84"/>
      <c r="O54" s="78"/>
      <c r="P54" s="78"/>
      <c r="Q54" s="78"/>
      <c r="R54" s="87"/>
      <c r="S54" s="87"/>
      <c r="T54" s="78"/>
      <c r="U54" s="7"/>
      <c r="V54" s="8"/>
      <c r="W54" s="8"/>
      <c r="X54" s="8"/>
      <c r="Y54" s="8"/>
      <c r="Z54" s="8"/>
      <c r="AA54" s="8"/>
      <c r="AB54" s="8"/>
    </row>
    <row r="55" spans="1:28" ht="20.25" thickBot="1" x14ac:dyDescent="0.45">
      <c r="A55" s="76"/>
      <c r="B55" s="79"/>
      <c r="C55" s="79"/>
      <c r="D55" s="79"/>
      <c r="E55" s="82"/>
      <c r="F55" s="82"/>
      <c r="G55" s="82"/>
      <c r="H55" s="85"/>
      <c r="I55" s="85"/>
      <c r="J55" s="85"/>
      <c r="K55" s="85"/>
      <c r="L55" s="85"/>
      <c r="M55" s="85"/>
      <c r="N55" s="85"/>
      <c r="O55" s="79"/>
      <c r="P55" s="79"/>
      <c r="Q55" s="79"/>
      <c r="R55" s="88"/>
      <c r="S55" s="88"/>
      <c r="T55" s="79"/>
      <c r="U55" s="13"/>
      <c r="V55" s="8"/>
      <c r="W55" s="8"/>
      <c r="X55" s="8"/>
      <c r="Y55" s="8"/>
      <c r="Z55" s="8"/>
      <c r="AA55" s="8"/>
      <c r="AB55" s="8"/>
    </row>
    <row r="56" spans="1:28" ht="20.25" thickBot="1" x14ac:dyDescent="0.45">
      <c r="A56" s="75"/>
      <c r="B56" s="78"/>
      <c r="C56" s="78"/>
      <c r="D56" s="78"/>
      <c r="E56" s="81"/>
      <c r="F56" s="81"/>
      <c r="G56" s="81"/>
      <c r="H56" s="84"/>
      <c r="I56" s="84"/>
      <c r="J56" s="84"/>
      <c r="K56" s="84"/>
      <c r="L56" s="84"/>
      <c r="M56" s="84"/>
      <c r="N56" s="84"/>
      <c r="O56" s="78"/>
      <c r="P56" s="78"/>
      <c r="Q56" s="78"/>
      <c r="R56" s="87"/>
      <c r="S56" s="78"/>
      <c r="T56" s="78"/>
      <c r="U56" s="7"/>
      <c r="V56" s="8"/>
      <c r="W56" s="8"/>
      <c r="X56" s="8"/>
      <c r="Y56" s="8"/>
      <c r="Z56" s="8"/>
      <c r="AA56" s="8"/>
      <c r="AB56" s="8"/>
    </row>
    <row r="57" spans="1:28" ht="20.25" thickBot="1" x14ac:dyDescent="0.45">
      <c r="A57" s="76"/>
      <c r="B57" s="79"/>
      <c r="C57" s="79"/>
      <c r="D57" s="79"/>
      <c r="E57" s="82"/>
      <c r="F57" s="82"/>
      <c r="G57" s="82"/>
      <c r="H57" s="85"/>
      <c r="I57" s="85"/>
      <c r="J57" s="85"/>
      <c r="K57" s="85"/>
      <c r="L57" s="85"/>
      <c r="M57" s="85"/>
      <c r="N57" s="85"/>
      <c r="O57" s="79"/>
      <c r="P57" s="79"/>
      <c r="Q57" s="79"/>
      <c r="R57" s="88"/>
      <c r="S57" s="88"/>
      <c r="T57" s="79"/>
      <c r="U57" s="13"/>
      <c r="V57" s="8"/>
      <c r="W57" s="8"/>
      <c r="X57" s="8"/>
      <c r="Y57" s="8"/>
      <c r="Z57" s="8"/>
      <c r="AA57" s="8"/>
      <c r="AB57" s="8"/>
    </row>
    <row r="58" spans="1:28" ht="20.25" thickBot="1" x14ac:dyDescent="0.45">
      <c r="A58" s="75"/>
      <c r="B58" s="78"/>
      <c r="C58" s="78"/>
      <c r="D58" s="78"/>
      <c r="E58" s="81"/>
      <c r="F58" s="81"/>
      <c r="G58" s="81"/>
      <c r="H58" s="84"/>
      <c r="I58" s="84"/>
      <c r="J58" s="84"/>
      <c r="K58" s="84"/>
      <c r="L58" s="84"/>
      <c r="M58" s="84"/>
      <c r="N58" s="84"/>
      <c r="O58" s="78"/>
      <c r="P58" s="78"/>
      <c r="Q58" s="78"/>
      <c r="R58" s="87"/>
      <c r="S58" s="87"/>
      <c r="T58" s="78"/>
      <c r="U58" s="7"/>
      <c r="V58" s="8"/>
      <c r="W58" s="8"/>
      <c r="X58" s="8"/>
      <c r="Y58" s="8"/>
      <c r="Z58" s="8"/>
      <c r="AA58" s="8"/>
      <c r="AB58" s="8"/>
    </row>
    <row r="59" spans="1:28" ht="20.25" thickBot="1" x14ac:dyDescent="0.45">
      <c r="A59" s="76"/>
      <c r="B59" s="79"/>
      <c r="C59" s="79"/>
      <c r="D59" s="79"/>
      <c r="E59" s="82"/>
      <c r="F59" s="82"/>
      <c r="G59" s="82"/>
      <c r="H59" s="85"/>
      <c r="I59" s="85"/>
      <c r="J59" s="85"/>
      <c r="K59" s="85"/>
      <c r="L59" s="85"/>
      <c r="M59" s="85"/>
      <c r="N59" s="85"/>
      <c r="O59" s="79"/>
      <c r="P59" s="79"/>
      <c r="Q59" s="79"/>
      <c r="R59" s="88"/>
      <c r="S59" s="79"/>
      <c r="T59" s="79"/>
      <c r="U59" s="13"/>
      <c r="V59" s="8"/>
      <c r="W59" s="8"/>
      <c r="X59" s="8"/>
      <c r="Y59" s="8"/>
      <c r="Z59" s="8"/>
      <c r="AA59" s="8"/>
      <c r="AB59" s="8"/>
    </row>
    <row r="60" spans="1:28" ht="20.25" thickBot="1" x14ac:dyDescent="0.45">
      <c r="A60" s="75"/>
      <c r="B60" s="78"/>
      <c r="C60" s="78"/>
      <c r="D60" s="78"/>
      <c r="E60" s="81"/>
      <c r="F60" s="81"/>
      <c r="G60" s="81"/>
      <c r="H60" s="84"/>
      <c r="I60" s="84"/>
      <c r="J60" s="84"/>
      <c r="K60" s="84"/>
      <c r="L60" s="84"/>
      <c r="M60" s="84"/>
      <c r="N60" s="84"/>
      <c r="O60" s="78"/>
      <c r="P60" s="78"/>
      <c r="Q60" s="78"/>
      <c r="R60" s="87"/>
      <c r="S60" s="78"/>
      <c r="T60" s="78"/>
      <c r="U60" s="14"/>
      <c r="V60" s="8"/>
      <c r="W60" s="8"/>
      <c r="X60" s="8"/>
      <c r="Y60" s="8"/>
      <c r="Z60" s="8"/>
      <c r="AA60" s="8"/>
      <c r="AB60" s="8"/>
    </row>
    <row r="61" spans="1:28" ht="20.25" thickBot="1" x14ac:dyDescent="0.45">
      <c r="A61" s="76"/>
      <c r="B61" s="79"/>
      <c r="C61" s="79"/>
      <c r="D61" s="79"/>
      <c r="E61" s="82"/>
      <c r="F61" s="82"/>
      <c r="G61" s="82"/>
      <c r="H61" s="85"/>
      <c r="I61" s="85"/>
      <c r="J61" s="85"/>
      <c r="K61" s="85"/>
      <c r="L61" s="85"/>
      <c r="M61" s="85"/>
      <c r="N61" s="85"/>
      <c r="O61" s="79"/>
      <c r="P61" s="79"/>
      <c r="Q61" s="79"/>
      <c r="R61" s="88"/>
      <c r="S61" s="79"/>
      <c r="T61" s="79"/>
      <c r="U61" s="12"/>
      <c r="V61" s="8"/>
      <c r="W61" s="8"/>
      <c r="X61" s="8"/>
      <c r="Y61" s="8"/>
      <c r="Z61" s="8"/>
      <c r="AA61" s="8"/>
      <c r="AB61" s="8"/>
    </row>
    <row r="62" spans="1:28" ht="20.25" thickBot="1" x14ac:dyDescent="0.45">
      <c r="A62" s="75"/>
      <c r="B62" s="78"/>
      <c r="C62" s="78"/>
      <c r="D62" s="78"/>
      <c r="E62" s="81"/>
      <c r="F62" s="81"/>
      <c r="G62" s="81"/>
      <c r="H62" s="84"/>
      <c r="I62" s="84"/>
      <c r="J62" s="84"/>
      <c r="K62" s="84"/>
      <c r="L62" s="84"/>
      <c r="M62" s="84"/>
      <c r="N62" s="84"/>
      <c r="O62" s="78"/>
      <c r="P62" s="78"/>
      <c r="Q62" s="78"/>
      <c r="R62" s="87"/>
      <c r="S62" s="87"/>
      <c r="T62" s="78"/>
      <c r="U62" s="7"/>
      <c r="V62" s="8"/>
      <c r="W62" s="8"/>
      <c r="X62" s="8"/>
      <c r="Y62" s="8"/>
      <c r="Z62" s="8"/>
      <c r="AA62" s="8"/>
      <c r="AB62" s="8"/>
    </row>
    <row r="63" spans="1:28" ht="20.25" thickBot="1" x14ac:dyDescent="0.45">
      <c r="A63" s="76"/>
      <c r="B63" s="79"/>
      <c r="C63" s="79"/>
      <c r="D63" s="79"/>
      <c r="E63" s="82"/>
      <c r="F63" s="82"/>
      <c r="G63" s="82"/>
      <c r="H63" s="85"/>
      <c r="I63" s="85"/>
      <c r="J63" s="85"/>
      <c r="K63" s="85"/>
      <c r="L63" s="85"/>
      <c r="M63" s="85"/>
      <c r="N63" s="85"/>
      <c r="O63" s="79"/>
      <c r="P63" s="79"/>
      <c r="Q63" s="79"/>
      <c r="R63" s="88"/>
      <c r="S63" s="79"/>
      <c r="T63" s="79"/>
      <c r="U63" s="13"/>
      <c r="V63" s="8"/>
      <c r="W63" s="8"/>
      <c r="X63" s="8"/>
      <c r="Y63" s="8"/>
      <c r="Z63" s="8"/>
      <c r="AA63" s="8"/>
      <c r="AB63" s="8"/>
    </row>
    <row r="64" spans="1:28" ht="20.25" thickBot="1" x14ac:dyDescent="0.45">
      <c r="A64" s="75"/>
      <c r="B64" s="78"/>
      <c r="C64" s="78"/>
      <c r="D64" s="78"/>
      <c r="E64" s="81"/>
      <c r="F64" s="81"/>
      <c r="G64" s="81"/>
      <c r="H64" s="84"/>
      <c r="I64" s="84"/>
      <c r="J64" s="84"/>
      <c r="K64" s="84"/>
      <c r="L64" s="84"/>
      <c r="M64" s="84"/>
      <c r="N64" s="84"/>
      <c r="O64" s="78"/>
      <c r="P64" s="78"/>
      <c r="Q64" s="78"/>
      <c r="R64" s="87"/>
      <c r="S64" s="78"/>
      <c r="T64" s="78"/>
      <c r="U64" s="14"/>
      <c r="V64" s="8"/>
      <c r="W64" s="8"/>
      <c r="X64" s="8"/>
      <c r="Y64" s="8"/>
      <c r="Z64" s="8"/>
      <c r="AA64" s="8"/>
      <c r="AB64" s="8"/>
    </row>
    <row r="65" spans="1:28" ht="20.25" thickBot="1" x14ac:dyDescent="0.45">
      <c r="A65" s="76"/>
      <c r="B65" s="79"/>
      <c r="C65" s="79"/>
      <c r="D65" s="79"/>
      <c r="E65" s="82"/>
      <c r="F65" s="82"/>
      <c r="G65" s="82"/>
      <c r="H65" s="85"/>
      <c r="I65" s="85"/>
      <c r="J65" s="85"/>
      <c r="K65" s="85"/>
      <c r="L65" s="85"/>
      <c r="M65" s="85"/>
      <c r="N65" s="85"/>
      <c r="O65" s="79"/>
      <c r="P65" s="79"/>
      <c r="Q65" s="79"/>
      <c r="R65" s="88"/>
      <c r="S65" s="88"/>
      <c r="T65" s="79"/>
      <c r="U65" s="13"/>
      <c r="V65" s="8"/>
      <c r="W65" s="8"/>
      <c r="X65" s="8"/>
      <c r="Y65" s="8"/>
      <c r="Z65" s="8"/>
      <c r="AA65" s="8"/>
      <c r="AB65" s="8"/>
    </row>
    <row r="66" spans="1:28" ht="20.25" thickBot="1" x14ac:dyDescent="0.45">
      <c r="A66" s="77"/>
      <c r="B66" s="80"/>
      <c r="C66" s="80"/>
      <c r="D66" s="80"/>
      <c r="E66" s="83"/>
      <c r="F66" s="83"/>
      <c r="G66" s="83"/>
      <c r="H66" s="86"/>
      <c r="I66" s="86"/>
      <c r="J66" s="86"/>
      <c r="K66" s="86"/>
      <c r="L66" s="86"/>
      <c r="M66" s="86"/>
      <c r="N66" s="86"/>
      <c r="O66" s="80"/>
      <c r="P66" s="80"/>
      <c r="Q66" s="80"/>
      <c r="R66" s="89"/>
      <c r="S66" s="89"/>
      <c r="T66" s="80"/>
      <c r="U66" s="93"/>
      <c r="V66" s="8"/>
      <c r="W66" s="8"/>
      <c r="X66" s="8"/>
      <c r="Y66" s="8"/>
      <c r="Z66" s="8"/>
      <c r="AA66" s="8"/>
      <c r="AB66" s="8"/>
    </row>
    <row r="67" spans="1:28" ht="20.25" thickBot="1" x14ac:dyDescent="0.45">
      <c r="A67" s="55"/>
      <c r="B67" s="8"/>
      <c r="C67" s="8"/>
      <c r="D67" s="8"/>
      <c r="E67" s="55"/>
      <c r="F67" s="55"/>
      <c r="G67" s="55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</row>
    <row r="68" spans="1:28" ht="20.25" thickBot="1" x14ac:dyDescent="0.45">
      <c r="A68" s="55"/>
      <c r="B68" s="8"/>
      <c r="C68" s="8"/>
      <c r="D68" s="8"/>
      <c r="E68" s="55"/>
      <c r="F68" s="55"/>
      <c r="G68" s="55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</row>
    <row r="69" spans="1:28" ht="20.25" thickBot="1" x14ac:dyDescent="0.45">
      <c r="A69" s="55"/>
      <c r="B69" s="8"/>
      <c r="C69" s="8"/>
      <c r="D69" s="8"/>
      <c r="E69" s="55"/>
      <c r="F69" s="55"/>
      <c r="G69" s="55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</row>
    <row r="70" spans="1:28" ht="20.25" thickBot="1" x14ac:dyDescent="0.45">
      <c r="A70" s="55"/>
      <c r="B70" s="8"/>
      <c r="C70" s="8"/>
      <c r="D70" s="8"/>
      <c r="E70" s="55"/>
      <c r="F70" s="55"/>
      <c r="G70" s="55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</row>
    <row r="71" spans="1:28" ht="20.25" thickBot="1" x14ac:dyDescent="0.45">
      <c r="A71" s="55"/>
      <c r="B71" s="8"/>
      <c r="C71" s="8"/>
      <c r="D71" s="8"/>
      <c r="E71" s="55"/>
      <c r="F71" s="55"/>
      <c r="G71" s="55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</row>
    <row r="72" spans="1:28" ht="20.25" thickBot="1" x14ac:dyDescent="0.45">
      <c r="A72" s="55"/>
      <c r="B72" s="8"/>
      <c r="C72" s="8"/>
      <c r="D72" s="8"/>
      <c r="E72" s="55"/>
      <c r="F72" s="55"/>
      <c r="G72" s="55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</row>
    <row r="73" spans="1:28" ht="20.25" thickBot="1" x14ac:dyDescent="0.45">
      <c r="A73" s="55"/>
      <c r="B73" s="8"/>
      <c r="C73" s="8"/>
      <c r="D73" s="8"/>
      <c r="E73" s="55"/>
      <c r="F73" s="55"/>
      <c r="G73" s="55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</row>
    <row r="74" spans="1:28" ht="20.25" thickBot="1" x14ac:dyDescent="0.45">
      <c r="A74" s="55"/>
      <c r="B74" s="8"/>
      <c r="C74" s="8"/>
      <c r="D74" s="8"/>
      <c r="E74" s="55"/>
      <c r="F74" s="55"/>
      <c r="G74" s="55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</row>
    <row r="75" spans="1:28" ht="20.25" thickBot="1" x14ac:dyDescent="0.45">
      <c r="A75" s="55"/>
      <c r="B75" s="8"/>
      <c r="C75" s="8"/>
      <c r="D75" s="8"/>
      <c r="E75" s="55"/>
      <c r="F75" s="55"/>
      <c r="G75" s="55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</row>
    <row r="76" spans="1:28" ht="20.25" thickBot="1" x14ac:dyDescent="0.45">
      <c r="A76" s="55"/>
      <c r="B76" s="8"/>
      <c r="C76" s="8"/>
      <c r="D76" s="8"/>
      <c r="E76" s="55"/>
      <c r="F76" s="55"/>
      <c r="G76" s="55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</row>
    <row r="77" spans="1:28" ht="20.25" thickBot="1" x14ac:dyDescent="0.45">
      <c r="A77" s="55"/>
      <c r="B77" s="8"/>
      <c r="C77" s="8"/>
      <c r="D77" s="8"/>
      <c r="E77" s="55"/>
      <c r="F77" s="55"/>
      <c r="G77" s="55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</row>
    <row r="78" spans="1:28" ht="20.25" thickBot="1" x14ac:dyDescent="0.45">
      <c r="A78" s="55"/>
      <c r="B78" s="8"/>
      <c r="C78" s="8"/>
      <c r="D78" s="8"/>
      <c r="E78" s="55"/>
      <c r="F78" s="55"/>
      <c r="G78" s="55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</row>
    <row r="79" spans="1:28" ht="20.25" thickBot="1" x14ac:dyDescent="0.45">
      <c r="A79" s="55"/>
      <c r="B79" s="8"/>
      <c r="C79" s="8"/>
      <c r="D79" s="8"/>
      <c r="E79" s="55"/>
      <c r="F79" s="55"/>
      <c r="G79" s="55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</row>
    <row r="80" spans="1:28" ht="20.25" thickBot="1" x14ac:dyDescent="0.45">
      <c r="A80" s="55"/>
      <c r="B80" s="8"/>
      <c r="C80" s="8"/>
      <c r="D80" s="8"/>
      <c r="E80" s="55"/>
      <c r="F80" s="55"/>
      <c r="G80" s="55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</row>
    <row r="81" spans="1:28" ht="20.25" thickBot="1" x14ac:dyDescent="0.45">
      <c r="A81" s="55"/>
      <c r="B81" s="8"/>
      <c r="C81" s="8"/>
      <c r="D81" s="8"/>
      <c r="E81" s="55"/>
      <c r="F81" s="55"/>
      <c r="G81" s="55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</row>
    <row r="82" spans="1:28" ht="20.25" thickBot="1" x14ac:dyDescent="0.45">
      <c r="A82" s="55"/>
      <c r="B82" s="8"/>
      <c r="C82" s="8"/>
      <c r="D82" s="8"/>
      <c r="E82" s="55"/>
      <c r="F82" s="55"/>
      <c r="G82" s="55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</row>
    <row r="83" spans="1:28" ht="20.25" thickBot="1" x14ac:dyDescent="0.45">
      <c r="A83" s="55"/>
      <c r="B83" s="8"/>
      <c r="C83" s="8"/>
      <c r="D83" s="8"/>
      <c r="E83" s="55"/>
      <c r="F83" s="55"/>
      <c r="G83" s="55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</row>
    <row r="84" spans="1:28" ht="20.25" thickBot="1" x14ac:dyDescent="0.45">
      <c r="A84" s="55"/>
      <c r="B84" s="8"/>
      <c r="C84" s="8"/>
      <c r="D84" s="8"/>
      <c r="E84" s="55"/>
      <c r="F84" s="55"/>
      <c r="G84" s="55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</row>
    <row r="85" spans="1:28" ht="20.25" thickBot="1" x14ac:dyDescent="0.45">
      <c r="A85" s="55"/>
      <c r="B85" s="8"/>
      <c r="C85" s="8"/>
      <c r="D85" s="8"/>
      <c r="E85" s="55"/>
      <c r="F85" s="55"/>
      <c r="G85" s="55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</row>
    <row r="86" spans="1:28" ht="20.25" thickBot="1" x14ac:dyDescent="0.45">
      <c r="A86" s="55"/>
      <c r="B86" s="8"/>
      <c r="C86" s="8"/>
      <c r="D86" s="8"/>
      <c r="E86" s="55"/>
      <c r="F86" s="55"/>
      <c r="G86" s="55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</row>
    <row r="87" spans="1:28" ht="20.25" thickBot="1" x14ac:dyDescent="0.45">
      <c r="A87" s="55"/>
      <c r="B87" s="8"/>
      <c r="C87" s="8"/>
      <c r="D87" s="8"/>
      <c r="E87" s="55"/>
      <c r="F87" s="55"/>
      <c r="G87" s="55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</row>
    <row r="88" spans="1:28" ht="20.25" thickBot="1" x14ac:dyDescent="0.45">
      <c r="A88" s="55"/>
      <c r="B88" s="8"/>
      <c r="C88" s="8"/>
      <c r="D88" s="8"/>
      <c r="E88" s="55"/>
      <c r="F88" s="55"/>
      <c r="G88" s="55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</row>
    <row r="89" spans="1:28" ht="20.25" thickBot="1" x14ac:dyDescent="0.45">
      <c r="A89" s="55"/>
      <c r="B89" s="8"/>
      <c r="C89" s="8"/>
      <c r="D89" s="8"/>
      <c r="E89" s="55"/>
      <c r="F89" s="55"/>
      <c r="G89" s="55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</row>
    <row r="90" spans="1:28" ht="20.25" thickBot="1" x14ac:dyDescent="0.45">
      <c r="A90" s="55"/>
      <c r="B90" s="8"/>
      <c r="C90" s="8"/>
      <c r="D90" s="8"/>
      <c r="E90" s="55"/>
      <c r="F90" s="55"/>
      <c r="G90" s="55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</row>
    <row r="91" spans="1:28" ht="20.25" thickBot="1" x14ac:dyDescent="0.45">
      <c r="A91" s="55"/>
      <c r="B91" s="8"/>
      <c r="C91" s="8"/>
      <c r="D91" s="8"/>
      <c r="E91" s="55"/>
      <c r="F91" s="55"/>
      <c r="G91" s="55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</row>
    <row r="92" spans="1:28" ht="20.25" thickBot="1" x14ac:dyDescent="0.45">
      <c r="A92" s="55"/>
      <c r="B92" s="8"/>
      <c r="C92" s="8"/>
      <c r="D92" s="8"/>
      <c r="E92" s="55"/>
      <c r="F92" s="55"/>
      <c r="G92" s="55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</row>
    <row r="93" spans="1:28" ht="20.25" thickBot="1" x14ac:dyDescent="0.45">
      <c r="A93" s="55"/>
      <c r="B93" s="8"/>
      <c r="C93" s="8"/>
      <c r="D93" s="8"/>
      <c r="E93" s="55"/>
      <c r="F93" s="55"/>
      <c r="G93" s="55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</row>
    <row r="94" spans="1:28" ht="20.25" thickBot="1" x14ac:dyDescent="0.45">
      <c r="A94" s="55"/>
      <c r="B94" s="8"/>
      <c r="C94" s="8"/>
      <c r="D94" s="8"/>
      <c r="E94" s="55"/>
      <c r="F94" s="55"/>
      <c r="G94" s="55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</row>
    <row r="95" spans="1:28" ht="20.25" thickBot="1" x14ac:dyDescent="0.45">
      <c r="A95" s="55"/>
      <c r="B95" s="8"/>
      <c r="C95" s="8"/>
      <c r="D95" s="8"/>
      <c r="E95" s="55"/>
      <c r="F95" s="55"/>
      <c r="G95" s="55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</row>
    <row r="96" spans="1:28" ht="20.25" thickBot="1" x14ac:dyDescent="0.45">
      <c r="A96" s="55"/>
      <c r="B96" s="8"/>
      <c r="C96" s="8"/>
      <c r="D96" s="8"/>
      <c r="E96" s="55"/>
      <c r="F96" s="55"/>
      <c r="G96" s="55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</row>
    <row r="97" spans="1:28" ht="20.25" thickBot="1" x14ac:dyDescent="0.45">
      <c r="A97" s="55"/>
      <c r="B97" s="8"/>
      <c r="C97" s="8"/>
      <c r="D97" s="8"/>
      <c r="E97" s="55"/>
      <c r="F97" s="55"/>
      <c r="G97" s="55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</row>
    <row r="98" spans="1:28" ht="20.25" thickBot="1" x14ac:dyDescent="0.45">
      <c r="A98" s="55"/>
      <c r="B98" s="8"/>
      <c r="C98" s="8"/>
      <c r="D98" s="8"/>
      <c r="E98" s="55"/>
      <c r="F98" s="55"/>
      <c r="G98" s="55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</row>
    <row r="99" spans="1:28" ht="20.25" thickBot="1" x14ac:dyDescent="0.45">
      <c r="A99" s="55"/>
      <c r="B99" s="8"/>
      <c r="C99" s="8"/>
      <c r="D99" s="8"/>
      <c r="E99" s="55"/>
      <c r="F99" s="55"/>
      <c r="G99" s="55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</row>
    <row r="100" spans="1:28" ht="20.25" thickBot="1" x14ac:dyDescent="0.45">
      <c r="A100" s="55"/>
      <c r="B100" s="8"/>
      <c r="C100" s="8"/>
      <c r="D100" s="8"/>
      <c r="E100" s="55"/>
      <c r="F100" s="55"/>
      <c r="G100" s="55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</row>
    <row r="101" spans="1:28" ht="20.25" thickBot="1" x14ac:dyDescent="0.45">
      <c r="A101" s="55"/>
      <c r="B101" s="8"/>
      <c r="C101" s="8"/>
      <c r="D101" s="8"/>
      <c r="E101" s="55"/>
      <c r="F101" s="55"/>
      <c r="G101" s="55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</row>
    <row r="102" spans="1:28" ht="20.25" thickBot="1" x14ac:dyDescent="0.45">
      <c r="A102" s="55"/>
      <c r="B102" s="8"/>
      <c r="C102" s="8"/>
      <c r="D102" s="8"/>
      <c r="E102" s="55"/>
      <c r="F102" s="55"/>
      <c r="G102" s="55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</row>
    <row r="103" spans="1:28" ht="20.25" thickBot="1" x14ac:dyDescent="0.45">
      <c r="A103" s="55"/>
      <c r="B103" s="8"/>
      <c r="C103" s="8"/>
      <c r="D103" s="8"/>
      <c r="E103" s="55"/>
      <c r="F103" s="55"/>
      <c r="G103" s="55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</row>
    <row r="104" spans="1:28" ht="20.25" thickBot="1" x14ac:dyDescent="0.45">
      <c r="A104" s="55"/>
      <c r="B104" s="8"/>
      <c r="C104" s="8"/>
      <c r="D104" s="8"/>
      <c r="E104" s="55"/>
      <c r="F104" s="55"/>
      <c r="G104" s="55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</row>
    <row r="105" spans="1:28" ht="20.25" thickBot="1" x14ac:dyDescent="0.45">
      <c r="A105" s="55"/>
      <c r="B105" s="8"/>
      <c r="C105" s="8"/>
      <c r="D105" s="8"/>
      <c r="E105" s="55"/>
      <c r="F105" s="55"/>
      <c r="G105" s="55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</row>
    <row r="106" spans="1:28" ht="20.25" thickBot="1" x14ac:dyDescent="0.45">
      <c r="A106" s="55"/>
      <c r="B106" s="8"/>
      <c r="C106" s="8"/>
      <c r="D106" s="8"/>
      <c r="E106" s="55"/>
      <c r="F106" s="55"/>
      <c r="G106" s="55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</row>
    <row r="107" spans="1:28" ht="20.25" thickBot="1" x14ac:dyDescent="0.45">
      <c r="A107" s="55"/>
      <c r="B107" s="8"/>
      <c r="C107" s="8"/>
      <c r="D107" s="8"/>
      <c r="E107" s="55"/>
      <c r="F107" s="55"/>
      <c r="G107" s="55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</row>
    <row r="108" spans="1:28" ht="20.25" thickBot="1" x14ac:dyDescent="0.45">
      <c r="A108" s="55"/>
      <c r="B108" s="8"/>
      <c r="C108" s="8"/>
      <c r="D108" s="8"/>
      <c r="E108" s="55"/>
      <c r="F108" s="55"/>
      <c r="G108" s="55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</row>
    <row r="109" spans="1:28" ht="20.25" thickBot="1" x14ac:dyDescent="0.45">
      <c r="A109" s="55"/>
      <c r="B109" s="8"/>
      <c r="C109" s="8"/>
      <c r="D109" s="8"/>
      <c r="E109" s="55"/>
      <c r="F109" s="55"/>
      <c r="G109" s="55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</row>
    <row r="110" spans="1:28" ht="20.25" thickBot="1" x14ac:dyDescent="0.45">
      <c r="A110" s="55"/>
      <c r="B110" s="8"/>
      <c r="C110" s="8"/>
      <c r="D110" s="8"/>
      <c r="E110" s="55"/>
      <c r="F110" s="55"/>
      <c r="G110" s="55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</row>
    <row r="111" spans="1:28" ht="20.25" thickBot="1" x14ac:dyDescent="0.45">
      <c r="A111" s="55"/>
      <c r="B111" s="8"/>
      <c r="C111" s="8"/>
      <c r="D111" s="8"/>
      <c r="E111" s="55"/>
      <c r="F111" s="55"/>
      <c r="G111" s="55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</row>
    <row r="112" spans="1:28" ht="20.25" thickBot="1" x14ac:dyDescent="0.45">
      <c r="A112" s="55"/>
      <c r="B112" s="8"/>
      <c r="C112" s="8"/>
      <c r="D112" s="8"/>
      <c r="E112" s="55"/>
      <c r="F112" s="55"/>
      <c r="G112" s="55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</row>
    <row r="113" spans="1:28" ht="20.25" thickBot="1" x14ac:dyDescent="0.45">
      <c r="A113" s="55"/>
      <c r="B113" s="8"/>
      <c r="C113" s="8"/>
      <c r="D113" s="8"/>
      <c r="E113" s="55"/>
      <c r="F113" s="55"/>
      <c r="G113" s="55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</row>
    <row r="114" spans="1:28" ht="20.25" thickBot="1" x14ac:dyDescent="0.45">
      <c r="A114" s="55"/>
      <c r="B114" s="8"/>
      <c r="C114" s="8"/>
      <c r="D114" s="8"/>
      <c r="E114" s="55"/>
      <c r="F114" s="55"/>
      <c r="G114" s="55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</row>
    <row r="115" spans="1:28" ht="20.25" thickBot="1" x14ac:dyDescent="0.45">
      <c r="A115" s="55"/>
      <c r="B115" s="8"/>
      <c r="C115" s="8"/>
      <c r="D115" s="8"/>
      <c r="E115" s="55"/>
      <c r="F115" s="55"/>
      <c r="G115" s="55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</row>
    <row r="116" spans="1:28" ht="20.25" thickBot="1" x14ac:dyDescent="0.45">
      <c r="A116" s="55"/>
      <c r="B116" s="8"/>
      <c r="C116" s="8"/>
      <c r="D116" s="8"/>
      <c r="E116" s="55"/>
      <c r="F116" s="55"/>
      <c r="G116" s="55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</row>
    <row r="117" spans="1:28" ht="20.25" thickBot="1" x14ac:dyDescent="0.45">
      <c r="A117" s="55"/>
      <c r="B117" s="8"/>
      <c r="C117" s="8"/>
      <c r="D117" s="8"/>
      <c r="E117" s="55"/>
      <c r="F117" s="55"/>
      <c r="G117" s="55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</row>
    <row r="118" spans="1:28" ht="20.25" thickBot="1" x14ac:dyDescent="0.45">
      <c r="A118" s="55"/>
      <c r="B118" s="8"/>
      <c r="C118" s="8"/>
      <c r="D118" s="8"/>
      <c r="E118" s="55"/>
      <c r="F118" s="55"/>
      <c r="G118" s="55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</row>
    <row r="119" spans="1:28" ht="20.25" thickBot="1" x14ac:dyDescent="0.45">
      <c r="A119" s="55"/>
      <c r="B119" s="8"/>
      <c r="C119" s="8"/>
      <c r="D119" s="8"/>
      <c r="E119" s="55"/>
      <c r="F119" s="55"/>
      <c r="G119" s="55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</row>
    <row r="120" spans="1:28" ht="20.25" thickBot="1" x14ac:dyDescent="0.45">
      <c r="A120" s="55"/>
      <c r="B120" s="8"/>
      <c r="C120" s="8"/>
      <c r="D120" s="8"/>
      <c r="E120" s="55"/>
      <c r="F120" s="55"/>
      <c r="G120" s="55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</row>
    <row r="121" spans="1:28" ht="20.25" thickBot="1" x14ac:dyDescent="0.45">
      <c r="A121" s="55"/>
      <c r="B121" s="8"/>
      <c r="C121" s="8"/>
      <c r="D121" s="8"/>
      <c r="E121" s="55"/>
      <c r="F121" s="55"/>
      <c r="G121" s="55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</row>
    <row r="122" spans="1:28" ht="20.25" thickBot="1" x14ac:dyDescent="0.45">
      <c r="A122" s="55"/>
      <c r="B122" s="8"/>
      <c r="C122" s="8"/>
      <c r="D122" s="8"/>
      <c r="E122" s="55"/>
      <c r="F122" s="55"/>
      <c r="G122" s="55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</row>
    <row r="123" spans="1:28" ht="20.25" thickBot="1" x14ac:dyDescent="0.45">
      <c r="A123" s="55"/>
      <c r="B123" s="8"/>
      <c r="C123" s="8"/>
      <c r="D123" s="8"/>
      <c r="E123" s="55"/>
      <c r="F123" s="55"/>
      <c r="G123" s="55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</row>
    <row r="124" spans="1:28" ht="20.25" thickBot="1" x14ac:dyDescent="0.45">
      <c r="A124" s="55"/>
      <c r="B124" s="8"/>
      <c r="C124" s="8"/>
      <c r="D124" s="8"/>
      <c r="E124" s="55"/>
      <c r="F124" s="55"/>
      <c r="G124" s="55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</row>
    <row r="125" spans="1:28" ht="20.25" thickBot="1" x14ac:dyDescent="0.45">
      <c r="A125" s="55"/>
      <c r="B125" s="8"/>
      <c r="C125" s="8"/>
      <c r="D125" s="8"/>
      <c r="E125" s="55"/>
      <c r="F125" s="55"/>
      <c r="G125" s="55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</row>
    <row r="126" spans="1:28" ht="20.25" thickBot="1" x14ac:dyDescent="0.45">
      <c r="A126" s="55"/>
      <c r="B126" s="8"/>
      <c r="C126" s="8"/>
      <c r="D126" s="8"/>
      <c r="E126" s="55"/>
      <c r="F126" s="55"/>
      <c r="G126" s="55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</row>
    <row r="127" spans="1:28" ht="20.25" thickBot="1" x14ac:dyDescent="0.45">
      <c r="A127" s="55"/>
      <c r="B127" s="8"/>
      <c r="C127" s="8"/>
      <c r="D127" s="8"/>
      <c r="E127" s="55"/>
      <c r="F127" s="55"/>
      <c r="G127" s="55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</row>
    <row r="128" spans="1:28" ht="20.25" thickBot="1" x14ac:dyDescent="0.45">
      <c r="A128" s="55"/>
      <c r="B128" s="8"/>
      <c r="C128" s="8"/>
      <c r="D128" s="8"/>
      <c r="E128" s="55"/>
      <c r="F128" s="55"/>
      <c r="G128" s="55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</row>
    <row r="129" spans="1:28" ht="20.25" thickBot="1" x14ac:dyDescent="0.45">
      <c r="A129" s="55"/>
      <c r="B129" s="8"/>
      <c r="C129" s="8"/>
      <c r="D129" s="8"/>
      <c r="E129" s="55"/>
      <c r="F129" s="55"/>
      <c r="G129" s="55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</row>
    <row r="130" spans="1:28" ht="20.25" thickBot="1" x14ac:dyDescent="0.45">
      <c r="A130" s="55"/>
      <c r="B130" s="8"/>
      <c r="C130" s="8"/>
      <c r="D130" s="8"/>
      <c r="E130" s="55"/>
      <c r="F130" s="55"/>
      <c r="G130" s="55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</row>
    <row r="131" spans="1:28" ht="20.25" thickBot="1" x14ac:dyDescent="0.45">
      <c r="A131" s="55"/>
      <c r="B131" s="8"/>
      <c r="C131" s="8"/>
      <c r="D131" s="8"/>
      <c r="E131" s="55"/>
      <c r="F131" s="55"/>
      <c r="G131" s="55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</row>
    <row r="132" spans="1:28" ht="20.25" thickBot="1" x14ac:dyDescent="0.45">
      <c r="A132" s="55"/>
      <c r="B132" s="8"/>
      <c r="C132" s="8"/>
      <c r="D132" s="8"/>
      <c r="E132" s="55"/>
      <c r="F132" s="55"/>
      <c r="G132" s="55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</row>
    <row r="133" spans="1:28" ht="20.25" thickBot="1" x14ac:dyDescent="0.45">
      <c r="A133" s="55"/>
      <c r="B133" s="8"/>
      <c r="C133" s="8"/>
      <c r="D133" s="8"/>
      <c r="E133" s="55"/>
      <c r="F133" s="55"/>
      <c r="G133" s="55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</row>
    <row r="134" spans="1:28" ht="20.25" thickBot="1" x14ac:dyDescent="0.45">
      <c r="A134" s="55"/>
      <c r="B134" s="8"/>
      <c r="C134" s="8"/>
      <c r="D134" s="8"/>
      <c r="E134" s="55"/>
      <c r="F134" s="55"/>
      <c r="G134" s="55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</row>
    <row r="135" spans="1:28" ht="20.25" thickBot="1" x14ac:dyDescent="0.45">
      <c r="A135" s="55"/>
      <c r="B135" s="8"/>
      <c r="C135" s="8"/>
      <c r="D135" s="8"/>
      <c r="E135" s="55"/>
      <c r="F135" s="55"/>
      <c r="G135" s="55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</row>
    <row r="136" spans="1:28" ht="20.25" thickBot="1" x14ac:dyDescent="0.45">
      <c r="A136" s="55"/>
      <c r="B136" s="8"/>
      <c r="C136" s="8"/>
      <c r="D136" s="8"/>
      <c r="E136" s="55"/>
      <c r="F136" s="55"/>
      <c r="G136" s="55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</row>
    <row r="137" spans="1:28" ht="20.25" thickBot="1" x14ac:dyDescent="0.45">
      <c r="A137" s="55"/>
      <c r="B137" s="8"/>
      <c r="C137" s="8"/>
      <c r="D137" s="8"/>
      <c r="E137" s="55"/>
      <c r="F137" s="55"/>
      <c r="G137" s="55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</row>
    <row r="138" spans="1:28" ht="20.25" thickBot="1" x14ac:dyDescent="0.45">
      <c r="A138" s="55"/>
      <c r="B138" s="8"/>
      <c r="C138" s="8"/>
      <c r="D138" s="8"/>
      <c r="E138" s="55"/>
      <c r="F138" s="55"/>
      <c r="G138" s="55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</row>
    <row r="139" spans="1:28" ht="20.25" thickBot="1" x14ac:dyDescent="0.45">
      <c r="A139" s="55"/>
      <c r="B139" s="8"/>
      <c r="C139" s="8"/>
      <c r="D139" s="8"/>
      <c r="E139" s="55"/>
      <c r="F139" s="55"/>
      <c r="G139" s="55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</row>
    <row r="140" spans="1:28" ht="20.25" thickBot="1" x14ac:dyDescent="0.45">
      <c r="A140" s="55"/>
      <c r="B140" s="8"/>
      <c r="C140" s="8"/>
      <c r="D140" s="8"/>
      <c r="E140" s="55"/>
      <c r="F140" s="55"/>
      <c r="G140" s="55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</row>
    <row r="141" spans="1:28" ht="20.25" thickBot="1" x14ac:dyDescent="0.45">
      <c r="A141" s="55"/>
      <c r="B141" s="8"/>
      <c r="C141" s="8"/>
      <c r="D141" s="8"/>
      <c r="E141" s="55"/>
      <c r="F141" s="55"/>
      <c r="G141" s="55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</row>
    <row r="142" spans="1:28" ht="20.25" thickBot="1" x14ac:dyDescent="0.45">
      <c r="A142" s="55"/>
      <c r="B142" s="8"/>
      <c r="C142" s="8"/>
      <c r="D142" s="8"/>
      <c r="E142" s="55"/>
      <c r="F142" s="55"/>
      <c r="G142" s="55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</row>
    <row r="143" spans="1:28" ht="20.25" thickBot="1" x14ac:dyDescent="0.45">
      <c r="A143" s="55"/>
      <c r="B143" s="8"/>
      <c r="C143" s="8"/>
      <c r="D143" s="8"/>
      <c r="E143" s="55"/>
      <c r="F143" s="55"/>
      <c r="G143" s="55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</row>
    <row r="144" spans="1:28" ht="20.25" thickBot="1" x14ac:dyDescent="0.45">
      <c r="A144" s="55"/>
      <c r="B144" s="8"/>
      <c r="C144" s="8"/>
      <c r="D144" s="8"/>
      <c r="E144" s="55"/>
      <c r="F144" s="55"/>
      <c r="G144" s="55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</row>
    <row r="145" spans="1:28" ht="20.25" thickBot="1" x14ac:dyDescent="0.45">
      <c r="A145" s="55"/>
      <c r="B145" s="8"/>
      <c r="C145" s="8"/>
      <c r="D145" s="8"/>
      <c r="E145" s="55"/>
      <c r="F145" s="55"/>
      <c r="G145" s="55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</row>
    <row r="146" spans="1:28" ht="20.25" thickBot="1" x14ac:dyDescent="0.45">
      <c r="A146" s="55"/>
      <c r="B146" s="8"/>
      <c r="C146" s="8"/>
      <c r="D146" s="8"/>
      <c r="E146" s="55"/>
      <c r="F146" s="55"/>
      <c r="G146" s="55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</row>
    <row r="147" spans="1:28" ht="20.25" thickBot="1" x14ac:dyDescent="0.45">
      <c r="A147" s="55"/>
      <c r="B147" s="8"/>
      <c r="C147" s="8"/>
      <c r="D147" s="8"/>
      <c r="E147" s="55"/>
      <c r="F147" s="55"/>
      <c r="G147" s="55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</row>
    <row r="148" spans="1:28" ht="20.25" thickBot="1" x14ac:dyDescent="0.45">
      <c r="A148" s="55"/>
      <c r="B148" s="8"/>
      <c r="C148" s="8"/>
      <c r="D148" s="8"/>
      <c r="E148" s="55"/>
      <c r="F148" s="55"/>
      <c r="G148" s="55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</row>
    <row r="149" spans="1:28" ht="20.25" thickBot="1" x14ac:dyDescent="0.45">
      <c r="A149" s="55"/>
      <c r="B149" s="8"/>
      <c r="C149" s="8"/>
      <c r="D149" s="8"/>
      <c r="E149" s="55"/>
      <c r="F149" s="55"/>
      <c r="G149" s="55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</row>
    <row r="150" spans="1:28" ht="20.25" thickBot="1" x14ac:dyDescent="0.45">
      <c r="A150" s="55"/>
      <c r="B150" s="8"/>
      <c r="C150" s="8"/>
      <c r="D150" s="8"/>
      <c r="E150" s="55"/>
      <c r="F150" s="55"/>
      <c r="G150" s="55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</row>
    <row r="151" spans="1:28" ht="20.25" thickBot="1" x14ac:dyDescent="0.45">
      <c r="A151" s="55"/>
      <c r="B151" s="8"/>
      <c r="C151" s="8"/>
      <c r="D151" s="8"/>
      <c r="E151" s="55"/>
      <c r="F151" s="55"/>
      <c r="G151" s="55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</row>
    <row r="152" spans="1:28" ht="20.25" thickBot="1" x14ac:dyDescent="0.45">
      <c r="A152" s="55"/>
      <c r="B152" s="8"/>
      <c r="C152" s="8"/>
      <c r="D152" s="8"/>
      <c r="E152" s="55"/>
      <c r="F152" s="55"/>
      <c r="G152" s="55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</row>
    <row r="153" spans="1:28" ht="20.25" thickBot="1" x14ac:dyDescent="0.45">
      <c r="A153" s="55"/>
      <c r="B153" s="8"/>
      <c r="C153" s="8"/>
      <c r="D153" s="8"/>
      <c r="E153" s="55"/>
      <c r="F153" s="55"/>
      <c r="G153" s="55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</row>
    <row r="154" spans="1:28" ht="20.25" thickBot="1" x14ac:dyDescent="0.45">
      <c r="A154" s="55"/>
      <c r="B154" s="8"/>
      <c r="C154" s="8"/>
      <c r="D154" s="8"/>
      <c r="E154" s="55"/>
      <c r="F154" s="55"/>
      <c r="G154" s="55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</row>
    <row r="155" spans="1:28" ht="20.25" thickBot="1" x14ac:dyDescent="0.45">
      <c r="A155" s="55"/>
      <c r="B155" s="8"/>
      <c r="C155" s="8"/>
      <c r="D155" s="8"/>
      <c r="E155" s="55"/>
      <c r="F155" s="55"/>
      <c r="G155" s="55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</row>
    <row r="156" spans="1:28" ht="20.25" thickBot="1" x14ac:dyDescent="0.45">
      <c r="A156" s="55"/>
      <c r="B156" s="8"/>
      <c r="C156" s="8"/>
      <c r="D156" s="8"/>
      <c r="E156" s="55"/>
      <c r="F156" s="55"/>
      <c r="G156" s="55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</row>
    <row r="157" spans="1:28" ht="20.25" thickBot="1" x14ac:dyDescent="0.45">
      <c r="A157" s="55"/>
      <c r="B157" s="8"/>
      <c r="C157" s="8"/>
      <c r="D157" s="8"/>
      <c r="E157" s="55"/>
      <c r="F157" s="55"/>
      <c r="G157" s="55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</row>
    <row r="158" spans="1:28" ht="20.25" thickBot="1" x14ac:dyDescent="0.45">
      <c r="A158" s="55"/>
      <c r="B158" s="8"/>
      <c r="C158" s="8"/>
      <c r="D158" s="8"/>
      <c r="E158" s="55"/>
      <c r="F158" s="55"/>
      <c r="G158" s="55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</row>
    <row r="159" spans="1:28" ht="20.25" thickBot="1" x14ac:dyDescent="0.45">
      <c r="A159" s="55"/>
      <c r="B159" s="8"/>
      <c r="C159" s="8"/>
      <c r="D159" s="8"/>
      <c r="E159" s="55"/>
      <c r="F159" s="55"/>
      <c r="G159" s="55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</row>
    <row r="160" spans="1:28" ht="20.25" thickBot="1" x14ac:dyDescent="0.45">
      <c r="A160" s="55"/>
      <c r="B160" s="8"/>
      <c r="C160" s="8"/>
      <c r="D160" s="8"/>
      <c r="E160" s="55"/>
      <c r="F160" s="55"/>
      <c r="G160" s="55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</row>
    <row r="161" spans="1:28" ht="20.25" thickBot="1" x14ac:dyDescent="0.45">
      <c r="A161" s="55"/>
      <c r="B161" s="8"/>
      <c r="C161" s="8"/>
      <c r="D161" s="8"/>
      <c r="E161" s="55"/>
      <c r="F161" s="55"/>
      <c r="G161" s="55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</row>
    <row r="162" spans="1:28" ht="20.25" thickBot="1" x14ac:dyDescent="0.45">
      <c r="A162" s="55"/>
      <c r="B162" s="8"/>
      <c r="C162" s="8"/>
      <c r="D162" s="8"/>
      <c r="E162" s="55"/>
      <c r="F162" s="55"/>
      <c r="G162" s="55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</row>
    <row r="163" spans="1:28" ht="20.25" thickBot="1" x14ac:dyDescent="0.45">
      <c r="A163" s="55"/>
      <c r="B163" s="8"/>
      <c r="C163" s="8"/>
      <c r="D163" s="8"/>
      <c r="E163" s="55"/>
      <c r="F163" s="55"/>
      <c r="G163" s="55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</row>
    <row r="164" spans="1:28" ht="20.25" thickBot="1" x14ac:dyDescent="0.45">
      <c r="A164" s="55"/>
      <c r="B164" s="8"/>
      <c r="C164" s="8"/>
      <c r="D164" s="8"/>
      <c r="E164" s="55"/>
      <c r="F164" s="55"/>
      <c r="G164" s="55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</row>
    <row r="165" spans="1:28" ht="20.25" thickBot="1" x14ac:dyDescent="0.45">
      <c r="A165" s="55"/>
      <c r="B165" s="8"/>
      <c r="C165" s="8"/>
      <c r="D165" s="8"/>
      <c r="E165" s="55"/>
      <c r="F165" s="55"/>
      <c r="G165" s="55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</row>
    <row r="166" spans="1:28" ht="20.25" thickBot="1" x14ac:dyDescent="0.45">
      <c r="A166" s="55"/>
      <c r="B166" s="8"/>
      <c r="C166" s="8"/>
      <c r="D166" s="8"/>
      <c r="E166" s="55"/>
      <c r="F166" s="55"/>
      <c r="G166" s="55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AA166" s="8"/>
      <c r="AB166" s="8"/>
    </row>
  </sheetData>
  <sortState xmlns:xlrd2="http://schemas.microsoft.com/office/spreadsheetml/2017/richdata2" ref="A2:AB166">
    <sortCondition ref="G2:G166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9F429-551A-4B25-AED3-095E1F9A25B8}">
  <dimension ref="A1:E48"/>
  <sheetViews>
    <sheetView topLeftCell="A3" workbookViewId="0">
      <selection activeCell="J11" sqref="J11"/>
    </sheetView>
  </sheetViews>
  <sheetFormatPr defaultRowHeight="19.5" x14ac:dyDescent="0.4"/>
  <cols>
    <col min="1" max="1" width="11.5" style="61" bestFit="1" customWidth="1"/>
    <col min="2" max="2" width="12.25" style="61" customWidth="1"/>
    <col min="3" max="3" width="13.125" style="61" customWidth="1"/>
    <col min="4" max="4" width="30.375" style="19" customWidth="1"/>
    <col min="5" max="5" width="32.625" style="19" customWidth="1"/>
    <col min="6" max="16384" width="9" style="19"/>
  </cols>
  <sheetData>
    <row r="1" spans="1:5" ht="25.5" x14ac:dyDescent="0.4">
      <c r="A1" s="49" t="s">
        <v>84</v>
      </c>
      <c r="B1" s="49" t="s">
        <v>12</v>
      </c>
      <c r="C1" s="49" t="s">
        <v>13</v>
      </c>
      <c r="D1" s="49" t="s">
        <v>21</v>
      </c>
      <c r="E1" s="49" t="s">
        <v>22</v>
      </c>
    </row>
    <row r="2" spans="1:5" ht="25.5" x14ac:dyDescent="0.4">
      <c r="A2" s="62">
        <v>5106281</v>
      </c>
      <c r="B2" s="62" t="s">
        <v>415</v>
      </c>
      <c r="C2" s="62" t="s">
        <v>26</v>
      </c>
      <c r="D2" s="63" t="s">
        <v>90</v>
      </c>
      <c r="E2" s="63" t="s">
        <v>91</v>
      </c>
    </row>
    <row r="3" spans="1:5" ht="38.25" x14ac:dyDescent="0.4">
      <c r="A3" s="62">
        <v>5107065</v>
      </c>
      <c r="B3" s="62" t="s">
        <v>416</v>
      </c>
      <c r="C3" s="62" t="s">
        <v>28</v>
      </c>
      <c r="D3" s="63" t="s">
        <v>98</v>
      </c>
      <c r="E3" s="63" t="s">
        <v>99</v>
      </c>
    </row>
    <row r="4" spans="1:5" x14ac:dyDescent="0.4">
      <c r="A4" s="62">
        <v>5102702</v>
      </c>
      <c r="B4" s="62" t="s">
        <v>417</v>
      </c>
      <c r="C4" s="62" t="s">
        <v>28</v>
      </c>
      <c r="D4" s="63" t="s">
        <v>105</v>
      </c>
      <c r="E4" s="63" t="s">
        <v>106</v>
      </c>
    </row>
    <row r="5" spans="1:5" ht="25.5" x14ac:dyDescent="0.4">
      <c r="A5" s="62">
        <v>5107180</v>
      </c>
      <c r="B5" s="62" t="s">
        <v>418</v>
      </c>
      <c r="C5" s="62" t="s">
        <v>28</v>
      </c>
      <c r="D5" s="63" t="s">
        <v>113</v>
      </c>
      <c r="E5" s="63" t="s">
        <v>114</v>
      </c>
    </row>
    <row r="6" spans="1:5" x14ac:dyDescent="0.4">
      <c r="A6" s="62">
        <v>5103353</v>
      </c>
      <c r="B6" s="62" t="s">
        <v>419</v>
      </c>
      <c r="C6" s="62" t="s">
        <v>28</v>
      </c>
      <c r="D6" s="63" t="s">
        <v>121</v>
      </c>
      <c r="E6" s="63" t="s">
        <v>122</v>
      </c>
    </row>
    <row r="7" spans="1:5" x14ac:dyDescent="0.4">
      <c r="A7" s="62">
        <v>5203104</v>
      </c>
      <c r="B7" s="62" t="s">
        <v>420</v>
      </c>
      <c r="C7" s="62" t="s">
        <v>28</v>
      </c>
      <c r="D7" s="63" t="s">
        <v>129</v>
      </c>
      <c r="E7" s="63" t="s">
        <v>130</v>
      </c>
    </row>
    <row r="8" spans="1:5" x14ac:dyDescent="0.4">
      <c r="A8" s="62">
        <v>5102702</v>
      </c>
      <c r="B8" s="62" t="s">
        <v>417</v>
      </c>
      <c r="C8" s="62" t="s">
        <v>28</v>
      </c>
      <c r="D8" s="63" t="s">
        <v>135</v>
      </c>
      <c r="E8" s="63" t="s">
        <v>136</v>
      </c>
    </row>
    <row r="9" spans="1:5" ht="25.5" x14ac:dyDescent="0.4">
      <c r="A9" s="62">
        <v>5106281</v>
      </c>
      <c r="B9" s="62" t="s">
        <v>415</v>
      </c>
      <c r="C9" s="62" t="s">
        <v>28</v>
      </c>
      <c r="D9" s="63" t="s">
        <v>143</v>
      </c>
      <c r="E9" s="63" t="s">
        <v>144</v>
      </c>
    </row>
    <row r="10" spans="1:5" ht="25.5" x14ac:dyDescent="0.4">
      <c r="A10" s="62">
        <v>5203104</v>
      </c>
      <c r="B10" s="62" t="s">
        <v>420</v>
      </c>
      <c r="C10" s="62" t="s">
        <v>28</v>
      </c>
      <c r="D10" s="63" t="s">
        <v>150</v>
      </c>
      <c r="E10" s="63" t="s">
        <v>151</v>
      </c>
    </row>
    <row r="11" spans="1:5" x14ac:dyDescent="0.4">
      <c r="A11" s="62">
        <v>5100359</v>
      </c>
      <c r="B11" s="62" t="s">
        <v>421</v>
      </c>
      <c r="C11" s="62" t="s">
        <v>28</v>
      </c>
      <c r="D11" s="63" t="s">
        <v>156</v>
      </c>
      <c r="E11" s="63" t="s">
        <v>157</v>
      </c>
    </row>
    <row r="12" spans="1:5" x14ac:dyDescent="0.4">
      <c r="A12" s="62">
        <v>5107065</v>
      </c>
      <c r="B12" s="62" t="s">
        <v>416</v>
      </c>
      <c r="C12" s="62" t="s">
        <v>28</v>
      </c>
      <c r="D12" s="63" t="s">
        <v>163</v>
      </c>
      <c r="E12" s="63" t="s">
        <v>164</v>
      </c>
    </row>
    <row r="13" spans="1:5" x14ac:dyDescent="0.4">
      <c r="A13" s="62">
        <v>5103353</v>
      </c>
      <c r="B13" s="62" t="s">
        <v>419</v>
      </c>
      <c r="C13" s="62" t="s">
        <v>28</v>
      </c>
      <c r="D13" s="63" t="s">
        <v>171</v>
      </c>
      <c r="E13" s="63" t="s">
        <v>172</v>
      </c>
    </row>
    <row r="14" spans="1:5" ht="25.5" x14ac:dyDescent="0.4">
      <c r="A14" s="62">
        <v>5203104</v>
      </c>
      <c r="B14" s="62" t="s">
        <v>420</v>
      </c>
      <c r="C14" s="62" t="s">
        <v>28</v>
      </c>
      <c r="D14" s="63" t="s">
        <v>177</v>
      </c>
      <c r="E14" s="63" t="s">
        <v>178</v>
      </c>
    </row>
    <row r="15" spans="1:5" x14ac:dyDescent="0.4">
      <c r="A15" s="62">
        <v>5107065</v>
      </c>
      <c r="B15" s="62" t="s">
        <v>416</v>
      </c>
      <c r="C15" s="62" t="s">
        <v>26</v>
      </c>
      <c r="D15" s="63" t="s">
        <v>183</v>
      </c>
      <c r="E15" s="63" t="s">
        <v>184</v>
      </c>
    </row>
    <row r="16" spans="1:5" ht="25.5" x14ac:dyDescent="0.4">
      <c r="A16" s="62">
        <v>5106778</v>
      </c>
      <c r="B16" s="62" t="s">
        <v>422</v>
      </c>
      <c r="C16" s="62" t="s">
        <v>26</v>
      </c>
      <c r="D16" s="63" t="s">
        <v>190</v>
      </c>
      <c r="E16" s="63" t="s">
        <v>191</v>
      </c>
    </row>
    <row r="17" spans="1:5" ht="25.5" x14ac:dyDescent="0.4">
      <c r="A17" s="62">
        <v>5201702</v>
      </c>
      <c r="B17" s="62" t="s">
        <v>423</v>
      </c>
      <c r="C17" s="62" t="s">
        <v>28</v>
      </c>
      <c r="D17" s="63" t="s">
        <v>197</v>
      </c>
      <c r="E17" s="63" t="s">
        <v>198</v>
      </c>
    </row>
    <row r="18" spans="1:5" ht="25.5" x14ac:dyDescent="0.4">
      <c r="A18" s="62">
        <v>5106653</v>
      </c>
      <c r="B18" s="62" t="s">
        <v>424</v>
      </c>
      <c r="C18" s="62" t="s">
        <v>28</v>
      </c>
      <c r="D18" s="63" t="s">
        <v>205</v>
      </c>
      <c r="E18" s="63" t="s">
        <v>206</v>
      </c>
    </row>
    <row r="19" spans="1:5" ht="25.5" x14ac:dyDescent="0.4">
      <c r="A19" s="62">
        <v>5107180</v>
      </c>
      <c r="B19" s="62" t="s">
        <v>418</v>
      </c>
      <c r="C19" s="62" t="s">
        <v>26</v>
      </c>
      <c r="D19" s="63" t="s">
        <v>211</v>
      </c>
      <c r="E19" s="63" t="s">
        <v>106</v>
      </c>
    </row>
    <row r="20" spans="1:5" x14ac:dyDescent="0.4">
      <c r="A20" s="62">
        <v>5100201</v>
      </c>
      <c r="B20" s="62" t="s">
        <v>425</v>
      </c>
      <c r="C20" s="62" t="s">
        <v>28</v>
      </c>
      <c r="D20" s="63" t="s">
        <v>217</v>
      </c>
      <c r="E20" s="63" t="s">
        <v>218</v>
      </c>
    </row>
    <row r="21" spans="1:5" ht="38.25" x14ac:dyDescent="0.4">
      <c r="A21" s="62">
        <v>5107065</v>
      </c>
      <c r="B21" s="62" t="s">
        <v>416</v>
      </c>
      <c r="C21" s="62" t="s">
        <v>26</v>
      </c>
      <c r="D21" s="63" t="s">
        <v>223</v>
      </c>
      <c r="E21" s="63" t="s">
        <v>224</v>
      </c>
    </row>
    <row r="22" spans="1:5" x14ac:dyDescent="0.4">
      <c r="A22" s="62">
        <v>5100201</v>
      </c>
      <c r="B22" s="62" t="s">
        <v>425</v>
      </c>
      <c r="C22" s="62" t="s">
        <v>28</v>
      </c>
      <c r="D22" s="63" t="s">
        <v>229</v>
      </c>
      <c r="E22" s="63" t="s">
        <v>230</v>
      </c>
    </row>
    <row r="23" spans="1:5" x14ac:dyDescent="0.4">
      <c r="A23" s="62">
        <v>5103353</v>
      </c>
      <c r="B23" s="62" t="s">
        <v>419</v>
      </c>
      <c r="C23" s="62" t="s">
        <v>26</v>
      </c>
      <c r="D23" s="63" t="s">
        <v>237</v>
      </c>
      <c r="E23" s="63" t="s">
        <v>238</v>
      </c>
    </row>
    <row r="24" spans="1:5" ht="25.5" x14ac:dyDescent="0.4">
      <c r="A24" s="62">
        <v>5213707</v>
      </c>
      <c r="B24" s="62" t="s">
        <v>426</v>
      </c>
      <c r="C24" s="62" t="s">
        <v>28</v>
      </c>
      <c r="D24" s="63" t="s">
        <v>245</v>
      </c>
      <c r="E24" s="63" t="s">
        <v>246</v>
      </c>
    </row>
    <row r="25" spans="1:5" ht="38.25" x14ac:dyDescent="0.4">
      <c r="A25" s="62">
        <v>5106653</v>
      </c>
      <c r="B25" s="62" t="s">
        <v>424</v>
      </c>
      <c r="C25" s="62" t="s">
        <v>26</v>
      </c>
      <c r="D25" s="63" t="s">
        <v>251</v>
      </c>
      <c r="E25" s="63" t="s">
        <v>252</v>
      </c>
    </row>
    <row r="26" spans="1:5" x14ac:dyDescent="0.4">
      <c r="A26" s="62">
        <v>5102702</v>
      </c>
      <c r="B26" s="62" t="s">
        <v>417</v>
      </c>
      <c r="C26" s="62" t="s">
        <v>26</v>
      </c>
      <c r="D26" s="63" t="s">
        <v>257</v>
      </c>
      <c r="E26" s="63" t="s">
        <v>258</v>
      </c>
    </row>
    <row r="27" spans="1:5" ht="25.5" x14ac:dyDescent="0.4">
      <c r="A27" s="62">
        <v>5103353</v>
      </c>
      <c r="B27" s="62" t="s">
        <v>419</v>
      </c>
      <c r="C27" s="62" t="s">
        <v>26</v>
      </c>
      <c r="D27" s="63" t="s">
        <v>263</v>
      </c>
      <c r="E27" s="63" t="s">
        <v>264</v>
      </c>
    </row>
    <row r="28" spans="1:5" ht="25.5" x14ac:dyDescent="0.4">
      <c r="A28" s="62">
        <v>5213707</v>
      </c>
      <c r="B28" s="62" t="s">
        <v>426</v>
      </c>
      <c r="C28" s="62" t="s">
        <v>26</v>
      </c>
      <c r="D28" s="63" t="s">
        <v>271</v>
      </c>
      <c r="E28" s="63" t="s">
        <v>272</v>
      </c>
    </row>
    <row r="29" spans="1:5" x14ac:dyDescent="0.4">
      <c r="A29" s="62">
        <v>5101001</v>
      </c>
      <c r="B29" s="62" t="s">
        <v>427</v>
      </c>
      <c r="C29" s="62" t="s">
        <v>28</v>
      </c>
      <c r="D29" s="63" t="s">
        <v>278</v>
      </c>
      <c r="E29" s="63" t="s">
        <v>279</v>
      </c>
    </row>
    <row r="30" spans="1:5" x14ac:dyDescent="0.4">
      <c r="A30" s="62">
        <v>5108600</v>
      </c>
      <c r="B30" s="62" t="s">
        <v>428</v>
      </c>
      <c r="C30" s="62" t="s">
        <v>26</v>
      </c>
      <c r="D30" s="63" t="s">
        <v>286</v>
      </c>
      <c r="E30" s="63" t="s">
        <v>287</v>
      </c>
    </row>
    <row r="31" spans="1:5" ht="25.5" x14ac:dyDescent="0.4">
      <c r="A31" s="62">
        <v>5107859</v>
      </c>
      <c r="B31" s="62" t="s">
        <v>429</v>
      </c>
      <c r="C31" s="62" t="s">
        <v>26</v>
      </c>
      <c r="D31" s="63" t="s">
        <v>293</v>
      </c>
      <c r="E31" s="63" t="s">
        <v>294</v>
      </c>
    </row>
    <row r="32" spans="1:5" ht="25.5" x14ac:dyDescent="0.4">
      <c r="A32" s="62">
        <v>5107883</v>
      </c>
      <c r="B32" s="62" t="s">
        <v>430</v>
      </c>
      <c r="C32" s="62" t="s">
        <v>26</v>
      </c>
      <c r="D32" s="63" t="s">
        <v>300</v>
      </c>
      <c r="E32" s="63" t="s">
        <v>301</v>
      </c>
    </row>
    <row r="33" spans="1:5" ht="25.5" x14ac:dyDescent="0.4">
      <c r="A33" s="62">
        <v>5101852</v>
      </c>
      <c r="B33" s="62" t="s">
        <v>431</v>
      </c>
      <c r="C33" s="62" t="s">
        <v>28</v>
      </c>
      <c r="D33" s="63" t="s">
        <v>308</v>
      </c>
      <c r="E33" s="63" t="s">
        <v>158</v>
      </c>
    </row>
    <row r="34" spans="1:5" x14ac:dyDescent="0.4">
      <c r="A34" s="62">
        <v>5108600</v>
      </c>
      <c r="B34" s="62" t="s">
        <v>428</v>
      </c>
      <c r="C34" s="62" t="s">
        <v>26</v>
      </c>
      <c r="D34" s="63" t="s">
        <v>313</v>
      </c>
      <c r="E34" s="63" t="s">
        <v>314</v>
      </c>
    </row>
    <row r="35" spans="1:5" ht="25.5" x14ac:dyDescent="0.4">
      <c r="A35" s="62">
        <v>5102694</v>
      </c>
      <c r="B35" s="62" t="s">
        <v>432</v>
      </c>
      <c r="C35" s="62" t="s">
        <v>28</v>
      </c>
      <c r="D35" s="63" t="s">
        <v>320</v>
      </c>
      <c r="E35" s="63" t="s">
        <v>321</v>
      </c>
    </row>
    <row r="36" spans="1:5" ht="25.5" x14ac:dyDescent="0.4">
      <c r="A36" s="62">
        <v>5106315</v>
      </c>
      <c r="B36" s="62" t="s">
        <v>433</v>
      </c>
      <c r="C36" s="62" t="s">
        <v>28</v>
      </c>
      <c r="D36" s="63" t="s">
        <v>327</v>
      </c>
      <c r="E36" s="63" t="s">
        <v>328</v>
      </c>
    </row>
    <row r="37" spans="1:5" ht="76.5" x14ac:dyDescent="0.4">
      <c r="A37" s="62">
        <v>5101803</v>
      </c>
      <c r="B37" s="62" t="s">
        <v>434</v>
      </c>
      <c r="C37" s="62" t="s">
        <v>28</v>
      </c>
      <c r="D37" s="63" t="s">
        <v>335</v>
      </c>
      <c r="E37" s="63" t="s">
        <v>336</v>
      </c>
    </row>
    <row r="38" spans="1:5" ht="25.5" x14ac:dyDescent="0.4">
      <c r="A38" s="62">
        <v>5107859</v>
      </c>
      <c r="B38" s="62" t="s">
        <v>429</v>
      </c>
      <c r="C38" s="62" t="s">
        <v>28</v>
      </c>
      <c r="D38" s="63" t="s">
        <v>343</v>
      </c>
      <c r="E38" s="63" t="s">
        <v>344</v>
      </c>
    </row>
    <row r="39" spans="1:5" ht="25.5" x14ac:dyDescent="0.4">
      <c r="A39" s="62">
        <v>5107859</v>
      </c>
      <c r="B39" s="62" t="s">
        <v>429</v>
      </c>
      <c r="C39" s="62" t="s">
        <v>28</v>
      </c>
      <c r="D39" s="63" t="s">
        <v>351</v>
      </c>
      <c r="E39" s="63" t="s">
        <v>352</v>
      </c>
    </row>
    <row r="40" spans="1:5" ht="25.5" x14ac:dyDescent="0.4">
      <c r="A40" s="62">
        <v>5102694</v>
      </c>
      <c r="B40" s="62" t="s">
        <v>432</v>
      </c>
      <c r="C40" s="62" t="s">
        <v>26</v>
      </c>
      <c r="D40" s="63" t="s">
        <v>358</v>
      </c>
      <c r="E40" s="63" t="s">
        <v>359</v>
      </c>
    </row>
    <row r="41" spans="1:5" ht="25.5" x14ac:dyDescent="0.4">
      <c r="A41" s="62">
        <v>5101852</v>
      </c>
      <c r="B41" s="62" t="s">
        <v>431</v>
      </c>
      <c r="C41" s="62" t="s">
        <v>28</v>
      </c>
      <c r="D41" s="63" t="s">
        <v>365</v>
      </c>
      <c r="E41" s="63" t="s">
        <v>366</v>
      </c>
    </row>
    <row r="42" spans="1:5" x14ac:dyDescent="0.4">
      <c r="A42" s="62">
        <v>5101001</v>
      </c>
      <c r="B42" s="62" t="s">
        <v>427</v>
      </c>
      <c r="C42" s="62" t="s">
        <v>28</v>
      </c>
      <c r="D42" s="63" t="s">
        <v>372</v>
      </c>
      <c r="E42" s="63" t="s">
        <v>373</v>
      </c>
    </row>
    <row r="43" spans="1:5" ht="38.25" x14ac:dyDescent="0.4">
      <c r="A43" s="62">
        <v>5102694</v>
      </c>
      <c r="B43" s="62" t="s">
        <v>432</v>
      </c>
      <c r="C43" s="62" t="s">
        <v>28</v>
      </c>
      <c r="D43" s="63" t="s">
        <v>380</v>
      </c>
      <c r="E43" s="63" t="s">
        <v>381</v>
      </c>
    </row>
    <row r="44" spans="1:5" ht="76.5" x14ac:dyDescent="0.4">
      <c r="A44" s="62">
        <v>5101852</v>
      </c>
      <c r="B44" s="62" t="s">
        <v>431</v>
      </c>
      <c r="C44" s="62" t="s">
        <v>28</v>
      </c>
      <c r="D44" s="63" t="s">
        <v>386</v>
      </c>
      <c r="E44" s="63" t="s">
        <v>387</v>
      </c>
    </row>
    <row r="45" spans="1:5" x14ac:dyDescent="0.4">
      <c r="A45" s="62">
        <v>5108600</v>
      </c>
      <c r="B45" s="62" t="s">
        <v>428</v>
      </c>
      <c r="C45" s="62" t="s">
        <v>28</v>
      </c>
      <c r="D45" s="63" t="s">
        <v>394</v>
      </c>
      <c r="E45" s="63" t="s">
        <v>395</v>
      </c>
    </row>
    <row r="46" spans="1:5" ht="25.5" x14ac:dyDescent="0.4">
      <c r="A46" s="62">
        <v>5107859</v>
      </c>
      <c r="B46" s="62" t="s">
        <v>429</v>
      </c>
      <c r="C46" s="62" t="s">
        <v>28</v>
      </c>
      <c r="D46" s="63" t="s">
        <v>401</v>
      </c>
      <c r="E46" s="63" t="s">
        <v>402</v>
      </c>
    </row>
    <row r="47" spans="1:5" ht="25.5" x14ac:dyDescent="0.4">
      <c r="A47" s="62">
        <v>5107883</v>
      </c>
      <c r="B47" s="62" t="s">
        <v>430</v>
      </c>
      <c r="C47" s="62" t="s">
        <v>28</v>
      </c>
      <c r="D47" s="63" t="s">
        <v>407</v>
      </c>
      <c r="E47" s="63" t="s">
        <v>408</v>
      </c>
    </row>
    <row r="48" spans="1:5" ht="38.25" x14ac:dyDescent="0.4">
      <c r="A48" s="62">
        <v>5101803</v>
      </c>
      <c r="B48" s="62" t="s">
        <v>434</v>
      </c>
      <c r="C48" s="62" t="s">
        <v>28</v>
      </c>
      <c r="D48" s="63" t="s">
        <v>413</v>
      </c>
      <c r="E48" s="63" t="s">
        <v>414</v>
      </c>
    </row>
  </sheetData>
  <sortState xmlns:xlrd2="http://schemas.microsoft.com/office/spreadsheetml/2017/richdata2" ref="A2:E22">
    <sortCondition ref="A2:A2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0895-64D8-4CA2-B190-BAAC5565042C}">
  <dimension ref="A1:R101"/>
  <sheetViews>
    <sheetView zoomScale="55" zoomScaleNormal="55" workbookViewId="0">
      <selection activeCell="Q17" sqref="Q17"/>
    </sheetView>
  </sheetViews>
  <sheetFormatPr defaultRowHeight="19.5" x14ac:dyDescent="0.4"/>
  <cols>
    <col min="1" max="1" width="14.375" style="22" customWidth="1"/>
    <col min="2" max="2" width="20.375" style="22" customWidth="1"/>
    <col min="3" max="3" width="7.875" style="23" bestFit="1" customWidth="1"/>
    <col min="4" max="4" width="8.875" style="23" customWidth="1"/>
    <col min="5" max="8" width="7.25" style="23" bestFit="1" customWidth="1"/>
    <col min="9" max="9" width="10.375" style="23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20" t="s">
        <v>33</v>
      </c>
      <c r="B1" s="20" t="s">
        <v>34</v>
      </c>
      <c r="C1" s="21" t="s">
        <v>35</v>
      </c>
      <c r="D1" s="21" t="s">
        <v>36</v>
      </c>
      <c r="E1" s="21" t="s">
        <v>37</v>
      </c>
      <c r="F1" s="21" t="s">
        <v>38</v>
      </c>
      <c r="G1" s="21" t="s">
        <v>39</v>
      </c>
      <c r="H1" s="21" t="s">
        <v>40</v>
      </c>
      <c r="I1" s="20" t="s">
        <v>41</v>
      </c>
    </row>
    <row r="2" spans="1:18" x14ac:dyDescent="0.4">
      <c r="A2" s="22" t="str">
        <f>+Dados!V2</f>
        <v>Novo São Joaquim</v>
      </c>
      <c r="B2" s="22" t="str">
        <f>+Dados!G2</f>
        <v>CACS-FUNDEB</v>
      </c>
      <c r="C2" s="22">
        <f>+Dados!H2</f>
        <v>5</v>
      </c>
      <c r="D2" s="22">
        <f>+Dados!I2</f>
        <v>5</v>
      </c>
      <c r="E2" s="22">
        <f>+Dados!J2</f>
        <v>5</v>
      </c>
      <c r="F2" s="22">
        <f>+Dados!K2</f>
        <v>5</v>
      </c>
      <c r="G2" s="22">
        <f>+Dados!L2</f>
        <v>5</v>
      </c>
      <c r="H2" s="22">
        <f>+Dados!M2</f>
        <v>5</v>
      </c>
      <c r="I2" s="22">
        <f>+Dados!N2</f>
        <v>5</v>
      </c>
      <c r="N2" s="2" t="s">
        <v>2</v>
      </c>
      <c r="O2" s="2" t="s">
        <v>45</v>
      </c>
      <c r="P2" s="2" t="s">
        <v>44</v>
      </c>
      <c r="Q2" s="2" t="s">
        <v>43</v>
      </c>
      <c r="R2" s="2" t="s">
        <v>42</v>
      </c>
    </row>
    <row r="3" spans="1:18" x14ac:dyDescent="0.4">
      <c r="A3" s="22" t="str">
        <f>+Dados!V3</f>
        <v>Querência</v>
      </c>
      <c r="B3" s="22" t="str">
        <f>+Dados!G3</f>
        <v>CACS-FUNDEB</v>
      </c>
      <c r="C3" s="22">
        <f>+Dados!H3</f>
        <v>4</v>
      </c>
      <c r="D3" s="22">
        <f>+Dados!I3</f>
        <v>4</v>
      </c>
      <c r="E3" s="22">
        <f>+Dados!J3</f>
        <v>4</v>
      </c>
      <c r="F3" s="22">
        <f>+Dados!K3</f>
        <v>4</v>
      </c>
      <c r="G3" s="22">
        <f>+Dados!L3</f>
        <v>4</v>
      </c>
      <c r="H3" s="22">
        <f>+Dados!M3</f>
        <v>4</v>
      </c>
      <c r="I3" s="22">
        <f>+Dados!N3</f>
        <v>4</v>
      </c>
      <c r="N3" s="22">
        <v>1</v>
      </c>
      <c r="O3" s="22">
        <v>2</v>
      </c>
      <c r="P3" s="22">
        <v>3</v>
      </c>
      <c r="Q3" s="22">
        <v>4</v>
      </c>
      <c r="R3" s="22">
        <v>5</v>
      </c>
    </row>
    <row r="4" spans="1:18" x14ac:dyDescent="0.4">
      <c r="A4" s="22" t="str">
        <f>+Dados!V4</f>
        <v>Porto Alegre do Norte</v>
      </c>
      <c r="B4" s="22" t="str">
        <f>+Dados!G4</f>
        <v>CACS-FUNDEB</v>
      </c>
      <c r="C4" s="22">
        <f>+Dados!H4</f>
        <v>4</v>
      </c>
      <c r="D4" s="22">
        <f>+Dados!I4</f>
        <v>4</v>
      </c>
      <c r="E4" s="22">
        <f>+Dados!J4</f>
        <v>4</v>
      </c>
      <c r="F4" s="22">
        <f>+Dados!K4</f>
        <v>4</v>
      </c>
      <c r="G4" s="22">
        <f>+Dados!L4</f>
        <v>4</v>
      </c>
      <c r="H4" s="22">
        <f>+Dados!M4</f>
        <v>4</v>
      </c>
      <c r="I4" s="22">
        <f>+Dados!N4</f>
        <v>4</v>
      </c>
    </row>
    <row r="5" spans="1:18" x14ac:dyDescent="0.4">
      <c r="A5" s="22" t="str">
        <f>+Dados!V5</f>
        <v>Ribeirão Cascalheira</v>
      </c>
      <c r="B5" s="22" t="str">
        <f>+Dados!G5</f>
        <v>CACS-FUNDEB</v>
      </c>
      <c r="C5" s="22">
        <f>+Dados!H5</f>
        <v>5</v>
      </c>
      <c r="D5" s="22">
        <f>+Dados!I5</f>
        <v>4</v>
      </c>
      <c r="E5" s="22">
        <f>+Dados!J5</f>
        <v>5</v>
      </c>
      <c r="F5" s="22">
        <f>+Dados!K5</f>
        <v>5</v>
      </c>
      <c r="G5" s="22">
        <f>+Dados!L5</f>
        <v>5</v>
      </c>
      <c r="H5" s="22">
        <f>+Dados!M5</f>
        <v>5</v>
      </c>
      <c r="I5" s="22">
        <f>+Dados!N5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22" t="str">
        <f>+Dados!V6</f>
        <v>Querência</v>
      </c>
      <c r="B6" s="22" t="str">
        <f>+Dados!G6</f>
        <v>CACS-FUNDEB</v>
      </c>
      <c r="C6" s="22">
        <f>+Dados!H6</f>
        <v>5</v>
      </c>
      <c r="D6" s="22">
        <f>+Dados!I6</f>
        <v>5</v>
      </c>
      <c r="E6" s="22">
        <f>+Dados!J6</f>
        <v>5</v>
      </c>
      <c r="F6" s="22">
        <f>+Dados!K6</f>
        <v>5</v>
      </c>
      <c r="G6" s="22">
        <f>+Dados!L6</f>
        <v>5</v>
      </c>
      <c r="H6" s="22">
        <f>+Dados!M6</f>
        <v>5</v>
      </c>
      <c r="I6" s="22">
        <f>+Dados!N6</f>
        <v>5</v>
      </c>
      <c r="M6" s="1" t="s">
        <v>35</v>
      </c>
      <c r="N6" s="24">
        <f>COUNTIF(C$2:C$65,$N3)/COUNT(C$2:C$65)</f>
        <v>0</v>
      </c>
      <c r="O6" s="24">
        <f>COUNTIF(C$2:C$65,$O3)/COUNT(C$2:C$65)</f>
        <v>0</v>
      </c>
      <c r="P6" s="24">
        <f>COUNTIF(C$2:C$65,$P3)/COUNT(C$2:C$65)</f>
        <v>4.2553191489361701E-2</v>
      </c>
      <c r="Q6" s="24">
        <f>COUNTIF(C$2:C$65,$Q3)/COUNT(C$2:C$65)</f>
        <v>0.25531914893617019</v>
      </c>
      <c r="R6" s="24">
        <f>COUNTIF(C$2:C$65,$R3)/COUNT(C$2:C$65)</f>
        <v>0.7021276595744681</v>
      </c>
    </row>
    <row r="7" spans="1:18" x14ac:dyDescent="0.4">
      <c r="A7" s="22" t="str">
        <f>+Dados!V7</f>
        <v>Confresa</v>
      </c>
      <c r="B7" s="22" t="str">
        <f>+Dados!G7</f>
        <v>CACS-FUNDEB</v>
      </c>
      <c r="C7" s="22">
        <f>+Dados!H7</f>
        <v>5</v>
      </c>
      <c r="D7" s="22">
        <f>+Dados!I7</f>
        <v>5</v>
      </c>
      <c r="E7" s="22">
        <f>+Dados!J7</f>
        <v>5</v>
      </c>
      <c r="F7" s="22">
        <f>+Dados!K7</f>
        <v>5</v>
      </c>
      <c r="G7" s="22">
        <f>+Dados!L7</f>
        <v>5</v>
      </c>
      <c r="H7" s="22">
        <f>+Dados!M7</f>
        <v>5</v>
      </c>
      <c r="I7" s="22">
        <f>+Dados!N7</f>
        <v>5</v>
      </c>
      <c r="M7" s="1" t="s">
        <v>36</v>
      </c>
      <c r="N7" s="24">
        <f>COUNTIF(D$2:D$65,$N3)/COUNT(D$2:D$65)</f>
        <v>0</v>
      </c>
      <c r="O7" s="24">
        <f>COUNTIF(D$2:D$65,$O3)/COUNT(D$2:D$65)</f>
        <v>0</v>
      </c>
      <c r="P7" s="24">
        <f>COUNTIF(D$2:D$65,$P3)/COUNT(D$2:D$65)</f>
        <v>0.10638297872340426</v>
      </c>
      <c r="Q7" s="24">
        <f>COUNTIF(D$2:D$65,$Q3)/COUNT(D$2:D$65)</f>
        <v>0.36170212765957449</v>
      </c>
      <c r="R7" s="24">
        <f>COUNTIF(D$2:D$65,$R3)/COUNT(D$2:D$65)</f>
        <v>0.53191489361702127</v>
      </c>
    </row>
    <row r="8" spans="1:18" x14ac:dyDescent="0.4">
      <c r="A8" s="22" t="str">
        <f>+Dados!V8</f>
        <v>Pontal do Araguaia</v>
      </c>
      <c r="B8" s="22" t="str">
        <f>+Dados!G8</f>
        <v>CACS-FUNDEB</v>
      </c>
      <c r="C8" s="22">
        <f>+Dados!H8</f>
        <v>5</v>
      </c>
      <c r="D8" s="22">
        <f>+Dados!I8</f>
        <v>5</v>
      </c>
      <c r="E8" s="22">
        <f>+Dados!J8</f>
        <v>5</v>
      </c>
      <c r="F8" s="22">
        <f>+Dados!K8</f>
        <v>5</v>
      </c>
      <c r="G8" s="22">
        <f>+Dados!L8</f>
        <v>5</v>
      </c>
      <c r="H8" s="22">
        <f>+Dados!M8</f>
        <v>4</v>
      </c>
      <c r="I8" s="22">
        <f>+Dados!N8</f>
        <v>5</v>
      </c>
      <c r="M8" s="1" t="s">
        <v>37</v>
      </c>
      <c r="N8" s="24">
        <f>COUNTIF(E$2:E$65,$N3)/COUNT(E$2:E$65)</f>
        <v>0</v>
      </c>
      <c r="O8" s="24">
        <f>COUNTIF(E$2:E$65,$O3)/COUNT(E$2:E$65)</f>
        <v>0</v>
      </c>
      <c r="P8" s="24">
        <f>COUNTIF(E$2:E$65,$P3)/COUNT(E$2:E$65)</f>
        <v>4.2553191489361701E-2</v>
      </c>
      <c r="Q8" s="24">
        <f>COUNTIF(E$2:E$65,$Q3)/COUNT(E$2:E$65)</f>
        <v>0.31914893617021278</v>
      </c>
      <c r="R8" s="24">
        <f>COUNTIF(E$2:E$65,$R3)/COUNT(E$2:E$65)</f>
        <v>0.63829787234042556</v>
      </c>
    </row>
    <row r="9" spans="1:18" x14ac:dyDescent="0.4">
      <c r="A9" s="22" t="str">
        <f>+Dados!V9</f>
        <v>Canarana</v>
      </c>
      <c r="B9" s="22" t="str">
        <f>+Dados!G9</f>
        <v>CACS-FUNDEB</v>
      </c>
      <c r="C9" s="22">
        <f>+Dados!H9</f>
        <v>5</v>
      </c>
      <c r="D9" s="22">
        <f>+Dados!I9</f>
        <v>5</v>
      </c>
      <c r="E9" s="22">
        <f>+Dados!J9</f>
        <v>5</v>
      </c>
      <c r="F9" s="22">
        <f>+Dados!K9</f>
        <v>5</v>
      </c>
      <c r="G9" s="22">
        <f>+Dados!L9</f>
        <v>4</v>
      </c>
      <c r="H9" s="22">
        <f>+Dados!M9</f>
        <v>5</v>
      </c>
      <c r="I9" s="22">
        <f>+Dados!N9</f>
        <v>4</v>
      </c>
      <c r="M9" s="1" t="s">
        <v>38</v>
      </c>
      <c r="N9" s="24">
        <f>COUNTIF(F$2:F$65,$N3)/COUNT(F$2:F$65)</f>
        <v>0</v>
      </c>
      <c r="O9" s="24">
        <f>COUNTIF(F$2:F$65,$O3)/COUNT(F$2:F$65)</f>
        <v>2.1276595744680851E-2</v>
      </c>
      <c r="P9" s="24">
        <f>COUNTIF(F$2:F$65,$P3)/COUNT(F$2:F$65)</f>
        <v>4.2553191489361701E-2</v>
      </c>
      <c r="Q9" s="24">
        <f>COUNTIF(F$2:F$65,$Q3)/COUNT(F$2:F$65)</f>
        <v>0.31914893617021278</v>
      </c>
      <c r="R9" s="24">
        <f>COUNTIF(F$2:F$65,$R3)/COUNT(F$2:F$65)</f>
        <v>0.61702127659574468</v>
      </c>
    </row>
    <row r="10" spans="1:18" x14ac:dyDescent="0.4">
      <c r="A10" s="22" t="str">
        <f>+Dados!V10</f>
        <v>Confresa</v>
      </c>
      <c r="B10" s="22" t="str">
        <f>+Dados!G10</f>
        <v>CACS-FUNDEB</v>
      </c>
      <c r="C10" s="22">
        <f>+Dados!H10</f>
        <v>4</v>
      </c>
      <c r="D10" s="22">
        <f>+Dados!I10</f>
        <v>4</v>
      </c>
      <c r="E10" s="22">
        <f>+Dados!J10</f>
        <v>5</v>
      </c>
      <c r="F10" s="22">
        <f>+Dados!K10</f>
        <v>5</v>
      </c>
      <c r="G10" s="22">
        <f>+Dados!L10</f>
        <v>5</v>
      </c>
      <c r="H10" s="22">
        <f>+Dados!M10</f>
        <v>5</v>
      </c>
      <c r="I10" s="22">
        <f>+Dados!N10</f>
        <v>5</v>
      </c>
      <c r="M10" s="1" t="s">
        <v>39</v>
      </c>
      <c r="N10" s="24">
        <f>COUNTIF(G$2:G$65,$N3)/COUNT(G$2:G$65)</f>
        <v>0</v>
      </c>
      <c r="O10" s="24">
        <f>COUNTIF(G$2:G$65,$O3)/COUNT(G$2:G$65)</f>
        <v>6.3829787234042548E-2</v>
      </c>
      <c r="P10" s="24">
        <f>COUNTIF(G$2:G$65,$P3)/COUNT(G$2:G$65)</f>
        <v>0.1276595744680851</v>
      </c>
      <c r="Q10" s="24">
        <f>COUNTIF(G$2:G$65,$Q3)/COUNT(G$2:G$65)</f>
        <v>0.23404255319148937</v>
      </c>
      <c r="R10" s="24">
        <f>COUNTIF(G$2:G$65,$R3)/COUNT(G$2:G$65)</f>
        <v>0.57446808510638303</v>
      </c>
    </row>
    <row r="11" spans="1:18" x14ac:dyDescent="0.4">
      <c r="A11" s="22" t="str">
        <f>+Dados!V11</f>
        <v>Montes Claros de Goiás</v>
      </c>
      <c r="B11" s="22" t="str">
        <f>+Dados!G11</f>
        <v>CACS-FUNDEB</v>
      </c>
      <c r="C11" s="22">
        <f>+Dados!H11</f>
        <v>5</v>
      </c>
      <c r="D11" s="22">
        <f>+Dados!I11</f>
        <v>4</v>
      </c>
      <c r="E11" s="22">
        <f>+Dados!J11</f>
        <v>5</v>
      </c>
      <c r="F11" s="22">
        <f>+Dados!K11</f>
        <v>5</v>
      </c>
      <c r="G11" s="22">
        <f>+Dados!L11</f>
        <v>5</v>
      </c>
      <c r="H11" s="22">
        <f>+Dados!M11</f>
        <v>4</v>
      </c>
      <c r="I11" s="22">
        <f>+Dados!N11</f>
        <v>5</v>
      </c>
      <c r="M11" s="1" t="s">
        <v>40</v>
      </c>
      <c r="N11" s="24">
        <f>COUNTIF(H$2:H$65,$N3)/COUNT(H$2:H$65)</f>
        <v>0</v>
      </c>
      <c r="O11" s="24">
        <f>COUNTIF(H$2:H$65,$O3)/COUNT(H$2:H$65)</f>
        <v>2.1276595744680851E-2</v>
      </c>
      <c r="P11" s="24">
        <f>COUNTIF(H$2:H$65,$P3)/COUNT(H$2:H$65)</f>
        <v>0.10638297872340426</v>
      </c>
      <c r="Q11" s="24">
        <f>COUNTIF(H$2:H$65,$Q3)/COUNT(H$2:H$65)</f>
        <v>0.40425531914893614</v>
      </c>
      <c r="R11" s="24">
        <f>COUNTIF(H$2:H$65,$R3)/COUNT(H$2:H$65)</f>
        <v>0.46808510638297873</v>
      </c>
    </row>
    <row r="12" spans="1:18" x14ac:dyDescent="0.4">
      <c r="A12" s="22" t="str">
        <f>+Dados!V12</f>
        <v>Vila Rica</v>
      </c>
      <c r="B12" s="22" t="str">
        <f>+Dados!G12</f>
        <v>CACS-FUNDEB</v>
      </c>
      <c r="C12" s="22">
        <f>+Dados!H12</f>
        <v>5</v>
      </c>
      <c r="D12" s="22">
        <f>+Dados!I12</f>
        <v>5</v>
      </c>
      <c r="E12" s="22">
        <f>+Dados!J12</f>
        <v>5</v>
      </c>
      <c r="F12" s="22">
        <f>+Dados!K12</f>
        <v>5</v>
      </c>
      <c r="G12" s="22">
        <f>+Dados!L12</f>
        <v>5</v>
      </c>
      <c r="H12" s="22">
        <f>+Dados!M12</f>
        <v>5</v>
      </c>
      <c r="I12" s="22">
        <f>+Dados!N12</f>
        <v>5</v>
      </c>
      <c r="M12" s="1" t="s">
        <v>41</v>
      </c>
      <c r="N12" s="24">
        <f>COUNTIF(I$2:I$65,$N3)/COUNT(I$2:I$65)</f>
        <v>0</v>
      </c>
      <c r="O12" s="24">
        <f>COUNTIF(I$2:I$65,$O3)/COUNT(I$2:I$65)</f>
        <v>0</v>
      </c>
      <c r="P12" s="24">
        <f>COUNTIF(I$2:I$65,$P3)/COUNT(I$2:I$65)</f>
        <v>8.5106382978723402E-2</v>
      </c>
      <c r="Q12" s="24">
        <f>COUNTIF(I$2:I$65,$Q3)/COUNT(I$2:I$65)</f>
        <v>0.25531914893617019</v>
      </c>
      <c r="R12" s="24">
        <f>COUNTIF(I$2:I$65,$R3)/COUNT(I$2:I$65)</f>
        <v>0.65957446808510634</v>
      </c>
    </row>
    <row r="13" spans="1:18" x14ac:dyDescent="0.4">
      <c r="A13" s="22" t="str">
        <f>+Dados!V13</f>
        <v>São Félix do Araguaia</v>
      </c>
      <c r="B13" s="22" t="str">
        <f>+Dados!G13</f>
        <v>CACS-FUNDEB</v>
      </c>
      <c r="C13" s="22">
        <f>+Dados!H13</f>
        <v>5</v>
      </c>
      <c r="D13" s="22">
        <f>+Dados!I13</f>
        <v>4</v>
      </c>
      <c r="E13" s="22">
        <f>+Dados!J13</f>
        <v>5</v>
      </c>
      <c r="F13" s="22">
        <f>+Dados!K13</f>
        <v>4</v>
      </c>
      <c r="G13" s="22">
        <f>+Dados!L13</f>
        <v>5</v>
      </c>
      <c r="H13" s="22">
        <f>+Dados!M13</f>
        <v>4</v>
      </c>
      <c r="I13" s="22">
        <f>+Dados!N13</f>
        <v>5</v>
      </c>
    </row>
    <row r="14" spans="1:18" x14ac:dyDescent="0.4">
      <c r="A14" s="22" t="str">
        <f>+Dados!V14</f>
        <v>Serra Nova Dourada</v>
      </c>
      <c r="B14" s="22" t="str">
        <f>+Dados!G14</f>
        <v>CACS-FUNDEB</v>
      </c>
      <c r="C14" s="22">
        <f>+Dados!H14</f>
        <v>5</v>
      </c>
      <c r="D14" s="22">
        <f>+Dados!I14</f>
        <v>5</v>
      </c>
      <c r="E14" s="22">
        <f>+Dados!J14</f>
        <v>5</v>
      </c>
      <c r="F14" s="22">
        <f>+Dados!K14</f>
        <v>5</v>
      </c>
      <c r="G14" s="22">
        <f>+Dados!L14</f>
        <v>5</v>
      </c>
      <c r="H14" s="22">
        <f>+Dados!M14</f>
        <v>5</v>
      </c>
      <c r="I14" s="22">
        <f>+Dados!N14</f>
        <v>5</v>
      </c>
    </row>
    <row r="15" spans="1:18" x14ac:dyDescent="0.4">
      <c r="A15" s="22" t="str">
        <f>+Dados!V15</f>
        <v>Vila Rica</v>
      </c>
      <c r="B15" s="22" t="str">
        <f>+Dados!G15</f>
        <v>CACS-FUNDEB</v>
      </c>
      <c r="C15" s="22">
        <f>+Dados!H15</f>
        <v>5</v>
      </c>
      <c r="D15" s="22">
        <f>+Dados!I15</f>
        <v>5</v>
      </c>
      <c r="E15" s="22">
        <f>+Dados!J15</f>
        <v>4</v>
      </c>
      <c r="F15" s="22">
        <f>+Dados!K15</f>
        <v>5</v>
      </c>
      <c r="G15" s="22">
        <f>+Dados!L15</f>
        <v>3</v>
      </c>
      <c r="H15" s="22">
        <f>+Dados!M15</f>
        <v>4</v>
      </c>
      <c r="I15" s="22">
        <f>+Dados!N15</f>
        <v>5</v>
      </c>
    </row>
    <row r="16" spans="1:18" x14ac:dyDescent="0.4">
      <c r="A16" s="22" t="str">
        <f>+Dados!V16</f>
        <v>Canabrava do Norte</v>
      </c>
      <c r="B16" s="22" t="str">
        <f>+Dados!G16</f>
        <v>CACS-FUNDEB</v>
      </c>
      <c r="C16" s="22">
        <f>+Dados!H16</f>
        <v>5</v>
      </c>
      <c r="D16" s="22">
        <f>+Dados!I16</f>
        <v>4</v>
      </c>
      <c r="E16" s="22">
        <f>+Dados!J16</f>
        <v>4</v>
      </c>
      <c r="F16" s="22">
        <f>+Dados!K16</f>
        <v>4</v>
      </c>
      <c r="G16" s="22">
        <f>+Dados!L16</f>
        <v>5</v>
      </c>
      <c r="H16" s="22">
        <f>+Dados!M16</f>
        <v>3</v>
      </c>
      <c r="I16" s="22">
        <f>+Dados!N16</f>
        <v>4</v>
      </c>
    </row>
    <row r="17" spans="1:9" x14ac:dyDescent="0.4">
      <c r="A17" s="22" t="str">
        <f>+Dados!V17</f>
        <v>Querência</v>
      </c>
      <c r="B17" s="22" t="str">
        <f>+Dados!G17</f>
        <v>Gestão municipal</v>
      </c>
      <c r="C17" s="22">
        <f>+Dados!H17</f>
        <v>5</v>
      </c>
      <c r="D17" s="22">
        <f>+Dados!I17</f>
        <v>5</v>
      </c>
      <c r="E17" s="22">
        <f>+Dados!J17</f>
        <v>5</v>
      </c>
      <c r="F17" s="22">
        <f>+Dados!K17</f>
        <v>5</v>
      </c>
      <c r="G17" s="22">
        <f>+Dados!L17</f>
        <v>5</v>
      </c>
      <c r="H17" s="22">
        <f>+Dados!M17</f>
        <v>5</v>
      </c>
      <c r="I17" s="22">
        <f>+Dados!N17</f>
        <v>5</v>
      </c>
    </row>
    <row r="18" spans="1:9" x14ac:dyDescent="0.4">
      <c r="A18" s="22" t="str">
        <f>+Dados!V18</f>
        <v>Canarana</v>
      </c>
      <c r="B18" s="22" t="str">
        <f>+Dados!G18</f>
        <v>Gestão municipal</v>
      </c>
      <c r="C18" s="22">
        <f>+Dados!H18</f>
        <v>5</v>
      </c>
      <c r="D18" s="22">
        <f>+Dados!I18</f>
        <v>4</v>
      </c>
      <c r="E18" s="22">
        <f>+Dados!J18</f>
        <v>5</v>
      </c>
      <c r="F18" s="22">
        <f>+Dados!K18</f>
        <v>5</v>
      </c>
      <c r="G18" s="22">
        <f>+Dados!L18</f>
        <v>5</v>
      </c>
      <c r="H18" s="22">
        <f>+Dados!M18</f>
        <v>4</v>
      </c>
      <c r="I18" s="22">
        <f>+Dados!N18</f>
        <v>5</v>
      </c>
    </row>
    <row r="19" spans="1:9" x14ac:dyDescent="0.4">
      <c r="A19" s="22" t="str">
        <f>+Dados!V19</f>
        <v>Ribeirão Cascalheira</v>
      </c>
      <c r="B19" s="22" t="str">
        <f>+Dados!G19</f>
        <v>Gestão municipal</v>
      </c>
      <c r="C19" s="22">
        <f>+Dados!H19</f>
        <v>5</v>
      </c>
      <c r="D19" s="22">
        <f>+Dados!I19</f>
        <v>5</v>
      </c>
      <c r="E19" s="22">
        <f>+Dados!J19</f>
        <v>5</v>
      </c>
      <c r="F19" s="22">
        <f>+Dados!K19</f>
        <v>5</v>
      </c>
      <c r="G19" s="22">
        <f>+Dados!L19</f>
        <v>5</v>
      </c>
      <c r="H19" s="22">
        <f>+Dados!M19</f>
        <v>5</v>
      </c>
      <c r="I19" s="22">
        <f>+Dados!N19</f>
        <v>5</v>
      </c>
    </row>
    <row r="20" spans="1:9" x14ac:dyDescent="0.4">
      <c r="A20" s="22" t="str">
        <f>+Dados!V20</f>
        <v>Confresa</v>
      </c>
      <c r="B20" s="22" t="str">
        <f>+Dados!G20</f>
        <v>Gestão municipal</v>
      </c>
      <c r="C20" s="22">
        <f>+Dados!H20</f>
        <v>5</v>
      </c>
      <c r="D20" s="22">
        <f>+Dados!I20</f>
        <v>5</v>
      </c>
      <c r="E20" s="22">
        <f>+Dados!J20</f>
        <v>5</v>
      </c>
      <c r="F20" s="22">
        <f>+Dados!K20</f>
        <v>5</v>
      </c>
      <c r="G20" s="22">
        <f>+Dados!L20</f>
        <v>5</v>
      </c>
      <c r="H20" s="22">
        <f>+Dados!M20</f>
        <v>5</v>
      </c>
      <c r="I20" s="22">
        <f>+Dados!N20</f>
        <v>5</v>
      </c>
    </row>
    <row r="21" spans="1:9" x14ac:dyDescent="0.4">
      <c r="A21" s="22" t="str">
        <f>+Dados!V21</f>
        <v>Baliza</v>
      </c>
      <c r="B21" s="22" t="str">
        <f>+Dados!G21</f>
        <v>Gestão municipal</v>
      </c>
      <c r="C21" s="22">
        <f>+Dados!H21</f>
        <v>5</v>
      </c>
      <c r="D21" s="22">
        <f>+Dados!I21</f>
        <v>5</v>
      </c>
      <c r="E21" s="22">
        <f>+Dados!J21</f>
        <v>5</v>
      </c>
      <c r="F21" s="22">
        <f>+Dados!K21</f>
        <v>5</v>
      </c>
      <c r="G21" s="22">
        <f>+Dados!L21</f>
        <v>5</v>
      </c>
      <c r="H21" s="22">
        <f>+Dados!M21</f>
        <v>5</v>
      </c>
      <c r="I21" s="22">
        <f>+Dados!N21</f>
        <v>5</v>
      </c>
    </row>
    <row r="22" spans="1:9" x14ac:dyDescent="0.4">
      <c r="A22" s="22" t="str">
        <f>+Dados!V22</f>
        <v>Canarana</v>
      </c>
      <c r="B22" s="22" t="str">
        <f>+Dados!G22</f>
        <v>Gestão municipal</v>
      </c>
      <c r="C22" s="22">
        <f>+Dados!H22</f>
        <v>4</v>
      </c>
      <c r="D22" s="22">
        <f>+Dados!I22</f>
        <v>3</v>
      </c>
      <c r="E22" s="22">
        <f>+Dados!J22</f>
        <v>4</v>
      </c>
      <c r="F22" s="22">
        <f>+Dados!K22</f>
        <v>4</v>
      </c>
      <c r="G22" s="22">
        <f>+Dados!L22</f>
        <v>2</v>
      </c>
      <c r="H22" s="22">
        <f>+Dados!M22</f>
        <v>4</v>
      </c>
      <c r="I22" s="22">
        <f>+Dados!N22</f>
        <v>4</v>
      </c>
    </row>
    <row r="23" spans="1:9" x14ac:dyDescent="0.4">
      <c r="A23" s="22" t="str">
        <f>+Dados!V23</f>
        <v>Novo São Joaquim</v>
      </c>
      <c r="B23" s="22" t="str">
        <f>+Dados!G23</f>
        <v>Gestão municipal</v>
      </c>
      <c r="C23" s="22">
        <f>+Dados!H23</f>
        <v>4</v>
      </c>
      <c r="D23" s="22">
        <f>+Dados!I23</f>
        <v>4</v>
      </c>
      <c r="E23" s="22">
        <f>+Dados!J23</f>
        <v>4</v>
      </c>
      <c r="F23" s="22">
        <f>+Dados!K23</f>
        <v>4</v>
      </c>
      <c r="G23" s="22">
        <f>+Dados!L23</f>
        <v>4</v>
      </c>
      <c r="H23" s="22">
        <f>+Dados!M23</f>
        <v>4</v>
      </c>
      <c r="I23" s="22">
        <f>+Dados!N23</f>
        <v>4</v>
      </c>
    </row>
    <row r="24" spans="1:9" x14ac:dyDescent="0.4">
      <c r="A24" s="22" t="str">
        <f>+Dados!V24</f>
        <v>Baliza</v>
      </c>
      <c r="B24" s="22" t="str">
        <f>+Dados!G24</f>
        <v>Gestão municipal</v>
      </c>
      <c r="C24" s="22">
        <f>+Dados!H24</f>
        <v>5</v>
      </c>
      <c r="D24" s="22">
        <f>+Dados!I24</f>
        <v>5</v>
      </c>
      <c r="E24" s="22">
        <f>+Dados!J24</f>
        <v>5</v>
      </c>
      <c r="F24" s="22">
        <f>+Dados!K24</f>
        <v>5</v>
      </c>
      <c r="G24" s="22">
        <f>+Dados!L24</f>
        <v>5</v>
      </c>
      <c r="H24" s="22">
        <f>+Dados!M24</f>
        <v>5</v>
      </c>
      <c r="I24" s="22">
        <f>+Dados!N24</f>
        <v>5</v>
      </c>
    </row>
    <row r="25" spans="1:9" x14ac:dyDescent="0.4">
      <c r="A25" s="22" t="str">
        <f>+Dados!V25</f>
        <v>Alto Boa Vista</v>
      </c>
      <c r="B25" s="22" t="str">
        <f>+Dados!G25</f>
        <v>Gestão municipal</v>
      </c>
      <c r="C25" s="22">
        <f>+Dados!H25</f>
        <v>5</v>
      </c>
      <c r="D25" s="22">
        <f>+Dados!I25</f>
        <v>5</v>
      </c>
      <c r="E25" s="22">
        <f>+Dados!J25</f>
        <v>4</v>
      </c>
      <c r="F25" s="22">
        <f>+Dados!K25</f>
        <v>4</v>
      </c>
      <c r="G25" s="22">
        <f>+Dados!L25</f>
        <v>5</v>
      </c>
      <c r="H25" s="22">
        <f>+Dados!M25</f>
        <v>4</v>
      </c>
      <c r="I25" s="22">
        <f>+Dados!N25</f>
        <v>5</v>
      </c>
    </row>
    <row r="26" spans="1:9" x14ac:dyDescent="0.4">
      <c r="A26" s="22" t="str">
        <f>+Dados!V26</f>
        <v>Querência</v>
      </c>
      <c r="B26" s="22" t="str">
        <f>+Dados!G26</f>
        <v>Gestão municipal</v>
      </c>
      <c r="C26" s="22">
        <f>+Dados!H26</f>
        <v>5</v>
      </c>
      <c r="D26" s="22">
        <f>+Dados!I26</f>
        <v>5</v>
      </c>
      <c r="E26" s="22">
        <f>+Dados!J26</f>
        <v>5</v>
      </c>
      <c r="F26" s="22">
        <f>+Dados!K26</f>
        <v>5</v>
      </c>
      <c r="G26" s="22">
        <f>+Dados!L26</f>
        <v>5</v>
      </c>
      <c r="H26" s="22">
        <f>+Dados!M26</f>
        <v>5</v>
      </c>
      <c r="I26" s="22">
        <f>+Dados!N26</f>
        <v>5</v>
      </c>
    </row>
    <row r="27" spans="1:9" x14ac:dyDescent="0.4">
      <c r="A27" s="22" t="str">
        <f>+Dados!V27</f>
        <v>Confresa</v>
      </c>
      <c r="B27" s="22" t="str">
        <f>+Dados!G27</f>
        <v>Gestão municipal</v>
      </c>
      <c r="C27" s="22">
        <f>+Dados!H27</f>
        <v>5</v>
      </c>
      <c r="D27" s="22">
        <f>+Dados!I27</f>
        <v>5</v>
      </c>
      <c r="E27" s="22">
        <f>+Dados!J27</f>
        <v>5</v>
      </c>
      <c r="F27" s="22">
        <f>+Dados!K27</f>
        <v>5</v>
      </c>
      <c r="G27" s="22">
        <f>+Dados!L27</f>
        <v>5</v>
      </c>
      <c r="H27" s="22">
        <f>+Dados!M27</f>
        <v>5</v>
      </c>
      <c r="I27" s="22">
        <f>+Dados!N27</f>
        <v>5</v>
      </c>
    </row>
    <row r="28" spans="1:9" x14ac:dyDescent="0.4">
      <c r="A28" s="22" t="str">
        <f>+Dados!V28</f>
        <v>Baliza</v>
      </c>
      <c r="B28" s="22" t="str">
        <f>+Dados!G28</f>
        <v>Gestão municipal</v>
      </c>
      <c r="C28" s="22">
        <f>+Dados!H28</f>
        <v>5</v>
      </c>
      <c r="D28" s="22">
        <f>+Dados!I28</f>
        <v>5</v>
      </c>
      <c r="E28" s="22">
        <f>+Dados!J28</f>
        <v>4</v>
      </c>
      <c r="F28" s="22">
        <f>+Dados!K28</f>
        <v>5</v>
      </c>
      <c r="G28" s="22">
        <f>+Dados!L28</f>
        <v>4</v>
      </c>
      <c r="H28" s="22">
        <f>+Dados!M28</f>
        <v>4</v>
      </c>
      <c r="I28" s="22">
        <f>+Dados!N28</f>
        <v>5</v>
      </c>
    </row>
    <row r="29" spans="1:9" x14ac:dyDescent="0.4">
      <c r="A29" s="22" t="str">
        <f>+Dados!V29</f>
        <v>Aragarças</v>
      </c>
      <c r="B29" s="22" t="str">
        <f>+Dados!G29</f>
        <v>Gestão municipal</v>
      </c>
      <c r="C29" s="22">
        <f>+Dados!H29</f>
        <v>5</v>
      </c>
      <c r="D29" s="22">
        <f>+Dados!I29</f>
        <v>5</v>
      </c>
      <c r="E29" s="22">
        <f>+Dados!J29</f>
        <v>5</v>
      </c>
      <c r="F29" s="22">
        <f>+Dados!K29</f>
        <v>5</v>
      </c>
      <c r="G29" s="22">
        <f>+Dados!L29</f>
        <v>5</v>
      </c>
      <c r="H29" s="22">
        <f>+Dados!M29</f>
        <v>5</v>
      </c>
      <c r="I29" s="22">
        <f>+Dados!N29</f>
        <v>5</v>
      </c>
    </row>
    <row r="30" spans="1:9" x14ac:dyDescent="0.4">
      <c r="A30" s="22" t="str">
        <f>+Dados!V30</f>
        <v>Pontal do Araguaia</v>
      </c>
      <c r="B30" s="22" t="str">
        <f>+Dados!G30</f>
        <v>Gestão municipal</v>
      </c>
      <c r="C30" s="22">
        <f>+Dados!H30</f>
        <v>5</v>
      </c>
      <c r="D30" s="22">
        <f>+Dados!I30</f>
        <v>4</v>
      </c>
      <c r="E30" s="22">
        <f>+Dados!J30</f>
        <v>5</v>
      </c>
      <c r="F30" s="22">
        <f>+Dados!K30</f>
        <v>5</v>
      </c>
      <c r="G30" s="22">
        <f>+Dados!L30</f>
        <v>5</v>
      </c>
      <c r="H30" s="22">
        <f>+Dados!M30</f>
        <v>4</v>
      </c>
      <c r="I30" s="22">
        <f>+Dados!N30</f>
        <v>5</v>
      </c>
    </row>
    <row r="31" spans="1:9" x14ac:dyDescent="0.4">
      <c r="A31" s="22" t="str">
        <f>+Dados!V31</f>
        <v>Água Boa</v>
      </c>
      <c r="B31" s="22" t="str">
        <f>+Dados!G31</f>
        <v>Gestão municipal</v>
      </c>
      <c r="C31" s="22">
        <f>+Dados!H31</f>
        <v>4</v>
      </c>
      <c r="D31" s="22">
        <f>+Dados!I31</f>
        <v>3</v>
      </c>
      <c r="E31" s="22">
        <f>+Dados!J31</f>
        <v>4</v>
      </c>
      <c r="F31" s="22">
        <f>+Dados!K31</f>
        <v>4</v>
      </c>
      <c r="G31" s="22">
        <f>+Dados!L31</f>
        <v>4</v>
      </c>
      <c r="H31" s="22">
        <f>+Dados!M31</f>
        <v>4</v>
      </c>
      <c r="I31" s="22">
        <f>+Dados!N31</f>
        <v>4</v>
      </c>
    </row>
    <row r="32" spans="1:9" x14ac:dyDescent="0.4">
      <c r="A32" s="22" t="str">
        <f>+Dados!V32</f>
        <v>Água Boa</v>
      </c>
      <c r="B32" s="22" t="str">
        <f>+Dados!G32</f>
        <v>Gestão municipal</v>
      </c>
      <c r="C32" s="22">
        <f>+Dados!H32</f>
        <v>4</v>
      </c>
      <c r="D32" s="22">
        <f>+Dados!I32</f>
        <v>4</v>
      </c>
      <c r="E32" s="22">
        <f>+Dados!J32</f>
        <v>4</v>
      </c>
      <c r="F32" s="22">
        <f>+Dados!K32</f>
        <v>4</v>
      </c>
      <c r="G32" s="22">
        <f>+Dados!L32</f>
        <v>3</v>
      </c>
      <c r="H32" s="22">
        <f>+Dados!M32</f>
        <v>3</v>
      </c>
      <c r="I32" s="22">
        <f>+Dados!N32</f>
        <v>3</v>
      </c>
    </row>
    <row r="33" spans="1:9" x14ac:dyDescent="0.4">
      <c r="A33" s="22" t="str">
        <f>+Dados!V33</f>
        <v>Montes Claros de Goiás</v>
      </c>
      <c r="B33" s="22" t="str">
        <f>+Dados!G33</f>
        <v>Gestão municipal</v>
      </c>
      <c r="C33" s="22">
        <f>+Dados!H33</f>
        <v>5</v>
      </c>
      <c r="D33" s="22">
        <f>+Dados!I33</f>
        <v>5</v>
      </c>
      <c r="E33" s="22">
        <f>+Dados!J33</f>
        <v>5</v>
      </c>
      <c r="F33" s="22">
        <f>+Dados!K33</f>
        <v>5</v>
      </c>
      <c r="G33" s="22">
        <f>+Dados!L33</f>
        <v>4</v>
      </c>
      <c r="H33" s="22">
        <f>+Dados!M33</f>
        <v>5</v>
      </c>
      <c r="I33" s="22">
        <f>+Dados!N33</f>
        <v>5</v>
      </c>
    </row>
    <row r="34" spans="1:9" x14ac:dyDescent="0.4">
      <c r="A34" s="22" t="str">
        <f>+Dados!V34</f>
        <v>Araguaiana</v>
      </c>
      <c r="B34" s="22" t="str">
        <f>+Dados!G34</f>
        <v>Gestão municipal</v>
      </c>
      <c r="C34" s="22">
        <f>+Dados!H34</f>
        <v>5</v>
      </c>
      <c r="D34" s="22">
        <f>+Dados!I34</f>
        <v>5</v>
      </c>
      <c r="E34" s="22">
        <f>+Dados!J34</f>
        <v>5</v>
      </c>
      <c r="F34" s="22">
        <f>+Dados!K34</f>
        <v>5</v>
      </c>
      <c r="G34" s="22">
        <f>+Dados!L34</f>
        <v>5</v>
      </c>
      <c r="H34" s="22">
        <f>+Dados!M34</f>
        <v>4</v>
      </c>
      <c r="I34" s="22">
        <f>+Dados!N34</f>
        <v>5</v>
      </c>
    </row>
    <row r="35" spans="1:9" x14ac:dyDescent="0.4">
      <c r="A35" s="22" t="str">
        <f>+Dados!V35</f>
        <v>Bom Jesus do Araguaia</v>
      </c>
      <c r="B35" s="22" t="str">
        <f>+Dados!G35</f>
        <v>Gestão municipal</v>
      </c>
      <c r="C35" s="22">
        <f>+Dados!H35</f>
        <v>4</v>
      </c>
      <c r="D35" s="22">
        <f>+Dados!I35</f>
        <v>4</v>
      </c>
      <c r="E35" s="22">
        <f>+Dados!J35</f>
        <v>4</v>
      </c>
      <c r="F35" s="22">
        <f>+Dados!K35</f>
        <v>4</v>
      </c>
      <c r="G35" s="22">
        <f>+Dados!L35</f>
        <v>2</v>
      </c>
      <c r="H35" s="22">
        <f>+Dados!M35</f>
        <v>4</v>
      </c>
      <c r="I35" s="22">
        <f>+Dados!N35</f>
        <v>3</v>
      </c>
    </row>
    <row r="36" spans="1:9" x14ac:dyDescent="0.4">
      <c r="A36" s="22" t="str">
        <f>+Dados!V36</f>
        <v>Canabrava do Norte</v>
      </c>
      <c r="B36" s="22" t="str">
        <f>+Dados!G36</f>
        <v>Gestão municipal</v>
      </c>
      <c r="C36" s="22">
        <f>+Dados!H36</f>
        <v>5</v>
      </c>
      <c r="D36" s="22">
        <f>+Dados!I36</f>
        <v>5</v>
      </c>
      <c r="E36" s="22">
        <f>+Dados!J36</f>
        <v>5</v>
      </c>
      <c r="F36" s="22">
        <f>+Dados!K36</f>
        <v>5</v>
      </c>
      <c r="G36" s="22">
        <f>+Dados!L36</f>
        <v>3</v>
      </c>
      <c r="H36" s="22">
        <f>+Dados!M36</f>
        <v>5</v>
      </c>
      <c r="I36" s="22">
        <f>+Dados!N36</f>
        <v>5</v>
      </c>
    </row>
    <row r="37" spans="1:9" x14ac:dyDescent="0.4">
      <c r="A37" s="22" t="str">
        <f>+Dados!V37</f>
        <v>Novo Santo Antônio</v>
      </c>
      <c r="B37" s="22" t="str">
        <f>+Dados!G37</f>
        <v>Gestão municipal</v>
      </c>
      <c r="C37" s="22">
        <f>+Dados!H37</f>
        <v>5</v>
      </c>
      <c r="D37" s="22">
        <f>+Dados!I37</f>
        <v>5</v>
      </c>
      <c r="E37" s="22">
        <f>+Dados!J37</f>
        <v>5</v>
      </c>
      <c r="F37" s="22">
        <f>+Dados!K37</f>
        <v>5</v>
      </c>
      <c r="G37" s="22">
        <f>+Dados!L37</f>
        <v>5</v>
      </c>
      <c r="H37" s="22">
        <f>+Dados!M37</f>
        <v>5</v>
      </c>
      <c r="I37" s="22">
        <f>+Dados!N37</f>
        <v>5</v>
      </c>
    </row>
    <row r="38" spans="1:9" x14ac:dyDescent="0.4">
      <c r="A38" s="22" t="str">
        <f>+Dados!V38</f>
        <v>Barra do Garças</v>
      </c>
      <c r="B38" s="22" t="str">
        <f>+Dados!G38</f>
        <v>Gestão municipal</v>
      </c>
      <c r="C38" s="22">
        <f>+Dados!H38</f>
        <v>5</v>
      </c>
      <c r="D38" s="22">
        <f>+Dados!I38</f>
        <v>5</v>
      </c>
      <c r="E38" s="22">
        <f>+Dados!J38</f>
        <v>5</v>
      </c>
      <c r="F38" s="22">
        <f>+Dados!K38</f>
        <v>5</v>
      </c>
      <c r="G38" s="22">
        <f>+Dados!L38</f>
        <v>5</v>
      </c>
      <c r="H38" s="22">
        <f>+Dados!M38</f>
        <v>5</v>
      </c>
      <c r="I38" s="22">
        <f>+Dados!N38</f>
        <v>5</v>
      </c>
    </row>
    <row r="39" spans="1:9" x14ac:dyDescent="0.4">
      <c r="A39" s="22" t="str">
        <f>+Dados!V39</f>
        <v>São Félix do Araguaia</v>
      </c>
      <c r="B39" s="22" t="str">
        <f>+Dados!G39</f>
        <v>Gestão municipal</v>
      </c>
      <c r="C39" s="22">
        <f>+Dados!H39</f>
        <v>5</v>
      </c>
      <c r="D39" s="22">
        <f>+Dados!I39</f>
        <v>5</v>
      </c>
      <c r="E39" s="22">
        <f>+Dados!J39</f>
        <v>5</v>
      </c>
      <c r="F39" s="22">
        <f>+Dados!K39</f>
        <v>4</v>
      </c>
      <c r="G39" s="22">
        <f>+Dados!L39</f>
        <v>4</v>
      </c>
      <c r="H39" s="22">
        <f>+Dados!M39</f>
        <v>4</v>
      </c>
      <c r="I39" s="22">
        <f>+Dados!N39</f>
        <v>5</v>
      </c>
    </row>
    <row r="40" spans="1:9" x14ac:dyDescent="0.4">
      <c r="A40" s="22" t="str">
        <f>+Dados!V40</f>
        <v>São Félix do Araguaia</v>
      </c>
      <c r="B40" s="22" t="str">
        <f>+Dados!G40</f>
        <v>Gestão municipal</v>
      </c>
      <c r="C40" s="22">
        <f>+Dados!H40</f>
        <v>5</v>
      </c>
      <c r="D40" s="22">
        <f>+Dados!I40</f>
        <v>4</v>
      </c>
      <c r="E40" s="22">
        <f>+Dados!J40</f>
        <v>5</v>
      </c>
      <c r="F40" s="22">
        <f>+Dados!K40</f>
        <v>5</v>
      </c>
      <c r="G40" s="22">
        <f>+Dados!L40</f>
        <v>5</v>
      </c>
      <c r="H40" s="22">
        <f>+Dados!M40</f>
        <v>5</v>
      </c>
      <c r="I40" s="22">
        <f>+Dados!N40</f>
        <v>5</v>
      </c>
    </row>
    <row r="41" spans="1:9" x14ac:dyDescent="0.4">
      <c r="A41" s="22" t="str">
        <f>+Dados!V41</f>
        <v>Bom Jesus do Araguaia</v>
      </c>
      <c r="B41" s="22" t="str">
        <f>+Dados!G41</f>
        <v>Gestão municipal</v>
      </c>
      <c r="C41" s="22">
        <f>+Dados!H41</f>
        <v>4</v>
      </c>
      <c r="D41" s="22">
        <f>+Dados!I41</f>
        <v>4</v>
      </c>
      <c r="E41" s="22">
        <f>+Dados!J41</f>
        <v>4</v>
      </c>
      <c r="F41" s="22">
        <f>+Dados!K41</f>
        <v>4</v>
      </c>
      <c r="G41" s="22">
        <f>+Dados!L41</f>
        <v>4</v>
      </c>
      <c r="H41" s="22">
        <f>+Dados!M41</f>
        <v>4</v>
      </c>
      <c r="I41" s="22">
        <f>+Dados!N41</f>
        <v>4</v>
      </c>
    </row>
    <row r="42" spans="1:9" x14ac:dyDescent="0.4">
      <c r="A42" s="22" t="str">
        <f>+Dados!V42</f>
        <v>Araguaiana</v>
      </c>
      <c r="B42" s="22" t="str">
        <f>+Dados!G42</f>
        <v>Gestão municipal</v>
      </c>
      <c r="C42" s="22">
        <f>+Dados!H42</f>
        <v>4</v>
      </c>
      <c r="D42" s="22">
        <f>+Dados!I42</f>
        <v>3</v>
      </c>
      <c r="E42" s="22">
        <f>+Dados!J42</f>
        <v>4</v>
      </c>
      <c r="F42" s="22">
        <f>+Dados!K42</f>
        <v>4</v>
      </c>
      <c r="G42" s="22">
        <f>+Dados!L42</f>
        <v>4</v>
      </c>
      <c r="H42" s="22">
        <f>+Dados!M42</f>
        <v>4</v>
      </c>
      <c r="I42" s="22">
        <f>+Dados!N42</f>
        <v>4</v>
      </c>
    </row>
    <row r="43" spans="1:9" x14ac:dyDescent="0.4">
      <c r="A43" s="22" t="str">
        <f>+Dados!V43</f>
        <v>Canabrava do Norte</v>
      </c>
      <c r="B43" s="22" t="str">
        <f>+Dados!G43</f>
        <v>Gestão municipal</v>
      </c>
      <c r="C43" s="22">
        <f>+Dados!H43</f>
        <v>4</v>
      </c>
      <c r="D43" s="22">
        <f>+Dados!I43</f>
        <v>4</v>
      </c>
      <c r="E43" s="22">
        <f>+Dados!J43</f>
        <v>4</v>
      </c>
      <c r="F43" s="22">
        <f>+Dados!K43</f>
        <v>4</v>
      </c>
      <c r="G43" s="22">
        <f>+Dados!L43</f>
        <v>3</v>
      </c>
      <c r="H43" s="22">
        <f>+Dados!M43</f>
        <v>2</v>
      </c>
      <c r="I43" s="22">
        <f>+Dados!N43</f>
        <v>4</v>
      </c>
    </row>
    <row r="44" spans="1:9" x14ac:dyDescent="0.4">
      <c r="A44" s="22" t="str">
        <f>+Dados!V44</f>
        <v>Bom Jesus do Araguaia</v>
      </c>
      <c r="B44" s="22" t="str">
        <f>+Dados!G44</f>
        <v>Gestão municipal</v>
      </c>
      <c r="C44" s="22">
        <f>+Dados!H44</f>
        <v>5</v>
      </c>
      <c r="D44" s="22">
        <f>+Dados!I44</f>
        <v>5</v>
      </c>
      <c r="E44" s="22">
        <f>+Dados!J44</f>
        <v>5</v>
      </c>
      <c r="F44" s="22">
        <f>+Dados!K44</f>
        <v>2</v>
      </c>
      <c r="G44" s="22">
        <f>+Dados!L44</f>
        <v>2</v>
      </c>
      <c r="H44" s="22">
        <f>+Dados!M44</f>
        <v>3</v>
      </c>
      <c r="I44" s="22">
        <f>+Dados!N44</f>
        <v>4</v>
      </c>
    </row>
    <row r="45" spans="1:9" x14ac:dyDescent="0.4">
      <c r="A45" s="22" t="str">
        <f>+Dados!V45</f>
        <v>Vila Rica</v>
      </c>
      <c r="B45" s="22" t="str">
        <f>+Dados!G45</f>
        <v>Gestão municipal</v>
      </c>
      <c r="C45" s="22">
        <f>+Dados!H45</f>
        <v>4</v>
      </c>
      <c r="D45" s="22">
        <f>+Dados!I45</f>
        <v>4</v>
      </c>
      <c r="E45" s="22">
        <f>+Dados!J45</f>
        <v>4</v>
      </c>
      <c r="F45" s="22">
        <f>+Dados!K45</f>
        <v>4</v>
      </c>
      <c r="G45" s="22">
        <f>+Dados!L45</f>
        <v>4</v>
      </c>
      <c r="H45" s="22">
        <f>+Dados!M45</f>
        <v>4</v>
      </c>
      <c r="I45" s="22">
        <f>+Dados!N45</f>
        <v>4</v>
      </c>
    </row>
    <row r="46" spans="1:9" x14ac:dyDescent="0.4">
      <c r="A46" s="22" t="str">
        <f>+Dados!V46</f>
        <v>São Félix do Araguaia</v>
      </c>
      <c r="B46" s="22" t="str">
        <f>+Dados!G46</f>
        <v>Gestão municipal</v>
      </c>
      <c r="C46" s="22">
        <f>+Dados!H46</f>
        <v>3</v>
      </c>
      <c r="D46" s="22">
        <f>+Dados!I46</f>
        <v>3</v>
      </c>
      <c r="E46" s="22">
        <f>+Dados!J46</f>
        <v>3</v>
      </c>
      <c r="F46" s="22">
        <f>+Dados!K46</f>
        <v>3</v>
      </c>
      <c r="G46" s="22">
        <f>+Dados!L46</f>
        <v>3</v>
      </c>
      <c r="H46" s="22">
        <f>+Dados!M46</f>
        <v>3</v>
      </c>
      <c r="I46" s="22">
        <f>+Dados!N46</f>
        <v>3</v>
      </c>
    </row>
    <row r="47" spans="1:9" x14ac:dyDescent="0.4">
      <c r="A47" s="22" t="str">
        <f>+Dados!V47</f>
        <v>Serra Nova Dourada</v>
      </c>
      <c r="B47" s="22" t="str">
        <f>+Dados!G47</f>
        <v>Gestão municipal</v>
      </c>
      <c r="C47" s="22">
        <f>+Dados!H47</f>
        <v>3</v>
      </c>
      <c r="D47" s="22">
        <f>+Dados!I47</f>
        <v>3</v>
      </c>
      <c r="E47" s="22">
        <f>+Dados!J47</f>
        <v>3</v>
      </c>
      <c r="F47" s="22">
        <f>+Dados!K47</f>
        <v>3</v>
      </c>
      <c r="G47" s="22">
        <f>+Dados!L47</f>
        <v>3</v>
      </c>
      <c r="H47" s="22">
        <f>+Dados!M47</f>
        <v>3</v>
      </c>
      <c r="I47" s="22">
        <f>+Dados!N47</f>
        <v>3</v>
      </c>
    </row>
    <row r="48" spans="1:9" x14ac:dyDescent="0.4">
      <c r="A48" s="22" t="str">
        <f>+Dados!V48</f>
        <v>Barra do Garças</v>
      </c>
      <c r="B48" s="22" t="str">
        <f>+Dados!G48</f>
        <v>Gestão municipal</v>
      </c>
      <c r="C48" s="22">
        <f>+Dados!H48</f>
        <v>5</v>
      </c>
      <c r="D48" s="22">
        <f>+Dados!I48</f>
        <v>4</v>
      </c>
      <c r="E48" s="22">
        <f>+Dados!J48</f>
        <v>5</v>
      </c>
      <c r="F48" s="22">
        <f>+Dados!K48</f>
        <v>5</v>
      </c>
      <c r="G48" s="22">
        <f>+Dados!L48</f>
        <v>5</v>
      </c>
      <c r="H48" s="22">
        <f>+Dados!M48</f>
        <v>5</v>
      </c>
      <c r="I48" s="22">
        <f>+Dados!N48</f>
        <v>5</v>
      </c>
    </row>
    <row r="49" spans="3:9" x14ac:dyDescent="0.4">
      <c r="C49" s="22"/>
      <c r="D49" s="22"/>
      <c r="E49" s="22"/>
      <c r="F49" s="22"/>
      <c r="G49" s="22"/>
      <c r="H49" s="22"/>
      <c r="I49" s="22"/>
    </row>
    <row r="50" spans="3:9" x14ac:dyDescent="0.4">
      <c r="C50" s="22"/>
      <c r="D50" s="22"/>
      <c r="E50" s="22"/>
      <c r="F50" s="22"/>
      <c r="G50" s="22"/>
      <c r="H50" s="22"/>
      <c r="I50" s="22"/>
    </row>
    <row r="51" spans="3:9" x14ac:dyDescent="0.4">
      <c r="C51" s="22"/>
      <c r="D51" s="22"/>
      <c r="E51" s="22"/>
      <c r="F51" s="22"/>
      <c r="G51" s="22"/>
      <c r="H51" s="22"/>
      <c r="I51" s="22"/>
    </row>
    <row r="52" spans="3:9" x14ac:dyDescent="0.4">
      <c r="C52" s="22"/>
      <c r="D52" s="22"/>
      <c r="E52" s="22"/>
      <c r="F52" s="22"/>
      <c r="G52" s="22"/>
      <c r="H52" s="22"/>
      <c r="I52" s="22"/>
    </row>
    <row r="53" spans="3:9" x14ac:dyDescent="0.4">
      <c r="C53" s="22"/>
      <c r="D53" s="22"/>
      <c r="E53" s="22"/>
      <c r="F53" s="22"/>
      <c r="G53" s="22"/>
      <c r="H53" s="22"/>
      <c r="I53" s="22"/>
    </row>
    <row r="54" spans="3:9" x14ac:dyDescent="0.4">
      <c r="C54" s="22"/>
      <c r="D54" s="22"/>
      <c r="E54" s="22"/>
      <c r="F54" s="22"/>
      <c r="G54" s="22"/>
      <c r="H54" s="22"/>
      <c r="I54" s="22"/>
    </row>
    <row r="55" spans="3:9" x14ac:dyDescent="0.4">
      <c r="C55" s="22"/>
      <c r="D55" s="22"/>
      <c r="E55" s="22"/>
      <c r="F55" s="22"/>
      <c r="G55" s="22"/>
      <c r="H55" s="22"/>
      <c r="I55" s="22"/>
    </row>
    <row r="56" spans="3:9" x14ac:dyDescent="0.4">
      <c r="C56" s="22"/>
      <c r="D56" s="22"/>
      <c r="E56" s="22"/>
      <c r="F56" s="22"/>
      <c r="G56" s="22"/>
      <c r="H56" s="22"/>
      <c r="I56" s="22"/>
    </row>
    <row r="57" spans="3:9" x14ac:dyDescent="0.4">
      <c r="C57" s="22"/>
      <c r="D57" s="22"/>
      <c r="E57" s="22"/>
      <c r="F57" s="22"/>
      <c r="G57" s="22"/>
      <c r="H57" s="22"/>
      <c r="I57" s="22"/>
    </row>
    <row r="58" spans="3:9" x14ac:dyDescent="0.4">
      <c r="C58" s="22"/>
      <c r="D58" s="22"/>
      <c r="E58" s="22"/>
      <c r="F58" s="22"/>
      <c r="G58" s="22"/>
      <c r="H58" s="22"/>
      <c r="I58" s="22"/>
    </row>
    <row r="59" spans="3:9" x14ac:dyDescent="0.4">
      <c r="C59" s="22"/>
      <c r="D59" s="22"/>
      <c r="E59" s="22"/>
      <c r="F59" s="22"/>
      <c r="G59" s="22"/>
      <c r="H59" s="22"/>
      <c r="I59" s="22"/>
    </row>
    <row r="60" spans="3:9" x14ac:dyDescent="0.4">
      <c r="C60" s="22"/>
      <c r="D60" s="22"/>
      <c r="E60" s="22"/>
      <c r="F60" s="22"/>
      <c r="G60" s="22"/>
      <c r="H60" s="22"/>
      <c r="I60" s="22"/>
    </row>
    <row r="61" spans="3:9" x14ac:dyDescent="0.4">
      <c r="C61" s="22"/>
      <c r="D61" s="22"/>
      <c r="E61" s="22"/>
      <c r="F61" s="22"/>
      <c r="G61" s="22"/>
      <c r="H61" s="22"/>
      <c r="I61" s="22"/>
    </row>
    <row r="62" spans="3:9" x14ac:dyDescent="0.4">
      <c r="C62" s="22"/>
      <c r="D62" s="22"/>
      <c r="E62" s="22"/>
      <c r="F62" s="22"/>
      <c r="G62" s="22"/>
      <c r="H62" s="22"/>
      <c r="I62" s="22"/>
    </row>
    <row r="63" spans="3:9" x14ac:dyDescent="0.4">
      <c r="C63" s="22"/>
      <c r="D63" s="22"/>
      <c r="E63" s="22"/>
      <c r="F63" s="22"/>
      <c r="G63" s="22"/>
      <c r="H63" s="22"/>
      <c r="I63" s="22"/>
    </row>
    <row r="64" spans="3:9" x14ac:dyDescent="0.4">
      <c r="C64" s="22"/>
      <c r="D64" s="22"/>
      <c r="E64" s="22"/>
      <c r="F64" s="22"/>
      <c r="G64" s="22"/>
      <c r="H64" s="22"/>
      <c r="I64" s="22"/>
    </row>
    <row r="65" spans="3:9" x14ac:dyDescent="0.4">
      <c r="C65" s="22"/>
      <c r="D65" s="22"/>
      <c r="E65" s="22"/>
      <c r="F65" s="22"/>
      <c r="G65" s="22"/>
      <c r="H65" s="22"/>
      <c r="I65" s="22"/>
    </row>
    <row r="66" spans="3:9" x14ac:dyDescent="0.4">
      <c r="C66" s="22"/>
      <c r="D66" s="22"/>
      <c r="E66" s="22"/>
      <c r="F66" s="22"/>
      <c r="G66" s="22"/>
      <c r="H66" s="22"/>
      <c r="I66" s="22"/>
    </row>
    <row r="67" spans="3:9" x14ac:dyDescent="0.4">
      <c r="C67" s="22"/>
      <c r="D67" s="22"/>
      <c r="E67" s="22"/>
      <c r="F67" s="22"/>
      <c r="G67" s="22"/>
      <c r="H67" s="22"/>
      <c r="I67" s="22"/>
    </row>
    <row r="68" spans="3:9" x14ac:dyDescent="0.4">
      <c r="C68" s="22"/>
      <c r="D68" s="22"/>
      <c r="E68" s="22"/>
      <c r="F68" s="22"/>
      <c r="G68" s="22"/>
      <c r="H68" s="22"/>
      <c r="I68" s="22"/>
    </row>
    <row r="69" spans="3:9" x14ac:dyDescent="0.4">
      <c r="C69" s="22"/>
      <c r="D69" s="22"/>
      <c r="E69" s="22"/>
      <c r="F69" s="22"/>
      <c r="G69" s="22"/>
      <c r="H69" s="22"/>
      <c r="I69" s="22"/>
    </row>
    <row r="70" spans="3:9" x14ac:dyDescent="0.4">
      <c r="C70" s="22"/>
      <c r="D70" s="22"/>
      <c r="E70" s="22"/>
      <c r="F70" s="22"/>
      <c r="G70" s="22"/>
      <c r="H70" s="22"/>
      <c r="I70" s="22"/>
    </row>
    <row r="71" spans="3:9" x14ac:dyDescent="0.4">
      <c r="C71" s="22"/>
      <c r="D71" s="22"/>
      <c r="E71" s="22"/>
      <c r="F71" s="22"/>
      <c r="G71" s="22"/>
      <c r="H71" s="22"/>
      <c r="I71" s="22"/>
    </row>
    <row r="72" spans="3:9" x14ac:dyDescent="0.4">
      <c r="C72" s="22"/>
      <c r="D72" s="22"/>
      <c r="E72" s="22"/>
      <c r="F72" s="22"/>
      <c r="G72" s="22"/>
      <c r="H72" s="22"/>
      <c r="I72" s="22"/>
    </row>
    <row r="73" spans="3:9" x14ac:dyDescent="0.4">
      <c r="C73" s="22"/>
      <c r="D73" s="22"/>
      <c r="E73" s="22"/>
      <c r="F73" s="22"/>
      <c r="G73" s="22"/>
      <c r="H73" s="22"/>
      <c r="I73" s="22"/>
    </row>
    <row r="74" spans="3:9" x14ac:dyDescent="0.4">
      <c r="C74" s="22"/>
      <c r="D74" s="22"/>
      <c r="E74" s="22"/>
      <c r="F74" s="22"/>
      <c r="G74" s="22"/>
      <c r="H74" s="22"/>
      <c r="I74" s="22"/>
    </row>
    <row r="75" spans="3:9" x14ac:dyDescent="0.4">
      <c r="C75" s="22"/>
      <c r="D75" s="22"/>
      <c r="E75" s="22"/>
      <c r="F75" s="22"/>
      <c r="G75" s="22"/>
      <c r="H75" s="22"/>
      <c r="I75" s="22"/>
    </row>
    <row r="76" spans="3:9" x14ac:dyDescent="0.4">
      <c r="C76" s="22"/>
      <c r="D76" s="22"/>
      <c r="E76" s="22"/>
      <c r="F76" s="22"/>
      <c r="G76" s="22"/>
      <c r="H76" s="22"/>
      <c r="I76" s="22"/>
    </row>
    <row r="77" spans="3:9" x14ac:dyDescent="0.4">
      <c r="C77" s="22"/>
      <c r="D77" s="22"/>
      <c r="E77" s="22"/>
      <c r="F77" s="22"/>
      <c r="G77" s="22"/>
      <c r="H77" s="22"/>
      <c r="I77" s="22"/>
    </row>
    <row r="78" spans="3:9" x14ac:dyDescent="0.4">
      <c r="C78" s="22"/>
      <c r="D78" s="22"/>
      <c r="E78" s="22"/>
      <c r="F78" s="22"/>
      <c r="G78" s="22"/>
      <c r="H78" s="22"/>
      <c r="I78" s="22"/>
    </row>
    <row r="79" spans="3:9" x14ac:dyDescent="0.4">
      <c r="C79" s="22"/>
      <c r="D79" s="22"/>
      <c r="E79" s="22"/>
      <c r="F79" s="22"/>
      <c r="G79" s="22"/>
      <c r="H79" s="22"/>
      <c r="I79" s="22"/>
    </row>
    <row r="80" spans="3:9" x14ac:dyDescent="0.4">
      <c r="C80" s="22"/>
      <c r="D80" s="22"/>
      <c r="E80" s="22"/>
      <c r="F80" s="22"/>
      <c r="G80" s="22"/>
      <c r="H80" s="22"/>
      <c r="I80" s="22"/>
    </row>
    <row r="81" spans="3:9" x14ac:dyDescent="0.4">
      <c r="C81" s="22"/>
      <c r="D81" s="22"/>
      <c r="E81" s="22"/>
      <c r="F81" s="22"/>
      <c r="G81" s="22"/>
      <c r="H81" s="22"/>
      <c r="I81" s="22"/>
    </row>
    <row r="82" spans="3:9" x14ac:dyDescent="0.4">
      <c r="C82" s="22"/>
      <c r="D82" s="22"/>
      <c r="E82" s="22"/>
      <c r="F82" s="22"/>
      <c r="G82" s="22"/>
      <c r="H82" s="22"/>
      <c r="I82" s="22"/>
    </row>
    <row r="83" spans="3:9" x14ac:dyDescent="0.4">
      <c r="C83" s="22"/>
      <c r="D83" s="22"/>
      <c r="E83" s="22"/>
      <c r="F83" s="22"/>
      <c r="G83" s="22"/>
      <c r="H83" s="22"/>
      <c r="I83" s="22"/>
    </row>
    <row r="84" spans="3:9" x14ac:dyDescent="0.4">
      <c r="C84" s="22"/>
      <c r="D84" s="22"/>
      <c r="E84" s="22"/>
      <c r="F84" s="22"/>
      <c r="G84" s="22"/>
      <c r="H84" s="22"/>
      <c r="I84" s="22"/>
    </row>
    <row r="85" spans="3:9" x14ac:dyDescent="0.4">
      <c r="C85" s="22"/>
      <c r="D85" s="22"/>
      <c r="E85" s="22"/>
      <c r="F85" s="22"/>
      <c r="G85" s="22"/>
      <c r="H85" s="22"/>
      <c r="I85" s="22"/>
    </row>
    <row r="86" spans="3:9" x14ac:dyDescent="0.4">
      <c r="C86" s="22"/>
      <c r="D86" s="22"/>
      <c r="E86" s="22"/>
      <c r="F86" s="22"/>
      <c r="G86" s="22"/>
      <c r="H86" s="22"/>
      <c r="I86" s="22"/>
    </row>
    <row r="87" spans="3:9" x14ac:dyDescent="0.4">
      <c r="C87" s="22"/>
      <c r="D87" s="22"/>
      <c r="E87" s="22"/>
      <c r="F87" s="22"/>
      <c r="G87" s="22"/>
      <c r="H87" s="22"/>
      <c r="I87" s="22"/>
    </row>
    <row r="88" spans="3:9" x14ac:dyDescent="0.4">
      <c r="C88" s="22"/>
      <c r="D88" s="22"/>
      <c r="E88" s="22"/>
      <c r="F88" s="22"/>
      <c r="G88" s="22"/>
      <c r="H88" s="22"/>
      <c r="I88" s="22"/>
    </row>
    <row r="89" spans="3:9" x14ac:dyDescent="0.4">
      <c r="C89" s="22"/>
      <c r="D89" s="22"/>
      <c r="E89" s="22"/>
      <c r="F89" s="22"/>
      <c r="G89" s="22"/>
      <c r="H89" s="22"/>
      <c r="I89" s="22"/>
    </row>
    <row r="90" spans="3:9" x14ac:dyDescent="0.4">
      <c r="C90" s="22"/>
      <c r="D90" s="22"/>
      <c r="E90" s="22"/>
      <c r="F90" s="22"/>
      <c r="G90" s="22"/>
      <c r="H90" s="22"/>
      <c r="I90" s="22"/>
    </row>
    <row r="91" spans="3:9" x14ac:dyDescent="0.4">
      <c r="C91" s="22"/>
      <c r="D91" s="22"/>
      <c r="E91" s="22"/>
      <c r="F91" s="22"/>
      <c r="G91" s="22"/>
      <c r="H91" s="22"/>
      <c r="I91" s="22"/>
    </row>
    <row r="92" spans="3:9" x14ac:dyDescent="0.4">
      <c r="C92" s="22"/>
      <c r="D92" s="22"/>
      <c r="E92" s="22"/>
      <c r="F92" s="22"/>
      <c r="G92" s="22"/>
      <c r="H92" s="22"/>
      <c r="I92" s="22"/>
    </row>
    <row r="93" spans="3:9" x14ac:dyDescent="0.4">
      <c r="C93" s="22"/>
      <c r="D93" s="22"/>
      <c r="E93" s="22"/>
      <c r="F93" s="22"/>
      <c r="G93" s="22"/>
      <c r="H93" s="22"/>
      <c r="I93" s="22"/>
    </row>
    <row r="94" spans="3:9" x14ac:dyDescent="0.4">
      <c r="C94" s="22"/>
      <c r="D94" s="22"/>
      <c r="E94" s="22"/>
      <c r="F94" s="22"/>
      <c r="G94" s="22"/>
      <c r="H94" s="22"/>
      <c r="I94" s="22"/>
    </row>
    <row r="95" spans="3:9" x14ac:dyDescent="0.4">
      <c r="C95" s="22"/>
      <c r="D95" s="22"/>
      <c r="E95" s="22"/>
      <c r="F95" s="22"/>
      <c r="G95" s="22"/>
      <c r="H95" s="22"/>
      <c r="I95" s="22"/>
    </row>
    <row r="96" spans="3:9" x14ac:dyDescent="0.4">
      <c r="C96" s="22"/>
      <c r="D96" s="22"/>
      <c r="E96" s="22"/>
      <c r="F96" s="22"/>
      <c r="G96" s="22"/>
      <c r="H96" s="22"/>
      <c r="I96" s="22"/>
    </row>
    <row r="97" spans="3:9" x14ac:dyDescent="0.4">
      <c r="C97" s="22"/>
      <c r="D97" s="22"/>
      <c r="E97" s="22"/>
      <c r="F97" s="22"/>
      <c r="G97" s="22"/>
      <c r="H97" s="22"/>
      <c r="I97" s="22"/>
    </row>
    <row r="98" spans="3:9" x14ac:dyDescent="0.4">
      <c r="C98" s="22"/>
      <c r="D98" s="22"/>
      <c r="E98" s="22"/>
      <c r="F98" s="22"/>
      <c r="G98" s="22"/>
      <c r="H98" s="22"/>
      <c r="I98" s="22"/>
    </row>
    <row r="99" spans="3:9" x14ac:dyDescent="0.4">
      <c r="C99" s="22"/>
      <c r="D99" s="22"/>
      <c r="E99" s="22"/>
      <c r="F99" s="22"/>
      <c r="G99" s="22"/>
      <c r="H99" s="22"/>
      <c r="I99" s="22"/>
    </row>
    <row r="100" spans="3:9" x14ac:dyDescent="0.4">
      <c r="C100" s="22"/>
      <c r="D100" s="22"/>
      <c r="E100" s="22"/>
      <c r="F100" s="22"/>
      <c r="G100" s="22"/>
      <c r="H100" s="22"/>
      <c r="I100" s="22"/>
    </row>
    <row r="101" spans="3:9" x14ac:dyDescent="0.4">
      <c r="C101" s="22"/>
      <c r="D101" s="22"/>
      <c r="E101" s="22"/>
      <c r="F101" s="22"/>
      <c r="G101" s="22"/>
      <c r="H101" s="22"/>
      <c r="I101" s="22"/>
    </row>
  </sheetData>
  <sortState xmlns:xlrd2="http://schemas.microsoft.com/office/spreadsheetml/2017/richdata2" ref="A2:I65">
    <sortCondition ref="B2:B65"/>
  </sortState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EE33E-F941-4DE3-AD62-EDA94AF3F309}">
  <dimension ref="A1:R51"/>
  <sheetViews>
    <sheetView topLeftCell="A6" zoomScaleNormal="100" workbookViewId="0">
      <selection activeCell="L14" sqref="L14"/>
    </sheetView>
  </sheetViews>
  <sheetFormatPr defaultRowHeight="19.5" x14ac:dyDescent="0.4"/>
  <cols>
    <col min="1" max="1" width="14.375" style="22" customWidth="1"/>
    <col min="2" max="2" width="20.375" style="22" customWidth="1"/>
    <col min="3" max="3" width="5.75" style="23" bestFit="1" customWidth="1"/>
    <col min="4" max="4" width="8.875" style="23" customWidth="1"/>
    <col min="5" max="8" width="7.25" style="23" bestFit="1" customWidth="1"/>
    <col min="9" max="9" width="10.375" style="23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20" t="s">
        <v>33</v>
      </c>
      <c r="B1" s="20" t="s">
        <v>34</v>
      </c>
      <c r="C1" s="21" t="s">
        <v>35</v>
      </c>
      <c r="D1" s="21" t="s">
        <v>36</v>
      </c>
      <c r="E1" s="21" t="s">
        <v>37</v>
      </c>
      <c r="F1" s="21" t="s">
        <v>38</v>
      </c>
      <c r="G1" s="21" t="s">
        <v>39</v>
      </c>
      <c r="H1" s="21" t="s">
        <v>40</v>
      </c>
      <c r="I1" s="20" t="s">
        <v>41</v>
      </c>
    </row>
    <row r="2" spans="1:18" x14ac:dyDescent="0.4">
      <c r="A2" s="22" t="str">
        <f>+Dados!V2</f>
        <v>Novo São Joaquim</v>
      </c>
      <c r="B2" s="22" t="str">
        <f>+Dados!G2</f>
        <v>CACS-FUNDEB</v>
      </c>
      <c r="C2" s="22">
        <f>+Dados!H2</f>
        <v>5</v>
      </c>
      <c r="D2" s="22">
        <f>+Dados!I2</f>
        <v>5</v>
      </c>
      <c r="E2" s="22">
        <f>+Dados!J2</f>
        <v>5</v>
      </c>
      <c r="F2" s="22">
        <f>+Dados!K2</f>
        <v>5</v>
      </c>
      <c r="G2" s="22">
        <f>+Dados!L2</f>
        <v>5</v>
      </c>
      <c r="H2" s="22">
        <f>+Dados!M2</f>
        <v>5</v>
      </c>
      <c r="I2" s="22">
        <f>+Dados!N2</f>
        <v>5</v>
      </c>
      <c r="N2" s="2" t="s">
        <v>2</v>
      </c>
      <c r="O2" s="2" t="s">
        <v>45</v>
      </c>
      <c r="P2" s="2" t="s">
        <v>44</v>
      </c>
      <c r="Q2" s="2" t="s">
        <v>43</v>
      </c>
      <c r="R2" s="2" t="s">
        <v>42</v>
      </c>
    </row>
    <row r="3" spans="1:18" x14ac:dyDescent="0.4">
      <c r="A3" s="22" t="str">
        <f>+Dados!V3</f>
        <v>Querência</v>
      </c>
      <c r="B3" s="22" t="str">
        <f>+Dados!G3</f>
        <v>CACS-FUNDEB</v>
      </c>
      <c r="C3" s="22">
        <f>+Dados!H3</f>
        <v>4</v>
      </c>
      <c r="D3" s="22">
        <f>+Dados!I3</f>
        <v>4</v>
      </c>
      <c r="E3" s="22">
        <f>+Dados!J3</f>
        <v>4</v>
      </c>
      <c r="F3" s="22">
        <f>+Dados!K3</f>
        <v>4</v>
      </c>
      <c r="G3" s="22">
        <f>+Dados!L3</f>
        <v>4</v>
      </c>
      <c r="H3" s="22">
        <f>+Dados!M3</f>
        <v>4</v>
      </c>
      <c r="I3" s="22">
        <f>+Dados!N3</f>
        <v>4</v>
      </c>
      <c r="N3" s="22">
        <v>1</v>
      </c>
      <c r="O3" s="22">
        <v>2</v>
      </c>
      <c r="P3" s="22">
        <v>3</v>
      </c>
      <c r="Q3" s="22">
        <v>4</v>
      </c>
      <c r="R3" s="22">
        <v>5</v>
      </c>
    </row>
    <row r="4" spans="1:18" x14ac:dyDescent="0.4">
      <c r="A4" s="22" t="str">
        <f>+Dados!V4</f>
        <v>Porto Alegre do Norte</v>
      </c>
      <c r="B4" s="22" t="str">
        <f>+Dados!G4</f>
        <v>CACS-FUNDEB</v>
      </c>
      <c r="C4" s="22">
        <f>+Dados!H4</f>
        <v>4</v>
      </c>
      <c r="D4" s="22">
        <f>+Dados!I4</f>
        <v>4</v>
      </c>
      <c r="E4" s="22">
        <f>+Dados!J4</f>
        <v>4</v>
      </c>
      <c r="F4" s="22">
        <f>+Dados!K4</f>
        <v>4</v>
      </c>
      <c r="G4" s="22">
        <f>+Dados!L4</f>
        <v>4</v>
      </c>
      <c r="H4" s="22">
        <f>+Dados!M4</f>
        <v>4</v>
      </c>
      <c r="I4" s="22">
        <f>+Dados!N4</f>
        <v>4</v>
      </c>
    </row>
    <row r="5" spans="1:18" x14ac:dyDescent="0.4">
      <c r="A5" s="22" t="str">
        <f>+Dados!V5</f>
        <v>Ribeirão Cascalheira</v>
      </c>
      <c r="B5" s="22" t="str">
        <f>+Dados!G5</f>
        <v>CACS-FUNDEB</v>
      </c>
      <c r="C5" s="22">
        <f>+Dados!H5</f>
        <v>5</v>
      </c>
      <c r="D5" s="22">
        <f>+Dados!I5</f>
        <v>4</v>
      </c>
      <c r="E5" s="22">
        <f>+Dados!J5</f>
        <v>5</v>
      </c>
      <c r="F5" s="22">
        <f>+Dados!K5</f>
        <v>5</v>
      </c>
      <c r="G5" s="22">
        <f>+Dados!L5</f>
        <v>5</v>
      </c>
      <c r="H5" s="22">
        <f>+Dados!M5</f>
        <v>5</v>
      </c>
      <c r="I5" s="22">
        <f>+Dados!N5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22" t="str">
        <f>+Dados!V6</f>
        <v>Querência</v>
      </c>
      <c r="B6" s="22" t="str">
        <f>+Dados!G6</f>
        <v>CACS-FUNDEB</v>
      </c>
      <c r="C6" s="22">
        <f>+Dados!H6</f>
        <v>5</v>
      </c>
      <c r="D6" s="22">
        <f>+Dados!I6</f>
        <v>5</v>
      </c>
      <c r="E6" s="22">
        <f>+Dados!J6</f>
        <v>5</v>
      </c>
      <c r="F6" s="22">
        <f>+Dados!K6</f>
        <v>5</v>
      </c>
      <c r="G6" s="22">
        <f>+Dados!L6</f>
        <v>5</v>
      </c>
      <c r="H6" s="22">
        <f>+Dados!M6</f>
        <v>5</v>
      </c>
      <c r="I6" s="22">
        <f>+Dados!N6</f>
        <v>5</v>
      </c>
      <c r="M6" s="1" t="s">
        <v>35</v>
      </c>
      <c r="N6" s="24">
        <f>COUNTIF(C$2:C$52,$N3)/COUNT(C$2:C$52)</f>
        <v>0</v>
      </c>
      <c r="O6" s="24">
        <f>COUNTIF(C$2:C$52,$O3)/COUNT(C$2:C$52)</f>
        <v>0</v>
      </c>
      <c r="P6" s="24">
        <f>COUNTIF(C$2:C$52,$P3)/COUNT(C$2:C$52)</f>
        <v>0</v>
      </c>
      <c r="Q6" s="24">
        <f>COUNTIF(C$2:C$52,$Q3)/COUNT(C$2:C$52)</f>
        <v>0.2</v>
      </c>
      <c r="R6" s="24">
        <f>COUNTIF(C$2:C$52,$R3)/COUNT(C$2:C$52)</f>
        <v>0.8</v>
      </c>
    </row>
    <row r="7" spans="1:18" x14ac:dyDescent="0.4">
      <c r="A7" s="22" t="str">
        <f>+Dados!V7</f>
        <v>Confresa</v>
      </c>
      <c r="B7" s="22" t="str">
        <f>+Dados!G7</f>
        <v>CACS-FUNDEB</v>
      </c>
      <c r="C7" s="22">
        <f>+Dados!H7</f>
        <v>5</v>
      </c>
      <c r="D7" s="22">
        <f>+Dados!I7</f>
        <v>5</v>
      </c>
      <c r="E7" s="22">
        <f>+Dados!J7</f>
        <v>5</v>
      </c>
      <c r="F7" s="22">
        <f>+Dados!K7</f>
        <v>5</v>
      </c>
      <c r="G7" s="22">
        <f>+Dados!L7</f>
        <v>5</v>
      </c>
      <c r="H7" s="22">
        <f>+Dados!M7</f>
        <v>5</v>
      </c>
      <c r="I7" s="22">
        <f>+Dados!N7</f>
        <v>5</v>
      </c>
      <c r="M7" s="1" t="s">
        <v>36</v>
      </c>
      <c r="N7" s="24">
        <f>COUNTIF(D$2:D$52,$N3)/COUNT(D$2:D$52)</f>
        <v>0</v>
      </c>
      <c r="O7" s="24">
        <f>COUNTIF(D$2:D$52,$O3)/COUNT(D$2:D$52)</f>
        <v>0</v>
      </c>
      <c r="P7" s="24">
        <f>COUNTIF(D$2:D$52,$P3)/COUNT(D$2:D$52)</f>
        <v>0</v>
      </c>
      <c r="Q7" s="24">
        <f>COUNTIF(D$2:D$52,$Q3)/COUNT(D$2:D$52)</f>
        <v>0.46666666666666667</v>
      </c>
      <c r="R7" s="24">
        <f>COUNTIF(D$2:D$52,$R3)/COUNT(D$2:D$52)</f>
        <v>0.53333333333333333</v>
      </c>
    </row>
    <row r="8" spans="1:18" x14ac:dyDescent="0.4">
      <c r="A8" s="22" t="str">
        <f>+Dados!V8</f>
        <v>Pontal do Araguaia</v>
      </c>
      <c r="B8" s="22" t="str">
        <f>+Dados!G8</f>
        <v>CACS-FUNDEB</v>
      </c>
      <c r="C8" s="22">
        <f>+Dados!H8</f>
        <v>5</v>
      </c>
      <c r="D8" s="22">
        <f>+Dados!I8</f>
        <v>5</v>
      </c>
      <c r="E8" s="22">
        <f>+Dados!J8</f>
        <v>5</v>
      </c>
      <c r="F8" s="22">
        <f>+Dados!K8</f>
        <v>5</v>
      </c>
      <c r="G8" s="22">
        <f>+Dados!L8</f>
        <v>5</v>
      </c>
      <c r="H8" s="22">
        <f>+Dados!M8</f>
        <v>4</v>
      </c>
      <c r="I8" s="22">
        <f>+Dados!N8</f>
        <v>5</v>
      </c>
      <c r="M8" s="1" t="s">
        <v>37</v>
      </c>
      <c r="N8" s="24">
        <f>COUNTIF(E$2:E$52,$N3)/COUNT(E$2:E$52)</f>
        <v>0</v>
      </c>
      <c r="O8" s="24">
        <f>COUNTIF(E$2:E$52,$O3)/COUNT(E$2:E$52)</f>
        <v>0</v>
      </c>
      <c r="P8" s="24">
        <f>COUNTIF(E$2:E$52,$P3)/COUNT(E$2:E$52)</f>
        <v>0</v>
      </c>
      <c r="Q8" s="24">
        <f>COUNTIF(E$2:E$52,$Q3)/COUNT(E$2:E$52)</f>
        <v>0.26666666666666666</v>
      </c>
      <c r="R8" s="24">
        <f>COUNTIF(E$2:E$52,$R3)/COUNT(E$2:E$52)</f>
        <v>0.73333333333333328</v>
      </c>
    </row>
    <row r="9" spans="1:18" x14ac:dyDescent="0.4">
      <c r="A9" s="22" t="str">
        <f>+Dados!V9</f>
        <v>Canarana</v>
      </c>
      <c r="B9" s="22" t="str">
        <f>+Dados!G9</f>
        <v>CACS-FUNDEB</v>
      </c>
      <c r="C9" s="22">
        <f>+Dados!H9</f>
        <v>5</v>
      </c>
      <c r="D9" s="22">
        <f>+Dados!I9</f>
        <v>5</v>
      </c>
      <c r="E9" s="22">
        <f>+Dados!J9</f>
        <v>5</v>
      </c>
      <c r="F9" s="22">
        <f>+Dados!K9</f>
        <v>5</v>
      </c>
      <c r="G9" s="22">
        <f>+Dados!L9</f>
        <v>4</v>
      </c>
      <c r="H9" s="22">
        <f>+Dados!M9</f>
        <v>5</v>
      </c>
      <c r="I9" s="22">
        <f>+Dados!N9</f>
        <v>4</v>
      </c>
      <c r="M9" s="1" t="s">
        <v>38</v>
      </c>
      <c r="N9" s="24">
        <f>COUNTIF(F$2:F$52,$N3)/COUNT(F$2:F$52)</f>
        <v>0</v>
      </c>
      <c r="O9" s="24">
        <f>COUNTIF(F$2:F$52,$O3)/COUNT(F$2:F$52)</f>
        <v>0</v>
      </c>
      <c r="P9" s="24">
        <f>COUNTIF(F$2:F$52,$P3)/COUNT(F$2:F$52)</f>
        <v>0</v>
      </c>
      <c r="Q9" s="24">
        <f>COUNTIF(F$2:F$52,$Q3)/COUNT(F$2:F$52)</f>
        <v>0.26666666666666666</v>
      </c>
      <c r="R9" s="24">
        <f>COUNTIF(F$2:F$52,$R3)/COUNT(F$2:F$52)</f>
        <v>0.73333333333333328</v>
      </c>
    </row>
    <row r="10" spans="1:18" x14ac:dyDescent="0.4">
      <c r="A10" s="22" t="str">
        <f>+Dados!V10</f>
        <v>Confresa</v>
      </c>
      <c r="B10" s="22" t="str">
        <f>+Dados!G10</f>
        <v>CACS-FUNDEB</v>
      </c>
      <c r="C10" s="22">
        <f>+Dados!H10</f>
        <v>4</v>
      </c>
      <c r="D10" s="22">
        <f>+Dados!I10</f>
        <v>4</v>
      </c>
      <c r="E10" s="22">
        <f>+Dados!J10</f>
        <v>5</v>
      </c>
      <c r="F10" s="22">
        <f>+Dados!K10</f>
        <v>5</v>
      </c>
      <c r="G10" s="22">
        <f>+Dados!L10</f>
        <v>5</v>
      </c>
      <c r="H10" s="22">
        <f>+Dados!M10</f>
        <v>5</v>
      </c>
      <c r="I10" s="22">
        <f>+Dados!N10</f>
        <v>5</v>
      </c>
      <c r="M10" s="1" t="s">
        <v>39</v>
      </c>
      <c r="N10" s="24">
        <f>COUNTIF(G$2:G$52,$N3)/COUNT(G$2:G$52)</f>
        <v>0</v>
      </c>
      <c r="O10" s="24">
        <f>COUNTIF(G$2:G$52,$O3)/COUNT(G$2:G$52)</f>
        <v>0</v>
      </c>
      <c r="P10" s="24">
        <f>COUNTIF(G$2:G$52,$P3)/COUNT(G$2:G$52)</f>
        <v>6.6666666666666666E-2</v>
      </c>
      <c r="Q10" s="24">
        <f>COUNTIF(G$2:G$52,$Q3)/COUNT(G$2:G$52)</f>
        <v>0.2</v>
      </c>
      <c r="R10" s="24">
        <f>COUNTIF(G$2:G$52,$R3)/COUNT(G$2:G$52)</f>
        <v>0.73333333333333328</v>
      </c>
    </row>
    <row r="11" spans="1:18" x14ac:dyDescent="0.4">
      <c r="A11" s="22" t="str">
        <f>+Dados!V11</f>
        <v>Montes Claros de Goiás</v>
      </c>
      <c r="B11" s="22" t="str">
        <f>+Dados!G11</f>
        <v>CACS-FUNDEB</v>
      </c>
      <c r="C11" s="22">
        <f>+Dados!H11</f>
        <v>5</v>
      </c>
      <c r="D11" s="22">
        <f>+Dados!I11</f>
        <v>4</v>
      </c>
      <c r="E11" s="22">
        <f>+Dados!J11</f>
        <v>5</v>
      </c>
      <c r="F11" s="22">
        <f>+Dados!K11</f>
        <v>5</v>
      </c>
      <c r="G11" s="22">
        <f>+Dados!L11</f>
        <v>5</v>
      </c>
      <c r="H11" s="22">
        <f>+Dados!M11</f>
        <v>4</v>
      </c>
      <c r="I11" s="22">
        <f>+Dados!N11</f>
        <v>5</v>
      </c>
      <c r="M11" s="1" t="s">
        <v>40</v>
      </c>
      <c r="N11" s="24">
        <f>COUNTIF(H$2:H$52,$N3)/COUNT(H$2:H$52)</f>
        <v>0</v>
      </c>
      <c r="O11" s="24">
        <f>COUNTIF(H$2:H$52,$O3)/COUNT(H$2:H$52)</f>
        <v>0</v>
      </c>
      <c r="P11" s="24">
        <f>COUNTIF(H$2:H$52,$P3)/COUNT(H$2:H$52)</f>
        <v>6.6666666666666666E-2</v>
      </c>
      <c r="Q11" s="24">
        <f>COUNTIF(H$2:H$52,$Q3)/COUNT(H$2:H$52)</f>
        <v>0.4</v>
      </c>
      <c r="R11" s="24">
        <f>COUNTIF(H$2:H$52,$R3)/COUNT(H$2:H$52)</f>
        <v>0.53333333333333333</v>
      </c>
    </row>
    <row r="12" spans="1:18" x14ac:dyDescent="0.4">
      <c r="A12" s="22" t="str">
        <f>+Dados!V12</f>
        <v>Vila Rica</v>
      </c>
      <c r="B12" s="22" t="str">
        <f>+Dados!G12</f>
        <v>CACS-FUNDEB</v>
      </c>
      <c r="C12" s="22">
        <f>+Dados!H12</f>
        <v>5</v>
      </c>
      <c r="D12" s="22">
        <f>+Dados!I12</f>
        <v>5</v>
      </c>
      <c r="E12" s="22">
        <f>+Dados!J12</f>
        <v>5</v>
      </c>
      <c r="F12" s="22">
        <f>+Dados!K12</f>
        <v>5</v>
      </c>
      <c r="G12" s="22">
        <f>+Dados!L12</f>
        <v>5</v>
      </c>
      <c r="H12" s="22">
        <f>+Dados!M12</f>
        <v>5</v>
      </c>
      <c r="I12" s="22">
        <f>+Dados!N12</f>
        <v>5</v>
      </c>
      <c r="M12" s="1" t="s">
        <v>41</v>
      </c>
      <c r="N12" s="24">
        <f>COUNTIF(I$2:I$52,$N3)/COUNT(I$2:I$52)</f>
        <v>0</v>
      </c>
      <c r="O12" s="24">
        <f>COUNTIF(I$2:I$52,$O3)/COUNT(I$2:I$52)</f>
        <v>0</v>
      </c>
      <c r="P12" s="24">
        <f>COUNTIF(I$2:I$52,$P3)/COUNT(I$2:I$52)</f>
        <v>0</v>
      </c>
      <c r="Q12" s="24">
        <f>COUNTIF(I$2:I$52,$Q3)/COUNT(I$2:I$52)</f>
        <v>0.26666666666666666</v>
      </c>
      <c r="R12" s="24">
        <f>COUNTIF(I$2:I$52,$R3)/COUNT(I$2:I$52)</f>
        <v>0.73333333333333328</v>
      </c>
    </row>
    <row r="13" spans="1:18" x14ac:dyDescent="0.4">
      <c r="A13" s="22" t="str">
        <f>+Dados!V13</f>
        <v>São Félix do Araguaia</v>
      </c>
      <c r="B13" s="22" t="str">
        <f>+Dados!G13</f>
        <v>CACS-FUNDEB</v>
      </c>
      <c r="C13" s="22">
        <f>+Dados!H13</f>
        <v>5</v>
      </c>
      <c r="D13" s="22">
        <f>+Dados!I13</f>
        <v>4</v>
      </c>
      <c r="E13" s="22">
        <f>+Dados!J13</f>
        <v>5</v>
      </c>
      <c r="F13" s="22">
        <f>+Dados!K13</f>
        <v>4</v>
      </c>
      <c r="G13" s="22">
        <f>+Dados!L13</f>
        <v>5</v>
      </c>
      <c r="H13" s="22">
        <f>+Dados!M13</f>
        <v>4</v>
      </c>
      <c r="I13" s="22">
        <f>+Dados!N13</f>
        <v>5</v>
      </c>
    </row>
    <row r="14" spans="1:18" x14ac:dyDescent="0.4">
      <c r="A14" s="22" t="str">
        <f>+Dados!V14</f>
        <v>Serra Nova Dourada</v>
      </c>
      <c r="B14" s="22" t="str">
        <f>+Dados!G14</f>
        <v>CACS-FUNDEB</v>
      </c>
      <c r="C14" s="22">
        <f>+Dados!H14</f>
        <v>5</v>
      </c>
      <c r="D14" s="22">
        <f>+Dados!I14</f>
        <v>5</v>
      </c>
      <c r="E14" s="22">
        <f>+Dados!J14</f>
        <v>5</v>
      </c>
      <c r="F14" s="22">
        <f>+Dados!K14</f>
        <v>5</v>
      </c>
      <c r="G14" s="22">
        <f>+Dados!L14</f>
        <v>5</v>
      </c>
      <c r="H14" s="22">
        <f>+Dados!M14</f>
        <v>5</v>
      </c>
      <c r="I14" s="22">
        <f>+Dados!N14</f>
        <v>5</v>
      </c>
    </row>
    <row r="15" spans="1:18" x14ac:dyDescent="0.4">
      <c r="A15" s="22" t="str">
        <f>+Dados!V15</f>
        <v>Vila Rica</v>
      </c>
      <c r="B15" s="22" t="str">
        <f>+Dados!G15</f>
        <v>CACS-FUNDEB</v>
      </c>
      <c r="C15" s="22">
        <f>+Dados!H15</f>
        <v>5</v>
      </c>
      <c r="D15" s="22">
        <f>+Dados!I15</f>
        <v>5</v>
      </c>
      <c r="E15" s="22">
        <f>+Dados!J15</f>
        <v>4</v>
      </c>
      <c r="F15" s="22">
        <f>+Dados!K15</f>
        <v>5</v>
      </c>
      <c r="G15" s="22">
        <f>+Dados!L15</f>
        <v>3</v>
      </c>
      <c r="H15" s="22">
        <f>+Dados!M15</f>
        <v>4</v>
      </c>
      <c r="I15" s="22">
        <f>+Dados!N15</f>
        <v>5</v>
      </c>
    </row>
    <row r="16" spans="1:18" x14ac:dyDescent="0.4">
      <c r="A16" s="22" t="str">
        <f>+Dados!V16</f>
        <v>Canabrava do Norte</v>
      </c>
      <c r="B16" s="22" t="str">
        <f>+Dados!G16</f>
        <v>CACS-FUNDEB</v>
      </c>
      <c r="C16" s="22">
        <f>+Dados!H16</f>
        <v>5</v>
      </c>
      <c r="D16" s="22">
        <f>+Dados!I16</f>
        <v>4</v>
      </c>
      <c r="E16" s="22">
        <f>+Dados!J16</f>
        <v>4</v>
      </c>
      <c r="F16" s="22">
        <f>+Dados!K16</f>
        <v>4</v>
      </c>
      <c r="G16" s="22">
        <f>+Dados!L16</f>
        <v>5</v>
      </c>
      <c r="H16" s="22">
        <f>+Dados!M16</f>
        <v>3</v>
      </c>
      <c r="I16" s="22">
        <f>+Dados!N16</f>
        <v>4</v>
      </c>
    </row>
    <row r="17" spans="3:9" x14ac:dyDescent="0.4">
      <c r="C17" s="22"/>
      <c r="D17" s="22"/>
      <c r="E17" s="22"/>
      <c r="F17" s="22"/>
      <c r="G17" s="22"/>
      <c r="H17" s="22"/>
      <c r="I17" s="22"/>
    </row>
    <row r="18" spans="3:9" x14ac:dyDescent="0.4">
      <c r="C18" s="22"/>
      <c r="D18" s="22"/>
      <c r="E18" s="22"/>
      <c r="F18" s="22"/>
      <c r="G18" s="22"/>
      <c r="H18" s="22"/>
      <c r="I18" s="22"/>
    </row>
    <row r="19" spans="3:9" x14ac:dyDescent="0.4">
      <c r="C19" s="22"/>
      <c r="D19" s="22"/>
      <c r="E19" s="22"/>
      <c r="F19" s="22"/>
      <c r="G19" s="22"/>
      <c r="H19" s="22"/>
      <c r="I19" s="22"/>
    </row>
    <row r="20" spans="3:9" x14ac:dyDescent="0.4">
      <c r="C20" s="22"/>
      <c r="D20" s="22"/>
      <c r="E20" s="22"/>
      <c r="F20" s="22"/>
      <c r="G20" s="22"/>
      <c r="H20" s="22"/>
      <c r="I20" s="22"/>
    </row>
    <row r="21" spans="3:9" x14ac:dyDescent="0.4">
      <c r="C21" s="22"/>
      <c r="D21" s="22"/>
      <c r="E21" s="22"/>
      <c r="F21" s="22"/>
      <c r="G21" s="22"/>
      <c r="H21" s="22"/>
      <c r="I21" s="22"/>
    </row>
    <row r="22" spans="3:9" x14ac:dyDescent="0.4">
      <c r="C22" s="22"/>
      <c r="D22" s="22"/>
      <c r="E22" s="22"/>
      <c r="F22" s="22"/>
      <c r="G22" s="22"/>
      <c r="H22" s="22"/>
      <c r="I22" s="22"/>
    </row>
    <row r="23" spans="3:9" x14ac:dyDescent="0.4">
      <c r="C23" s="22"/>
      <c r="D23" s="22"/>
      <c r="E23" s="22"/>
      <c r="F23" s="22"/>
      <c r="G23" s="22"/>
      <c r="H23" s="22"/>
      <c r="I23" s="22"/>
    </row>
    <row r="24" spans="3:9" x14ac:dyDescent="0.4">
      <c r="C24" s="22"/>
      <c r="D24" s="22"/>
      <c r="E24" s="22"/>
      <c r="F24" s="22"/>
      <c r="G24" s="22"/>
      <c r="H24" s="22"/>
      <c r="I24" s="22"/>
    </row>
    <row r="25" spans="3:9" x14ac:dyDescent="0.4">
      <c r="C25" s="22"/>
      <c r="D25" s="22"/>
      <c r="E25" s="22"/>
      <c r="F25" s="22"/>
      <c r="G25" s="22"/>
      <c r="H25" s="22"/>
      <c r="I25" s="22"/>
    </row>
    <row r="26" spans="3:9" x14ac:dyDescent="0.4">
      <c r="C26" s="22"/>
      <c r="D26" s="22"/>
      <c r="E26" s="22"/>
      <c r="F26" s="22"/>
      <c r="G26" s="22"/>
      <c r="H26" s="22"/>
      <c r="I26" s="22"/>
    </row>
    <row r="27" spans="3:9" x14ac:dyDescent="0.4">
      <c r="C27" s="22"/>
      <c r="D27" s="22"/>
      <c r="E27" s="22"/>
      <c r="F27" s="22"/>
      <c r="G27" s="22"/>
      <c r="H27" s="22"/>
      <c r="I27" s="22"/>
    </row>
    <row r="28" spans="3:9" x14ac:dyDescent="0.4">
      <c r="C28" s="22"/>
      <c r="D28" s="22"/>
      <c r="E28" s="22"/>
      <c r="F28" s="22"/>
      <c r="G28" s="22"/>
      <c r="H28" s="22"/>
      <c r="I28" s="22"/>
    </row>
    <row r="29" spans="3:9" x14ac:dyDescent="0.4">
      <c r="C29" s="22"/>
      <c r="D29" s="22"/>
      <c r="E29" s="22"/>
      <c r="F29" s="22"/>
      <c r="G29" s="22"/>
      <c r="H29" s="22"/>
      <c r="I29" s="22"/>
    </row>
    <row r="30" spans="3:9" x14ac:dyDescent="0.4">
      <c r="C30" s="22"/>
      <c r="D30" s="22"/>
      <c r="E30" s="22"/>
      <c r="F30" s="22"/>
      <c r="G30" s="22"/>
      <c r="H30" s="22"/>
      <c r="I30" s="22"/>
    </row>
    <row r="31" spans="3:9" x14ac:dyDescent="0.4">
      <c r="C31" s="22"/>
      <c r="D31" s="22"/>
      <c r="E31" s="22"/>
      <c r="F31" s="22"/>
      <c r="G31" s="22"/>
      <c r="H31" s="22"/>
      <c r="I31" s="22"/>
    </row>
    <row r="32" spans="3:9" x14ac:dyDescent="0.4">
      <c r="C32" s="22"/>
      <c r="D32" s="22"/>
      <c r="E32" s="22"/>
      <c r="F32" s="22"/>
      <c r="G32" s="22"/>
      <c r="H32" s="22"/>
      <c r="I32" s="22"/>
    </row>
    <row r="33" spans="3:9" x14ac:dyDescent="0.4">
      <c r="C33" s="22"/>
      <c r="D33" s="22"/>
      <c r="E33" s="22"/>
      <c r="F33" s="22"/>
      <c r="G33" s="22"/>
      <c r="H33" s="22"/>
      <c r="I33" s="22"/>
    </row>
    <row r="34" spans="3:9" x14ac:dyDescent="0.4">
      <c r="C34" s="22"/>
      <c r="D34" s="22"/>
      <c r="E34" s="22"/>
      <c r="F34" s="22"/>
      <c r="G34" s="22"/>
      <c r="H34" s="22"/>
      <c r="I34" s="22"/>
    </row>
    <row r="35" spans="3:9" x14ac:dyDescent="0.4">
      <c r="C35" s="22"/>
      <c r="D35" s="22"/>
      <c r="E35" s="22"/>
      <c r="F35" s="22"/>
      <c r="G35" s="22"/>
      <c r="H35" s="22"/>
      <c r="I35" s="22"/>
    </row>
    <row r="36" spans="3:9" x14ac:dyDescent="0.4">
      <c r="C36" s="22"/>
      <c r="D36" s="22"/>
      <c r="E36" s="22"/>
      <c r="F36" s="22"/>
      <c r="G36" s="22"/>
      <c r="H36" s="22"/>
      <c r="I36" s="22"/>
    </row>
    <row r="37" spans="3:9" x14ac:dyDescent="0.4">
      <c r="C37" s="22"/>
      <c r="D37" s="22"/>
      <c r="E37" s="22"/>
      <c r="F37" s="22"/>
      <c r="G37" s="22"/>
      <c r="H37" s="22"/>
      <c r="I37" s="22"/>
    </row>
    <row r="38" spans="3:9" x14ac:dyDescent="0.4">
      <c r="C38" s="22"/>
      <c r="D38" s="22"/>
      <c r="E38" s="22"/>
      <c r="F38" s="22"/>
      <c r="G38" s="22"/>
      <c r="H38" s="22"/>
      <c r="I38" s="22"/>
    </row>
    <row r="39" spans="3:9" x14ac:dyDescent="0.4">
      <c r="C39" s="22"/>
      <c r="D39" s="22"/>
      <c r="E39" s="22"/>
      <c r="F39" s="22"/>
      <c r="G39" s="22"/>
      <c r="H39" s="22"/>
      <c r="I39" s="22"/>
    </row>
    <row r="40" spans="3:9" x14ac:dyDescent="0.4">
      <c r="C40" s="22"/>
      <c r="D40" s="22"/>
      <c r="E40" s="22"/>
      <c r="F40" s="22"/>
      <c r="G40" s="22"/>
      <c r="H40" s="22"/>
      <c r="I40" s="22"/>
    </row>
    <row r="41" spans="3:9" x14ac:dyDescent="0.4">
      <c r="C41" s="22"/>
      <c r="D41" s="22"/>
      <c r="E41" s="22"/>
      <c r="F41" s="22"/>
      <c r="G41" s="22"/>
      <c r="H41" s="22"/>
      <c r="I41" s="22"/>
    </row>
    <row r="42" spans="3:9" x14ac:dyDescent="0.4">
      <c r="C42" s="22"/>
      <c r="D42" s="22"/>
      <c r="E42" s="22"/>
      <c r="F42" s="22"/>
      <c r="G42" s="22"/>
      <c r="H42" s="22"/>
      <c r="I42" s="22"/>
    </row>
    <row r="43" spans="3:9" x14ac:dyDescent="0.4">
      <c r="C43" s="22"/>
      <c r="D43" s="22"/>
      <c r="E43" s="22"/>
      <c r="F43" s="22"/>
      <c r="G43" s="22"/>
      <c r="H43" s="22"/>
      <c r="I43" s="22"/>
    </row>
    <row r="44" spans="3:9" x14ac:dyDescent="0.4">
      <c r="C44" s="22"/>
      <c r="D44" s="22"/>
      <c r="E44" s="22"/>
      <c r="F44" s="22"/>
      <c r="G44" s="22"/>
      <c r="H44" s="22"/>
      <c r="I44" s="22"/>
    </row>
    <row r="45" spans="3:9" x14ac:dyDescent="0.4">
      <c r="C45" s="22"/>
      <c r="D45" s="22"/>
      <c r="E45" s="22"/>
      <c r="F45" s="22"/>
      <c r="G45" s="22"/>
      <c r="H45" s="22"/>
      <c r="I45" s="22"/>
    </row>
    <row r="46" spans="3:9" x14ac:dyDescent="0.4">
      <c r="C46" s="22"/>
      <c r="D46" s="22"/>
      <c r="E46" s="22"/>
      <c r="F46" s="22"/>
      <c r="G46" s="22"/>
      <c r="H46" s="22"/>
      <c r="I46" s="22"/>
    </row>
    <row r="47" spans="3:9" x14ac:dyDescent="0.4">
      <c r="C47" s="22"/>
      <c r="D47" s="22"/>
      <c r="E47" s="22"/>
      <c r="F47" s="22"/>
      <c r="G47" s="22"/>
      <c r="H47" s="22"/>
      <c r="I47" s="22"/>
    </row>
    <row r="48" spans="3:9" x14ac:dyDescent="0.4">
      <c r="C48" s="22"/>
      <c r="D48" s="22"/>
      <c r="E48" s="22"/>
      <c r="F48" s="22"/>
      <c r="G48" s="22"/>
      <c r="H48" s="22"/>
      <c r="I48" s="22"/>
    </row>
    <row r="49" spans="3:9" x14ac:dyDescent="0.4">
      <c r="C49" s="22"/>
      <c r="D49" s="22"/>
      <c r="E49" s="22"/>
      <c r="F49" s="22"/>
      <c r="G49" s="22"/>
      <c r="H49" s="22"/>
      <c r="I49" s="22"/>
    </row>
    <row r="50" spans="3:9" x14ac:dyDescent="0.4">
      <c r="C50" s="22"/>
      <c r="D50" s="22"/>
      <c r="E50" s="22"/>
      <c r="F50" s="22"/>
      <c r="G50" s="22"/>
      <c r="H50" s="22"/>
      <c r="I50" s="22"/>
    </row>
    <row r="51" spans="3:9" x14ac:dyDescent="0.4">
      <c r="C51" s="22"/>
      <c r="D51" s="22"/>
      <c r="E51" s="22"/>
      <c r="F51" s="22"/>
      <c r="G51" s="22"/>
      <c r="H51" s="22"/>
      <c r="I51" s="2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C264D-2086-4E5E-A9BF-F02DA588FEA2}">
  <dimension ref="A1:R105"/>
  <sheetViews>
    <sheetView tabSelected="1" topLeftCell="A4" zoomScale="85" zoomScaleNormal="85" workbookViewId="0">
      <selection activeCell="M17" sqref="M17"/>
    </sheetView>
  </sheetViews>
  <sheetFormatPr defaultRowHeight="19.5" x14ac:dyDescent="0.4"/>
  <cols>
    <col min="1" max="1" width="14.375" style="22" customWidth="1"/>
    <col min="2" max="2" width="20.375" style="22" customWidth="1"/>
    <col min="3" max="3" width="5.75" style="23" bestFit="1" customWidth="1"/>
    <col min="4" max="4" width="8.875" style="23" customWidth="1"/>
    <col min="5" max="8" width="7.25" style="23" bestFit="1" customWidth="1"/>
    <col min="9" max="9" width="10.375" style="23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20" t="s">
        <v>33</v>
      </c>
      <c r="B1" s="20" t="s">
        <v>34</v>
      </c>
      <c r="C1" s="21" t="s">
        <v>35</v>
      </c>
      <c r="D1" s="21" t="s">
        <v>36</v>
      </c>
      <c r="E1" s="21" t="s">
        <v>37</v>
      </c>
      <c r="F1" s="21" t="s">
        <v>38</v>
      </c>
      <c r="G1" s="21" t="s">
        <v>39</v>
      </c>
      <c r="H1" s="21" t="s">
        <v>40</v>
      </c>
      <c r="I1" s="20" t="s">
        <v>41</v>
      </c>
    </row>
    <row r="2" spans="1:18" x14ac:dyDescent="0.4">
      <c r="C2" s="22"/>
      <c r="D2" s="22"/>
      <c r="E2" s="22"/>
      <c r="F2" s="22"/>
      <c r="G2" s="22"/>
      <c r="H2" s="22"/>
      <c r="I2" s="22"/>
      <c r="N2" s="2" t="s">
        <v>2</v>
      </c>
      <c r="O2" s="2" t="s">
        <v>45</v>
      </c>
      <c r="P2" s="2" t="s">
        <v>44</v>
      </c>
      <c r="Q2" s="2" t="s">
        <v>43</v>
      </c>
      <c r="R2" s="2" t="s">
        <v>42</v>
      </c>
    </row>
    <row r="3" spans="1:18" x14ac:dyDescent="0.4">
      <c r="C3" s="22"/>
      <c r="D3" s="22"/>
      <c r="E3" s="22"/>
      <c r="F3" s="22"/>
      <c r="G3" s="22"/>
      <c r="H3" s="22"/>
      <c r="I3" s="22"/>
      <c r="N3" s="22">
        <v>1</v>
      </c>
      <c r="O3" s="22">
        <v>2</v>
      </c>
      <c r="P3" s="22">
        <v>3</v>
      </c>
      <c r="Q3" s="22">
        <v>4</v>
      </c>
      <c r="R3" s="22">
        <v>5</v>
      </c>
    </row>
    <row r="4" spans="1:18" x14ac:dyDescent="0.4">
      <c r="C4" s="22"/>
      <c r="D4" s="22"/>
      <c r="E4" s="22"/>
      <c r="F4" s="22"/>
      <c r="G4" s="22"/>
      <c r="H4" s="22"/>
      <c r="I4" s="22"/>
    </row>
    <row r="5" spans="1:18" x14ac:dyDescent="0.4">
      <c r="C5" s="22"/>
      <c r="D5" s="22"/>
      <c r="E5" s="22"/>
      <c r="F5" s="22"/>
      <c r="G5" s="22"/>
      <c r="H5" s="22"/>
      <c r="I5" s="22"/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C6" s="22"/>
      <c r="D6" s="22"/>
      <c r="E6" s="22"/>
      <c r="F6" s="22"/>
      <c r="G6" s="22"/>
      <c r="H6" s="22"/>
      <c r="I6" s="22"/>
      <c r="M6" s="1" t="s">
        <v>35</v>
      </c>
      <c r="N6" s="24">
        <f>COUNTIF(C$2:C$70,$N3)/COUNT(C$2:C$70)</f>
        <v>0</v>
      </c>
      <c r="O6" s="24">
        <f>COUNTIF(C$2:C$70,$O3)/COUNT(C$2:C$70)</f>
        <v>0</v>
      </c>
      <c r="P6" s="24">
        <f>COUNTIF(C$2:C$70,$P3)/COUNT(C$2:C$70)</f>
        <v>6.25E-2</v>
      </c>
      <c r="Q6" s="24">
        <f>COUNTIF(C$2:C$70,$Q3)/COUNT(C$2:C$70)</f>
        <v>0.28125</v>
      </c>
      <c r="R6" s="24">
        <f>COUNTIF(C$2:C$70,$R3)/COUNT(C$2:C$70)</f>
        <v>0.65625</v>
      </c>
    </row>
    <row r="7" spans="1:18" x14ac:dyDescent="0.4">
      <c r="C7" s="22"/>
      <c r="D7" s="22"/>
      <c r="E7" s="22"/>
      <c r="F7" s="22"/>
      <c r="G7" s="22"/>
      <c r="H7" s="22"/>
      <c r="I7" s="22"/>
      <c r="M7" s="1" t="s">
        <v>36</v>
      </c>
      <c r="N7" s="24">
        <f>COUNTIF(D$2:D$70,$N3)/COUNT(D$2:D$70)</f>
        <v>0</v>
      </c>
      <c r="O7" s="24">
        <f>COUNTIF(D$2:D$70,$O3)/COUNT(D$2:D$70)</f>
        <v>0</v>
      </c>
      <c r="P7" s="24">
        <f>COUNTIF(D$2:D$70,$P3)/COUNT(D$2:D$70)</f>
        <v>0.15625</v>
      </c>
      <c r="Q7" s="24">
        <f>COUNTIF(D$2:D$70,$Q3)/COUNT(D$2:D$70)</f>
        <v>0.3125</v>
      </c>
      <c r="R7" s="24">
        <f>COUNTIF(D$2:D$70,$R3)/COUNT(D$2:D$70)</f>
        <v>0.53125</v>
      </c>
    </row>
    <row r="8" spans="1:18" x14ac:dyDescent="0.4">
      <c r="C8" s="22"/>
      <c r="D8" s="22"/>
      <c r="E8" s="22"/>
      <c r="F8" s="22"/>
      <c r="G8" s="22"/>
      <c r="H8" s="22"/>
      <c r="I8" s="22"/>
      <c r="M8" s="1" t="s">
        <v>37</v>
      </c>
      <c r="N8" s="24">
        <f>COUNTIF(E$2:E$70,$N3)/COUNT(E$2:E$70)</f>
        <v>0</v>
      </c>
      <c r="O8" s="24">
        <f>COUNTIF(E$2:E$70,$O3)/COUNT(E$2:E$70)</f>
        <v>0</v>
      </c>
      <c r="P8" s="24">
        <f>COUNTIF(E$2:E$70,$P3)/COUNT(E$2:E$70)</f>
        <v>6.25E-2</v>
      </c>
      <c r="Q8" s="24">
        <f>COUNTIF(E$2:E$70,$Q3)/COUNT(E$2:E$70)</f>
        <v>0.34375</v>
      </c>
      <c r="R8" s="24">
        <f>COUNTIF(E$2:E$70,$R3)/COUNT(E$2:E$70)</f>
        <v>0.59375</v>
      </c>
    </row>
    <row r="9" spans="1:18" x14ac:dyDescent="0.4">
      <c r="C9" s="22"/>
      <c r="D9" s="22"/>
      <c r="E9" s="22"/>
      <c r="F9" s="22"/>
      <c r="G9" s="22"/>
      <c r="H9" s="22"/>
      <c r="I9" s="22"/>
      <c r="M9" s="1" t="s">
        <v>38</v>
      </c>
      <c r="N9" s="24">
        <f>COUNTIF(F$2:F$70,$N3)/COUNT(F$2:F$70)</f>
        <v>0</v>
      </c>
      <c r="O9" s="24">
        <f>COUNTIF(F$2:F$70,$O3)/COUNT(F$2:F$70)</f>
        <v>3.125E-2</v>
      </c>
      <c r="P9" s="24">
        <f>COUNTIF(F$2:F$70,$P3)/COUNT(F$2:F$70)</f>
        <v>6.25E-2</v>
      </c>
      <c r="Q9" s="24">
        <f>COUNTIF(F$2:F$70,$Q3)/COUNT(F$2:F$70)</f>
        <v>0.34375</v>
      </c>
      <c r="R9" s="24">
        <f>COUNTIF(F$2:F$70,$R3)/COUNT(F$2:F$70)</f>
        <v>0.5625</v>
      </c>
    </row>
    <row r="10" spans="1:18" x14ac:dyDescent="0.4">
      <c r="C10" s="22"/>
      <c r="D10" s="22"/>
      <c r="E10" s="22"/>
      <c r="F10" s="22"/>
      <c r="G10" s="22"/>
      <c r="H10" s="22"/>
      <c r="I10" s="22"/>
      <c r="M10" s="1" t="s">
        <v>39</v>
      </c>
      <c r="N10" s="24">
        <f>COUNTIF(G$2:G$70,$N3)/COUNT(G$2:G$70)</f>
        <v>0</v>
      </c>
      <c r="O10" s="24">
        <f>COUNTIF(G$2:G$70,$O3)/COUNT(G$2:G$70)</f>
        <v>9.375E-2</v>
      </c>
      <c r="P10" s="24">
        <f>COUNTIF(G$2:G$70,$P3)/COUNT(G$2:G$70)</f>
        <v>0.15625</v>
      </c>
      <c r="Q10" s="24">
        <f>COUNTIF(G$2:G$70,$Q3)/COUNT(G$2:G$70)</f>
        <v>0.25</v>
      </c>
      <c r="R10" s="24">
        <f>COUNTIF(G$2:G$70,$R3)/COUNT(G$2:G$70)</f>
        <v>0.5</v>
      </c>
    </row>
    <row r="11" spans="1:18" x14ac:dyDescent="0.4">
      <c r="C11" s="22"/>
      <c r="D11" s="22"/>
      <c r="E11" s="22"/>
      <c r="F11" s="22"/>
      <c r="G11" s="22"/>
      <c r="H11" s="22"/>
      <c r="I11" s="22"/>
      <c r="M11" s="1" t="s">
        <v>40</v>
      </c>
      <c r="N11" s="24">
        <f>COUNTIF(H$2:H$70,$N3)/COUNT(H$2:H$70)</f>
        <v>0</v>
      </c>
      <c r="O11" s="24">
        <f>COUNTIF(H$2:H$70,$O3)/COUNT(H$2:H$70)</f>
        <v>3.125E-2</v>
      </c>
      <c r="P11" s="24">
        <f>COUNTIF(H$2:H$70,$P3)/COUNT(H$2:H$70)</f>
        <v>0.125</v>
      </c>
      <c r="Q11" s="24">
        <f>COUNTIF(H$2:H$70,$Q3)/COUNT(H$2:H$70)</f>
        <v>0.40625</v>
      </c>
      <c r="R11" s="24">
        <f>COUNTIF(H$2:H$70,$R3)/COUNT(H$2:H$70)</f>
        <v>0.4375</v>
      </c>
    </row>
    <row r="12" spans="1:18" x14ac:dyDescent="0.4">
      <c r="C12" s="22"/>
      <c r="D12" s="22"/>
      <c r="E12" s="22"/>
      <c r="F12" s="22"/>
      <c r="G12" s="22"/>
      <c r="H12" s="22"/>
      <c r="I12" s="22"/>
      <c r="M12" s="1" t="s">
        <v>41</v>
      </c>
      <c r="N12" s="24">
        <f>COUNTIF(I$2:I$70,$N3)/COUNT(I$2:I$70)</f>
        <v>0</v>
      </c>
      <c r="O12" s="24">
        <f>COUNTIF(I$2:I$70,$O3)/COUNT(I$2:I$70)</f>
        <v>0</v>
      </c>
      <c r="P12" s="24">
        <f>COUNTIF(I$2:I$70,$P3)/COUNT(I$2:I$70)</f>
        <v>0.125</v>
      </c>
      <c r="Q12" s="24">
        <f>COUNTIF(I$2:I$70,$Q3)/COUNT(I$2:I$70)</f>
        <v>0.25</v>
      </c>
      <c r="R12" s="24">
        <f>COUNTIF(I$2:I$70,$R3)/COUNT(I$2:I$70)</f>
        <v>0.625</v>
      </c>
    </row>
    <row r="13" spans="1:18" x14ac:dyDescent="0.4">
      <c r="C13" s="22"/>
      <c r="D13" s="22"/>
      <c r="E13" s="22"/>
      <c r="F13" s="22"/>
      <c r="G13" s="22"/>
      <c r="H13" s="22"/>
      <c r="I13" s="22"/>
    </row>
    <row r="14" spans="1:18" x14ac:dyDescent="0.4">
      <c r="C14" s="22"/>
      <c r="D14" s="22"/>
      <c r="E14" s="22"/>
      <c r="F14" s="22"/>
      <c r="G14" s="22"/>
      <c r="H14" s="22"/>
      <c r="I14" s="22"/>
    </row>
    <row r="15" spans="1:18" x14ac:dyDescent="0.4">
      <c r="C15" s="22"/>
      <c r="D15" s="22"/>
      <c r="E15" s="22"/>
      <c r="F15" s="22"/>
      <c r="G15" s="22"/>
      <c r="H15" s="22"/>
      <c r="I15" s="22"/>
    </row>
    <row r="16" spans="1:18" x14ac:dyDescent="0.4">
      <c r="C16" s="22"/>
      <c r="D16" s="22"/>
      <c r="E16" s="22"/>
      <c r="F16" s="22"/>
      <c r="G16" s="22"/>
      <c r="H16" s="22"/>
      <c r="I16" s="22"/>
    </row>
    <row r="17" spans="1:9" x14ac:dyDescent="0.4">
      <c r="A17" s="22" t="str">
        <f>+Dados!V17</f>
        <v>Querência</v>
      </c>
      <c r="B17" s="22" t="str">
        <f>+Dados!G17</f>
        <v>Gestão municipal</v>
      </c>
      <c r="C17" s="22">
        <f>+Dados!H17</f>
        <v>5</v>
      </c>
      <c r="D17" s="22">
        <f>+Dados!I17</f>
        <v>5</v>
      </c>
      <c r="E17" s="22">
        <f>+Dados!J17</f>
        <v>5</v>
      </c>
      <c r="F17" s="22">
        <f>+Dados!K17</f>
        <v>5</v>
      </c>
      <c r="G17" s="22">
        <f>+Dados!L17</f>
        <v>5</v>
      </c>
      <c r="H17" s="22">
        <f>+Dados!M17</f>
        <v>5</v>
      </c>
      <c r="I17" s="22">
        <f>+Dados!N17</f>
        <v>5</v>
      </c>
    </row>
    <row r="18" spans="1:9" x14ac:dyDescent="0.4">
      <c r="A18" s="22" t="str">
        <f>+Dados!V18</f>
        <v>Canarana</v>
      </c>
      <c r="B18" s="22" t="str">
        <f>+Dados!G18</f>
        <v>Gestão municipal</v>
      </c>
      <c r="C18" s="22">
        <f>+Dados!H18</f>
        <v>5</v>
      </c>
      <c r="D18" s="22">
        <f>+Dados!I18</f>
        <v>4</v>
      </c>
      <c r="E18" s="22">
        <f>+Dados!J18</f>
        <v>5</v>
      </c>
      <c r="F18" s="22">
        <f>+Dados!K18</f>
        <v>5</v>
      </c>
      <c r="G18" s="22">
        <f>+Dados!L18</f>
        <v>5</v>
      </c>
      <c r="H18" s="22">
        <f>+Dados!M18</f>
        <v>4</v>
      </c>
      <c r="I18" s="22">
        <f>+Dados!N18</f>
        <v>5</v>
      </c>
    </row>
    <row r="19" spans="1:9" x14ac:dyDescent="0.4">
      <c r="A19" s="22" t="str">
        <f>+Dados!V19</f>
        <v>Ribeirão Cascalheira</v>
      </c>
      <c r="B19" s="22" t="str">
        <f>+Dados!G19</f>
        <v>Gestão municipal</v>
      </c>
      <c r="C19" s="22">
        <f>+Dados!H19</f>
        <v>5</v>
      </c>
      <c r="D19" s="22">
        <f>+Dados!I19</f>
        <v>5</v>
      </c>
      <c r="E19" s="22">
        <f>+Dados!J19</f>
        <v>5</v>
      </c>
      <c r="F19" s="22">
        <f>+Dados!K19</f>
        <v>5</v>
      </c>
      <c r="G19" s="22">
        <f>+Dados!L19</f>
        <v>5</v>
      </c>
      <c r="H19" s="22">
        <f>+Dados!M19</f>
        <v>5</v>
      </c>
      <c r="I19" s="22">
        <f>+Dados!N19</f>
        <v>5</v>
      </c>
    </row>
    <row r="20" spans="1:9" x14ac:dyDescent="0.4">
      <c r="A20" s="22" t="str">
        <f>+Dados!V20</f>
        <v>Confresa</v>
      </c>
      <c r="B20" s="22" t="str">
        <f>+Dados!G20</f>
        <v>Gestão municipal</v>
      </c>
      <c r="C20" s="22">
        <f>+Dados!H20</f>
        <v>5</v>
      </c>
      <c r="D20" s="22">
        <f>+Dados!I20</f>
        <v>5</v>
      </c>
      <c r="E20" s="22">
        <f>+Dados!J20</f>
        <v>5</v>
      </c>
      <c r="F20" s="22">
        <f>+Dados!K20</f>
        <v>5</v>
      </c>
      <c r="G20" s="22">
        <f>+Dados!L20</f>
        <v>5</v>
      </c>
      <c r="H20" s="22">
        <f>+Dados!M20</f>
        <v>5</v>
      </c>
      <c r="I20" s="22">
        <f>+Dados!N20</f>
        <v>5</v>
      </c>
    </row>
    <row r="21" spans="1:9" x14ac:dyDescent="0.4">
      <c r="A21" s="22" t="str">
        <f>+Dados!V21</f>
        <v>Baliza</v>
      </c>
      <c r="B21" s="22" t="str">
        <f>+Dados!G21</f>
        <v>Gestão municipal</v>
      </c>
      <c r="C21" s="22">
        <f>+Dados!H21</f>
        <v>5</v>
      </c>
      <c r="D21" s="22">
        <f>+Dados!I21</f>
        <v>5</v>
      </c>
      <c r="E21" s="22">
        <f>+Dados!J21</f>
        <v>5</v>
      </c>
      <c r="F21" s="22">
        <f>+Dados!K21</f>
        <v>5</v>
      </c>
      <c r="G21" s="22">
        <f>+Dados!L21</f>
        <v>5</v>
      </c>
      <c r="H21" s="22">
        <f>+Dados!M21</f>
        <v>5</v>
      </c>
      <c r="I21" s="22">
        <f>+Dados!N21</f>
        <v>5</v>
      </c>
    </row>
    <row r="22" spans="1:9" x14ac:dyDescent="0.4">
      <c r="A22" s="22" t="str">
        <f>+Dados!V22</f>
        <v>Canarana</v>
      </c>
      <c r="B22" s="22" t="str">
        <f>+Dados!G22</f>
        <v>Gestão municipal</v>
      </c>
      <c r="C22" s="22">
        <f>+Dados!H22</f>
        <v>4</v>
      </c>
      <c r="D22" s="22">
        <f>+Dados!I22</f>
        <v>3</v>
      </c>
      <c r="E22" s="22">
        <f>+Dados!J22</f>
        <v>4</v>
      </c>
      <c r="F22" s="22">
        <f>+Dados!K22</f>
        <v>4</v>
      </c>
      <c r="G22" s="22">
        <f>+Dados!L22</f>
        <v>2</v>
      </c>
      <c r="H22" s="22">
        <f>+Dados!M22</f>
        <v>4</v>
      </c>
      <c r="I22" s="22">
        <f>+Dados!N22</f>
        <v>4</v>
      </c>
    </row>
    <row r="23" spans="1:9" x14ac:dyDescent="0.4">
      <c r="A23" s="22" t="str">
        <f>+Dados!V23</f>
        <v>Novo São Joaquim</v>
      </c>
      <c r="B23" s="22" t="str">
        <f>+Dados!G23</f>
        <v>Gestão municipal</v>
      </c>
      <c r="C23" s="22">
        <f>+Dados!H23</f>
        <v>4</v>
      </c>
      <c r="D23" s="22">
        <f>+Dados!I23</f>
        <v>4</v>
      </c>
      <c r="E23" s="22">
        <f>+Dados!J23</f>
        <v>4</v>
      </c>
      <c r="F23" s="22">
        <f>+Dados!K23</f>
        <v>4</v>
      </c>
      <c r="G23" s="22">
        <f>+Dados!L23</f>
        <v>4</v>
      </c>
      <c r="H23" s="22">
        <f>+Dados!M23</f>
        <v>4</v>
      </c>
      <c r="I23" s="22">
        <f>+Dados!N23</f>
        <v>4</v>
      </c>
    </row>
    <row r="24" spans="1:9" x14ac:dyDescent="0.4">
      <c r="A24" s="22" t="str">
        <f>+Dados!V24</f>
        <v>Baliza</v>
      </c>
      <c r="B24" s="22" t="str">
        <f>+Dados!G24</f>
        <v>Gestão municipal</v>
      </c>
      <c r="C24" s="22">
        <f>+Dados!H24</f>
        <v>5</v>
      </c>
      <c r="D24" s="22">
        <f>+Dados!I24</f>
        <v>5</v>
      </c>
      <c r="E24" s="22">
        <f>+Dados!J24</f>
        <v>5</v>
      </c>
      <c r="F24" s="22">
        <f>+Dados!K24</f>
        <v>5</v>
      </c>
      <c r="G24" s="22">
        <f>+Dados!L24</f>
        <v>5</v>
      </c>
      <c r="H24" s="22">
        <f>+Dados!M24</f>
        <v>5</v>
      </c>
      <c r="I24" s="22">
        <f>+Dados!N24</f>
        <v>5</v>
      </c>
    </row>
    <row r="25" spans="1:9" x14ac:dyDescent="0.4">
      <c r="A25" s="22" t="str">
        <f>+Dados!V25</f>
        <v>Alto Boa Vista</v>
      </c>
      <c r="B25" s="22" t="str">
        <f>+Dados!G25</f>
        <v>Gestão municipal</v>
      </c>
      <c r="C25" s="22">
        <f>+Dados!H25</f>
        <v>5</v>
      </c>
      <c r="D25" s="22">
        <f>+Dados!I25</f>
        <v>5</v>
      </c>
      <c r="E25" s="22">
        <f>+Dados!J25</f>
        <v>4</v>
      </c>
      <c r="F25" s="22">
        <f>+Dados!K25</f>
        <v>4</v>
      </c>
      <c r="G25" s="22">
        <f>+Dados!L25</f>
        <v>5</v>
      </c>
      <c r="H25" s="22">
        <f>+Dados!M25</f>
        <v>4</v>
      </c>
      <c r="I25" s="22">
        <f>+Dados!N25</f>
        <v>5</v>
      </c>
    </row>
    <row r="26" spans="1:9" x14ac:dyDescent="0.4">
      <c r="A26" s="22" t="str">
        <f>+Dados!V26</f>
        <v>Querência</v>
      </c>
      <c r="B26" s="22" t="str">
        <f>+Dados!G26</f>
        <v>Gestão municipal</v>
      </c>
      <c r="C26" s="22">
        <f>+Dados!H26</f>
        <v>5</v>
      </c>
      <c r="D26" s="22">
        <f>+Dados!I26</f>
        <v>5</v>
      </c>
      <c r="E26" s="22">
        <f>+Dados!J26</f>
        <v>5</v>
      </c>
      <c r="F26" s="22">
        <f>+Dados!K26</f>
        <v>5</v>
      </c>
      <c r="G26" s="22">
        <f>+Dados!L26</f>
        <v>5</v>
      </c>
      <c r="H26" s="22">
        <f>+Dados!M26</f>
        <v>5</v>
      </c>
      <c r="I26" s="22">
        <f>+Dados!N26</f>
        <v>5</v>
      </c>
    </row>
    <row r="27" spans="1:9" x14ac:dyDescent="0.4">
      <c r="A27" s="22" t="str">
        <f>+Dados!V27</f>
        <v>Confresa</v>
      </c>
      <c r="B27" s="22" t="str">
        <f>+Dados!G27</f>
        <v>Gestão municipal</v>
      </c>
      <c r="C27" s="22">
        <f>+Dados!H27</f>
        <v>5</v>
      </c>
      <c r="D27" s="22">
        <f>+Dados!I27</f>
        <v>5</v>
      </c>
      <c r="E27" s="22">
        <f>+Dados!J27</f>
        <v>5</v>
      </c>
      <c r="F27" s="22">
        <f>+Dados!K27</f>
        <v>5</v>
      </c>
      <c r="G27" s="22">
        <f>+Dados!L27</f>
        <v>5</v>
      </c>
      <c r="H27" s="22">
        <f>+Dados!M27</f>
        <v>5</v>
      </c>
      <c r="I27" s="22">
        <f>+Dados!N27</f>
        <v>5</v>
      </c>
    </row>
    <row r="28" spans="1:9" x14ac:dyDescent="0.4">
      <c r="A28" s="22" t="str">
        <f>+Dados!V28</f>
        <v>Baliza</v>
      </c>
      <c r="B28" s="22" t="str">
        <f>+Dados!G28</f>
        <v>Gestão municipal</v>
      </c>
      <c r="C28" s="22">
        <f>+Dados!H28</f>
        <v>5</v>
      </c>
      <c r="D28" s="22">
        <f>+Dados!I28</f>
        <v>5</v>
      </c>
      <c r="E28" s="22">
        <f>+Dados!J28</f>
        <v>4</v>
      </c>
      <c r="F28" s="22">
        <f>+Dados!K28</f>
        <v>5</v>
      </c>
      <c r="G28" s="22">
        <f>+Dados!L28</f>
        <v>4</v>
      </c>
      <c r="H28" s="22">
        <f>+Dados!M28</f>
        <v>4</v>
      </c>
      <c r="I28" s="22">
        <f>+Dados!N28</f>
        <v>5</v>
      </c>
    </row>
    <row r="29" spans="1:9" x14ac:dyDescent="0.4">
      <c r="A29" s="22" t="str">
        <f>+Dados!V29</f>
        <v>Aragarças</v>
      </c>
      <c r="B29" s="22" t="str">
        <f>+Dados!G29</f>
        <v>Gestão municipal</v>
      </c>
      <c r="C29" s="22">
        <f>+Dados!H29</f>
        <v>5</v>
      </c>
      <c r="D29" s="22">
        <f>+Dados!I29</f>
        <v>5</v>
      </c>
      <c r="E29" s="22">
        <f>+Dados!J29</f>
        <v>5</v>
      </c>
      <c r="F29" s="22">
        <f>+Dados!K29</f>
        <v>5</v>
      </c>
      <c r="G29" s="22">
        <f>+Dados!L29</f>
        <v>5</v>
      </c>
      <c r="H29" s="22">
        <f>+Dados!M29</f>
        <v>5</v>
      </c>
      <c r="I29" s="22">
        <f>+Dados!N29</f>
        <v>5</v>
      </c>
    </row>
    <row r="30" spans="1:9" x14ac:dyDescent="0.4">
      <c r="A30" s="22" t="str">
        <f>+Dados!V30</f>
        <v>Pontal do Araguaia</v>
      </c>
      <c r="B30" s="22" t="str">
        <f>+Dados!G30</f>
        <v>Gestão municipal</v>
      </c>
      <c r="C30" s="22">
        <f>+Dados!H30</f>
        <v>5</v>
      </c>
      <c r="D30" s="22">
        <f>+Dados!I30</f>
        <v>4</v>
      </c>
      <c r="E30" s="22">
        <f>+Dados!J30</f>
        <v>5</v>
      </c>
      <c r="F30" s="22">
        <f>+Dados!K30</f>
        <v>5</v>
      </c>
      <c r="G30" s="22">
        <f>+Dados!L30</f>
        <v>5</v>
      </c>
      <c r="H30" s="22">
        <f>+Dados!M30</f>
        <v>4</v>
      </c>
      <c r="I30" s="22">
        <f>+Dados!N30</f>
        <v>5</v>
      </c>
    </row>
    <row r="31" spans="1:9" x14ac:dyDescent="0.4">
      <c r="A31" s="22" t="str">
        <f>+Dados!V31</f>
        <v>Água Boa</v>
      </c>
      <c r="B31" s="22" t="str">
        <f>+Dados!G31</f>
        <v>Gestão municipal</v>
      </c>
      <c r="C31" s="22">
        <f>+Dados!H31</f>
        <v>4</v>
      </c>
      <c r="D31" s="22">
        <f>+Dados!I31</f>
        <v>3</v>
      </c>
      <c r="E31" s="22">
        <f>+Dados!J31</f>
        <v>4</v>
      </c>
      <c r="F31" s="22">
        <f>+Dados!K31</f>
        <v>4</v>
      </c>
      <c r="G31" s="22">
        <f>+Dados!L31</f>
        <v>4</v>
      </c>
      <c r="H31" s="22">
        <f>+Dados!M31</f>
        <v>4</v>
      </c>
      <c r="I31" s="22">
        <f>+Dados!N31</f>
        <v>4</v>
      </c>
    </row>
    <row r="32" spans="1:9" x14ac:dyDescent="0.4">
      <c r="A32" s="22" t="str">
        <f>+Dados!V32</f>
        <v>Água Boa</v>
      </c>
      <c r="B32" s="22" t="str">
        <f>+Dados!G32</f>
        <v>Gestão municipal</v>
      </c>
      <c r="C32" s="22">
        <f>+Dados!H32</f>
        <v>4</v>
      </c>
      <c r="D32" s="22">
        <f>+Dados!I32</f>
        <v>4</v>
      </c>
      <c r="E32" s="22">
        <f>+Dados!J32</f>
        <v>4</v>
      </c>
      <c r="F32" s="22">
        <f>+Dados!K32</f>
        <v>4</v>
      </c>
      <c r="G32" s="22">
        <f>+Dados!L32</f>
        <v>3</v>
      </c>
      <c r="H32" s="22">
        <f>+Dados!M32</f>
        <v>3</v>
      </c>
      <c r="I32" s="22">
        <f>+Dados!N32</f>
        <v>3</v>
      </c>
    </row>
    <row r="33" spans="1:9" x14ac:dyDescent="0.4">
      <c r="A33" s="22" t="str">
        <f>+Dados!V33</f>
        <v>Montes Claros de Goiás</v>
      </c>
      <c r="B33" s="22" t="str">
        <f>+Dados!G33</f>
        <v>Gestão municipal</v>
      </c>
      <c r="C33" s="22">
        <f>+Dados!H33</f>
        <v>5</v>
      </c>
      <c r="D33" s="22">
        <f>+Dados!I33</f>
        <v>5</v>
      </c>
      <c r="E33" s="22">
        <f>+Dados!J33</f>
        <v>5</v>
      </c>
      <c r="F33" s="22">
        <f>+Dados!K33</f>
        <v>5</v>
      </c>
      <c r="G33" s="22">
        <f>+Dados!L33</f>
        <v>4</v>
      </c>
      <c r="H33" s="22">
        <f>+Dados!M33</f>
        <v>5</v>
      </c>
      <c r="I33" s="22">
        <f>+Dados!N33</f>
        <v>5</v>
      </c>
    </row>
    <row r="34" spans="1:9" x14ac:dyDescent="0.4">
      <c r="A34" s="22" t="str">
        <f>+Dados!V34</f>
        <v>Araguaiana</v>
      </c>
      <c r="B34" s="22" t="str">
        <f>+Dados!G34</f>
        <v>Gestão municipal</v>
      </c>
      <c r="C34" s="22">
        <f>+Dados!H34</f>
        <v>5</v>
      </c>
      <c r="D34" s="22">
        <f>+Dados!I34</f>
        <v>5</v>
      </c>
      <c r="E34" s="22">
        <f>+Dados!J34</f>
        <v>5</v>
      </c>
      <c r="F34" s="22">
        <f>+Dados!K34</f>
        <v>5</v>
      </c>
      <c r="G34" s="22">
        <f>+Dados!L34</f>
        <v>5</v>
      </c>
      <c r="H34" s="22">
        <f>+Dados!M34</f>
        <v>4</v>
      </c>
      <c r="I34" s="22">
        <f>+Dados!N34</f>
        <v>5</v>
      </c>
    </row>
    <row r="35" spans="1:9" x14ac:dyDescent="0.4">
      <c r="A35" s="22" t="str">
        <f>+Dados!V35</f>
        <v>Bom Jesus do Araguaia</v>
      </c>
      <c r="B35" s="22" t="str">
        <f>+Dados!G35</f>
        <v>Gestão municipal</v>
      </c>
      <c r="C35" s="22">
        <f>+Dados!H35</f>
        <v>4</v>
      </c>
      <c r="D35" s="22">
        <f>+Dados!I35</f>
        <v>4</v>
      </c>
      <c r="E35" s="22">
        <f>+Dados!J35</f>
        <v>4</v>
      </c>
      <c r="F35" s="22">
        <f>+Dados!K35</f>
        <v>4</v>
      </c>
      <c r="G35" s="22">
        <f>+Dados!L35</f>
        <v>2</v>
      </c>
      <c r="H35" s="22">
        <f>+Dados!M35</f>
        <v>4</v>
      </c>
      <c r="I35" s="22">
        <f>+Dados!N35</f>
        <v>3</v>
      </c>
    </row>
    <row r="36" spans="1:9" x14ac:dyDescent="0.4">
      <c r="A36" s="22" t="str">
        <f>+Dados!V36</f>
        <v>Canabrava do Norte</v>
      </c>
      <c r="B36" s="22" t="str">
        <f>+Dados!G36</f>
        <v>Gestão municipal</v>
      </c>
      <c r="C36" s="22">
        <f>+Dados!H36</f>
        <v>5</v>
      </c>
      <c r="D36" s="22">
        <f>+Dados!I36</f>
        <v>5</v>
      </c>
      <c r="E36" s="22">
        <f>+Dados!J36</f>
        <v>5</v>
      </c>
      <c r="F36" s="22">
        <f>+Dados!K36</f>
        <v>5</v>
      </c>
      <c r="G36" s="22">
        <f>+Dados!L36</f>
        <v>3</v>
      </c>
      <c r="H36" s="22">
        <f>+Dados!M36</f>
        <v>5</v>
      </c>
      <c r="I36" s="22">
        <f>+Dados!N36</f>
        <v>5</v>
      </c>
    </row>
    <row r="37" spans="1:9" x14ac:dyDescent="0.4">
      <c r="A37" s="22" t="str">
        <f>+Dados!V37</f>
        <v>Novo Santo Antônio</v>
      </c>
      <c r="B37" s="22" t="str">
        <f>+Dados!G37</f>
        <v>Gestão municipal</v>
      </c>
      <c r="C37" s="22">
        <f>+Dados!H37</f>
        <v>5</v>
      </c>
      <c r="D37" s="22">
        <f>+Dados!I37</f>
        <v>5</v>
      </c>
      <c r="E37" s="22">
        <f>+Dados!J37</f>
        <v>5</v>
      </c>
      <c r="F37" s="22">
        <f>+Dados!K37</f>
        <v>5</v>
      </c>
      <c r="G37" s="22">
        <f>+Dados!L37</f>
        <v>5</v>
      </c>
      <c r="H37" s="22">
        <f>+Dados!M37</f>
        <v>5</v>
      </c>
      <c r="I37" s="22">
        <f>+Dados!N37</f>
        <v>5</v>
      </c>
    </row>
    <row r="38" spans="1:9" x14ac:dyDescent="0.4">
      <c r="A38" s="22" t="str">
        <f>+Dados!V38</f>
        <v>Barra do Garças</v>
      </c>
      <c r="B38" s="22" t="str">
        <f>+Dados!G38</f>
        <v>Gestão municipal</v>
      </c>
      <c r="C38" s="22">
        <f>+Dados!H38</f>
        <v>5</v>
      </c>
      <c r="D38" s="22">
        <f>+Dados!I38</f>
        <v>5</v>
      </c>
      <c r="E38" s="22">
        <f>+Dados!J38</f>
        <v>5</v>
      </c>
      <c r="F38" s="22">
        <f>+Dados!K38</f>
        <v>5</v>
      </c>
      <c r="G38" s="22">
        <f>+Dados!L38</f>
        <v>5</v>
      </c>
      <c r="H38" s="22">
        <f>+Dados!M38</f>
        <v>5</v>
      </c>
      <c r="I38" s="22">
        <f>+Dados!N38</f>
        <v>5</v>
      </c>
    </row>
    <row r="39" spans="1:9" x14ac:dyDescent="0.4">
      <c r="A39" s="22" t="str">
        <f>+Dados!V39</f>
        <v>São Félix do Araguaia</v>
      </c>
      <c r="B39" s="22" t="str">
        <f>+Dados!G39</f>
        <v>Gestão municipal</v>
      </c>
      <c r="C39" s="22">
        <f>+Dados!H39</f>
        <v>5</v>
      </c>
      <c r="D39" s="22">
        <f>+Dados!I39</f>
        <v>5</v>
      </c>
      <c r="E39" s="22">
        <f>+Dados!J39</f>
        <v>5</v>
      </c>
      <c r="F39" s="22">
        <f>+Dados!K39</f>
        <v>4</v>
      </c>
      <c r="G39" s="22">
        <f>+Dados!L39</f>
        <v>4</v>
      </c>
      <c r="H39" s="22">
        <f>+Dados!M39</f>
        <v>4</v>
      </c>
      <c r="I39" s="22">
        <f>+Dados!N39</f>
        <v>5</v>
      </c>
    </row>
    <row r="40" spans="1:9" x14ac:dyDescent="0.4">
      <c r="A40" s="22" t="str">
        <f>+Dados!V40</f>
        <v>São Félix do Araguaia</v>
      </c>
      <c r="B40" s="22" t="str">
        <f>+Dados!G40</f>
        <v>Gestão municipal</v>
      </c>
      <c r="C40" s="22">
        <f>+Dados!H40</f>
        <v>5</v>
      </c>
      <c r="D40" s="22">
        <f>+Dados!I40</f>
        <v>4</v>
      </c>
      <c r="E40" s="22">
        <f>+Dados!J40</f>
        <v>5</v>
      </c>
      <c r="F40" s="22">
        <f>+Dados!K40</f>
        <v>5</v>
      </c>
      <c r="G40" s="22">
        <f>+Dados!L40</f>
        <v>5</v>
      </c>
      <c r="H40" s="22">
        <f>+Dados!M40</f>
        <v>5</v>
      </c>
      <c r="I40" s="22">
        <f>+Dados!N40</f>
        <v>5</v>
      </c>
    </row>
    <row r="41" spans="1:9" x14ac:dyDescent="0.4">
      <c r="A41" s="22" t="str">
        <f>+Dados!V41</f>
        <v>Bom Jesus do Araguaia</v>
      </c>
      <c r="B41" s="22" t="str">
        <f>+Dados!G41</f>
        <v>Gestão municipal</v>
      </c>
      <c r="C41" s="22">
        <f>+Dados!H41</f>
        <v>4</v>
      </c>
      <c r="D41" s="22">
        <f>+Dados!I41</f>
        <v>4</v>
      </c>
      <c r="E41" s="22">
        <f>+Dados!J41</f>
        <v>4</v>
      </c>
      <c r="F41" s="22">
        <f>+Dados!K41</f>
        <v>4</v>
      </c>
      <c r="G41" s="22">
        <f>+Dados!L41</f>
        <v>4</v>
      </c>
      <c r="H41" s="22">
        <f>+Dados!M41</f>
        <v>4</v>
      </c>
      <c r="I41" s="22">
        <f>+Dados!N41</f>
        <v>4</v>
      </c>
    </row>
    <row r="42" spans="1:9" x14ac:dyDescent="0.4">
      <c r="A42" s="22" t="str">
        <f>+Dados!V42</f>
        <v>Araguaiana</v>
      </c>
      <c r="B42" s="22" t="str">
        <f>+Dados!G42</f>
        <v>Gestão municipal</v>
      </c>
      <c r="C42" s="22">
        <f>+Dados!H42</f>
        <v>4</v>
      </c>
      <c r="D42" s="22">
        <f>+Dados!I42</f>
        <v>3</v>
      </c>
      <c r="E42" s="22">
        <f>+Dados!J42</f>
        <v>4</v>
      </c>
      <c r="F42" s="22">
        <f>+Dados!K42</f>
        <v>4</v>
      </c>
      <c r="G42" s="22">
        <f>+Dados!L42</f>
        <v>4</v>
      </c>
      <c r="H42" s="22">
        <f>+Dados!M42</f>
        <v>4</v>
      </c>
      <c r="I42" s="22">
        <f>+Dados!N42</f>
        <v>4</v>
      </c>
    </row>
    <row r="43" spans="1:9" x14ac:dyDescent="0.4">
      <c r="A43" s="22" t="str">
        <f>+Dados!V43</f>
        <v>Canabrava do Norte</v>
      </c>
      <c r="B43" s="22" t="str">
        <f>+Dados!G43</f>
        <v>Gestão municipal</v>
      </c>
      <c r="C43" s="22">
        <f>+Dados!H43</f>
        <v>4</v>
      </c>
      <c r="D43" s="22">
        <f>+Dados!I43</f>
        <v>4</v>
      </c>
      <c r="E43" s="22">
        <f>+Dados!J43</f>
        <v>4</v>
      </c>
      <c r="F43" s="22">
        <f>+Dados!K43</f>
        <v>4</v>
      </c>
      <c r="G43" s="22">
        <f>+Dados!L43</f>
        <v>3</v>
      </c>
      <c r="H43" s="22">
        <f>+Dados!M43</f>
        <v>2</v>
      </c>
      <c r="I43" s="22">
        <f>+Dados!N43</f>
        <v>4</v>
      </c>
    </row>
    <row r="44" spans="1:9" x14ac:dyDescent="0.4">
      <c r="A44" s="22" t="str">
        <f>+Dados!V44</f>
        <v>Bom Jesus do Araguaia</v>
      </c>
      <c r="B44" s="22" t="str">
        <f>+Dados!G44</f>
        <v>Gestão municipal</v>
      </c>
      <c r="C44" s="22">
        <f>+Dados!H44</f>
        <v>5</v>
      </c>
      <c r="D44" s="22">
        <f>+Dados!I44</f>
        <v>5</v>
      </c>
      <c r="E44" s="22">
        <f>+Dados!J44</f>
        <v>5</v>
      </c>
      <c r="F44" s="22">
        <f>+Dados!K44</f>
        <v>2</v>
      </c>
      <c r="G44" s="22">
        <f>+Dados!L44</f>
        <v>2</v>
      </c>
      <c r="H44" s="22">
        <f>+Dados!M44</f>
        <v>3</v>
      </c>
      <c r="I44" s="22">
        <f>+Dados!N44</f>
        <v>4</v>
      </c>
    </row>
    <row r="45" spans="1:9" x14ac:dyDescent="0.4">
      <c r="A45" s="22" t="str">
        <f>+Dados!V45</f>
        <v>Vila Rica</v>
      </c>
      <c r="B45" s="22" t="str">
        <f>+Dados!G45</f>
        <v>Gestão municipal</v>
      </c>
      <c r="C45" s="22">
        <f>+Dados!H45</f>
        <v>4</v>
      </c>
      <c r="D45" s="22">
        <f>+Dados!I45</f>
        <v>4</v>
      </c>
      <c r="E45" s="22">
        <f>+Dados!J45</f>
        <v>4</v>
      </c>
      <c r="F45" s="22">
        <f>+Dados!K45</f>
        <v>4</v>
      </c>
      <c r="G45" s="22">
        <f>+Dados!L45</f>
        <v>4</v>
      </c>
      <c r="H45" s="22">
        <f>+Dados!M45</f>
        <v>4</v>
      </c>
      <c r="I45" s="22">
        <f>+Dados!N45</f>
        <v>4</v>
      </c>
    </row>
    <row r="46" spans="1:9" x14ac:dyDescent="0.4">
      <c r="A46" s="22" t="str">
        <f>+Dados!V46</f>
        <v>São Félix do Araguaia</v>
      </c>
      <c r="B46" s="22" t="str">
        <f>+Dados!G46</f>
        <v>Gestão municipal</v>
      </c>
      <c r="C46" s="22">
        <f>+Dados!H46</f>
        <v>3</v>
      </c>
      <c r="D46" s="22">
        <f>+Dados!I46</f>
        <v>3</v>
      </c>
      <c r="E46" s="22">
        <f>+Dados!J46</f>
        <v>3</v>
      </c>
      <c r="F46" s="22">
        <f>+Dados!K46</f>
        <v>3</v>
      </c>
      <c r="G46" s="22">
        <f>+Dados!L46</f>
        <v>3</v>
      </c>
      <c r="H46" s="22">
        <f>+Dados!M46</f>
        <v>3</v>
      </c>
      <c r="I46" s="22">
        <f>+Dados!N46</f>
        <v>3</v>
      </c>
    </row>
    <row r="47" spans="1:9" x14ac:dyDescent="0.4">
      <c r="A47" s="22" t="str">
        <f>+Dados!V47</f>
        <v>Serra Nova Dourada</v>
      </c>
      <c r="B47" s="22" t="str">
        <f>+Dados!G47</f>
        <v>Gestão municipal</v>
      </c>
      <c r="C47" s="22">
        <f>+Dados!H47</f>
        <v>3</v>
      </c>
      <c r="D47" s="22">
        <f>+Dados!I47</f>
        <v>3</v>
      </c>
      <c r="E47" s="22">
        <f>+Dados!J47</f>
        <v>3</v>
      </c>
      <c r="F47" s="22">
        <f>+Dados!K47</f>
        <v>3</v>
      </c>
      <c r="G47" s="22">
        <f>+Dados!L47</f>
        <v>3</v>
      </c>
      <c r="H47" s="22">
        <f>+Dados!M47</f>
        <v>3</v>
      </c>
      <c r="I47" s="22">
        <f>+Dados!N47</f>
        <v>3</v>
      </c>
    </row>
    <row r="48" spans="1:9" x14ac:dyDescent="0.4">
      <c r="A48" s="22" t="str">
        <f>+Dados!V48</f>
        <v>Barra do Garças</v>
      </c>
      <c r="B48" s="22" t="str">
        <f>+Dados!G48</f>
        <v>Gestão municipal</v>
      </c>
      <c r="C48" s="22">
        <f>+Dados!H48</f>
        <v>5</v>
      </c>
      <c r="D48" s="22">
        <f>+Dados!I48</f>
        <v>4</v>
      </c>
      <c r="E48" s="22">
        <f>+Dados!J48</f>
        <v>5</v>
      </c>
      <c r="F48" s="22">
        <f>+Dados!K48</f>
        <v>5</v>
      </c>
      <c r="G48" s="22">
        <f>+Dados!L48</f>
        <v>5</v>
      </c>
      <c r="H48" s="22">
        <f>+Dados!M48</f>
        <v>5</v>
      </c>
      <c r="I48" s="22">
        <f>+Dados!N48</f>
        <v>5</v>
      </c>
    </row>
    <row r="49" spans="3:9" x14ac:dyDescent="0.4">
      <c r="C49" s="22"/>
      <c r="D49" s="22"/>
      <c r="E49" s="22"/>
      <c r="F49" s="22"/>
      <c r="G49" s="22"/>
      <c r="H49" s="22"/>
      <c r="I49" s="22"/>
    </row>
    <row r="50" spans="3:9" x14ac:dyDescent="0.4">
      <c r="C50" s="22"/>
      <c r="D50" s="22"/>
      <c r="E50" s="22"/>
      <c r="F50" s="22"/>
      <c r="G50" s="22"/>
      <c r="H50" s="22"/>
      <c r="I50" s="22"/>
    </row>
    <row r="51" spans="3:9" x14ac:dyDescent="0.4">
      <c r="C51" s="22"/>
      <c r="D51" s="22"/>
      <c r="E51" s="22"/>
      <c r="F51" s="22"/>
      <c r="G51" s="22"/>
      <c r="H51" s="22"/>
      <c r="I51" s="22"/>
    </row>
    <row r="52" spans="3:9" x14ac:dyDescent="0.4">
      <c r="C52" s="22"/>
      <c r="D52" s="22"/>
      <c r="E52" s="22"/>
      <c r="F52" s="22"/>
      <c r="G52" s="22"/>
      <c r="H52" s="22"/>
      <c r="I52" s="22"/>
    </row>
    <row r="53" spans="3:9" x14ac:dyDescent="0.4">
      <c r="C53" s="22"/>
      <c r="D53" s="22"/>
      <c r="E53" s="22"/>
      <c r="F53" s="22"/>
      <c r="G53" s="22"/>
      <c r="H53" s="22"/>
      <c r="I53" s="22"/>
    </row>
    <row r="54" spans="3:9" x14ac:dyDescent="0.4">
      <c r="C54" s="22"/>
      <c r="D54" s="22"/>
      <c r="E54" s="22"/>
      <c r="F54" s="22"/>
      <c r="G54" s="22"/>
      <c r="H54" s="22"/>
      <c r="I54" s="22"/>
    </row>
    <row r="55" spans="3:9" x14ac:dyDescent="0.4">
      <c r="C55" s="22"/>
      <c r="D55" s="22"/>
      <c r="E55" s="22"/>
      <c r="F55" s="22"/>
      <c r="G55" s="22"/>
      <c r="H55" s="22"/>
      <c r="I55" s="22"/>
    </row>
    <row r="56" spans="3:9" x14ac:dyDescent="0.4">
      <c r="C56" s="22"/>
      <c r="D56" s="22"/>
      <c r="E56" s="22"/>
      <c r="F56" s="22"/>
      <c r="G56" s="22"/>
      <c r="H56" s="22"/>
      <c r="I56" s="22"/>
    </row>
    <row r="57" spans="3:9" x14ac:dyDescent="0.4">
      <c r="C57" s="22"/>
      <c r="D57" s="22"/>
      <c r="E57" s="22"/>
      <c r="F57" s="22"/>
      <c r="G57" s="22"/>
      <c r="H57" s="22"/>
      <c r="I57" s="22"/>
    </row>
    <row r="58" spans="3:9" x14ac:dyDescent="0.4">
      <c r="C58" s="22"/>
      <c r="D58" s="22"/>
      <c r="E58" s="22"/>
      <c r="F58" s="22"/>
      <c r="G58" s="22"/>
      <c r="H58" s="22"/>
      <c r="I58" s="22"/>
    </row>
    <row r="59" spans="3:9" x14ac:dyDescent="0.4">
      <c r="C59" s="22"/>
      <c r="D59" s="22"/>
      <c r="E59" s="22"/>
      <c r="F59" s="22"/>
      <c r="G59" s="22"/>
      <c r="H59" s="22"/>
      <c r="I59" s="22"/>
    </row>
    <row r="60" spans="3:9" x14ac:dyDescent="0.4">
      <c r="C60" s="22"/>
      <c r="D60" s="22"/>
      <c r="E60" s="22"/>
      <c r="F60" s="22"/>
      <c r="G60" s="22"/>
      <c r="H60" s="22"/>
      <c r="I60" s="22"/>
    </row>
    <row r="61" spans="3:9" x14ac:dyDescent="0.4">
      <c r="C61" s="22"/>
      <c r="D61" s="22"/>
      <c r="E61" s="22"/>
      <c r="F61" s="22"/>
      <c r="G61" s="22"/>
      <c r="H61" s="22"/>
      <c r="I61" s="22"/>
    </row>
    <row r="62" spans="3:9" x14ac:dyDescent="0.4">
      <c r="C62" s="22"/>
      <c r="D62" s="22"/>
      <c r="E62" s="22"/>
      <c r="F62" s="22"/>
      <c r="G62" s="22"/>
      <c r="H62" s="22"/>
      <c r="I62" s="22"/>
    </row>
    <row r="63" spans="3:9" x14ac:dyDescent="0.4">
      <c r="C63" s="22"/>
      <c r="D63" s="22"/>
      <c r="E63" s="22"/>
      <c r="F63" s="22"/>
      <c r="G63" s="22"/>
      <c r="H63" s="22"/>
      <c r="I63" s="22"/>
    </row>
    <row r="64" spans="3:9" x14ac:dyDescent="0.4">
      <c r="C64" s="22"/>
      <c r="D64" s="22"/>
      <c r="E64" s="22"/>
      <c r="F64" s="22"/>
      <c r="G64" s="22"/>
      <c r="H64" s="22"/>
      <c r="I64" s="22"/>
    </row>
    <row r="65" spans="3:9" x14ac:dyDescent="0.4">
      <c r="C65" s="22"/>
      <c r="D65" s="22"/>
      <c r="E65" s="22"/>
      <c r="F65" s="22"/>
      <c r="G65" s="22"/>
      <c r="H65" s="22"/>
      <c r="I65" s="22"/>
    </row>
    <row r="66" spans="3:9" x14ac:dyDescent="0.4">
      <c r="C66" s="22"/>
      <c r="D66" s="22"/>
      <c r="E66" s="22"/>
      <c r="F66" s="22"/>
      <c r="G66" s="22"/>
      <c r="H66" s="22"/>
      <c r="I66" s="22"/>
    </row>
    <row r="67" spans="3:9" x14ac:dyDescent="0.4">
      <c r="C67" s="22"/>
      <c r="D67" s="22"/>
      <c r="E67" s="22"/>
      <c r="F67" s="22"/>
      <c r="G67" s="22"/>
      <c r="H67" s="22"/>
      <c r="I67" s="22"/>
    </row>
    <row r="68" spans="3:9" x14ac:dyDescent="0.4">
      <c r="C68" s="22"/>
      <c r="D68" s="22"/>
      <c r="E68" s="22"/>
      <c r="F68" s="22"/>
      <c r="G68" s="22"/>
      <c r="H68" s="22"/>
      <c r="I68" s="22"/>
    </row>
    <row r="69" spans="3:9" x14ac:dyDescent="0.4">
      <c r="C69" s="22"/>
      <c r="D69" s="22"/>
      <c r="E69" s="22"/>
      <c r="F69" s="22"/>
      <c r="G69" s="22"/>
      <c r="H69" s="22"/>
      <c r="I69" s="22"/>
    </row>
    <row r="70" spans="3:9" x14ac:dyDescent="0.4">
      <c r="C70" s="22"/>
      <c r="D70" s="22"/>
      <c r="E70" s="22"/>
      <c r="F70" s="22"/>
      <c r="G70" s="22"/>
      <c r="H70" s="22"/>
      <c r="I70" s="22"/>
    </row>
    <row r="71" spans="3:9" x14ac:dyDescent="0.4">
      <c r="C71" s="22"/>
      <c r="D71" s="22"/>
      <c r="E71" s="22"/>
      <c r="F71" s="22"/>
      <c r="G71" s="22"/>
      <c r="H71" s="22"/>
      <c r="I71" s="22"/>
    </row>
    <row r="72" spans="3:9" x14ac:dyDescent="0.4">
      <c r="C72" s="22"/>
      <c r="D72" s="22"/>
      <c r="E72" s="22"/>
      <c r="F72" s="22"/>
      <c r="G72" s="22"/>
      <c r="H72" s="22"/>
      <c r="I72" s="22"/>
    </row>
    <row r="73" spans="3:9" x14ac:dyDescent="0.4">
      <c r="C73" s="22"/>
      <c r="D73" s="22"/>
      <c r="E73" s="22"/>
      <c r="F73" s="22"/>
      <c r="G73" s="22"/>
      <c r="H73" s="22"/>
      <c r="I73" s="22"/>
    </row>
    <row r="74" spans="3:9" x14ac:dyDescent="0.4">
      <c r="C74" s="22"/>
      <c r="D74" s="22"/>
      <c r="E74" s="22"/>
      <c r="F74" s="22"/>
      <c r="G74" s="22"/>
      <c r="H74" s="22"/>
      <c r="I74" s="22"/>
    </row>
    <row r="75" spans="3:9" x14ac:dyDescent="0.4">
      <c r="C75" s="22"/>
      <c r="D75" s="22"/>
      <c r="E75" s="22"/>
      <c r="F75" s="22"/>
      <c r="G75" s="22"/>
      <c r="H75" s="22"/>
      <c r="I75" s="22"/>
    </row>
    <row r="76" spans="3:9" x14ac:dyDescent="0.4">
      <c r="C76" s="22"/>
      <c r="D76" s="22"/>
      <c r="E76" s="22"/>
      <c r="F76" s="22"/>
      <c r="G76" s="22"/>
      <c r="H76" s="22"/>
      <c r="I76" s="22"/>
    </row>
    <row r="77" spans="3:9" x14ac:dyDescent="0.4">
      <c r="C77" s="22"/>
      <c r="D77" s="22"/>
      <c r="E77" s="22"/>
      <c r="F77" s="22"/>
      <c r="G77" s="22"/>
      <c r="H77" s="22"/>
      <c r="I77" s="22"/>
    </row>
    <row r="78" spans="3:9" x14ac:dyDescent="0.4">
      <c r="C78" s="22"/>
      <c r="D78" s="22"/>
      <c r="E78" s="22"/>
      <c r="F78" s="22"/>
      <c r="G78" s="22"/>
      <c r="H78" s="22"/>
      <c r="I78" s="22"/>
    </row>
    <row r="79" spans="3:9" x14ac:dyDescent="0.4">
      <c r="C79" s="22"/>
      <c r="D79" s="22"/>
      <c r="E79" s="22"/>
      <c r="F79" s="22"/>
      <c r="G79" s="22"/>
      <c r="H79" s="22"/>
      <c r="I79" s="22"/>
    </row>
    <row r="80" spans="3:9" x14ac:dyDescent="0.4">
      <c r="C80" s="22"/>
      <c r="D80" s="22"/>
      <c r="E80" s="22"/>
      <c r="F80" s="22"/>
      <c r="G80" s="22"/>
      <c r="H80" s="22"/>
      <c r="I80" s="22"/>
    </row>
    <row r="81" spans="3:9" x14ac:dyDescent="0.4">
      <c r="C81" s="22"/>
      <c r="D81" s="22"/>
      <c r="E81" s="22"/>
      <c r="F81" s="22"/>
      <c r="G81" s="22"/>
      <c r="H81" s="22"/>
      <c r="I81" s="22"/>
    </row>
    <row r="82" spans="3:9" x14ac:dyDescent="0.4">
      <c r="C82" s="22"/>
      <c r="D82" s="22"/>
      <c r="E82" s="22"/>
      <c r="F82" s="22"/>
      <c r="G82" s="22"/>
      <c r="H82" s="22"/>
      <c r="I82" s="22"/>
    </row>
    <row r="83" spans="3:9" x14ac:dyDescent="0.4">
      <c r="C83" s="22"/>
      <c r="D83" s="22"/>
      <c r="E83" s="22"/>
      <c r="F83" s="22"/>
      <c r="G83" s="22"/>
      <c r="H83" s="22"/>
      <c r="I83" s="22"/>
    </row>
    <row r="84" spans="3:9" x14ac:dyDescent="0.4">
      <c r="C84" s="22"/>
      <c r="D84" s="22"/>
      <c r="E84" s="22"/>
      <c r="F84" s="22"/>
      <c r="G84" s="22"/>
      <c r="H84" s="22"/>
      <c r="I84" s="22"/>
    </row>
    <row r="85" spans="3:9" x14ac:dyDescent="0.4">
      <c r="C85" s="22"/>
      <c r="D85" s="22"/>
      <c r="E85" s="22"/>
      <c r="F85" s="22"/>
      <c r="G85" s="22"/>
      <c r="H85" s="22"/>
      <c r="I85" s="22"/>
    </row>
    <row r="86" spans="3:9" x14ac:dyDescent="0.4">
      <c r="C86" s="22"/>
      <c r="D86" s="22"/>
      <c r="E86" s="22"/>
      <c r="F86" s="22"/>
      <c r="G86" s="22"/>
      <c r="H86" s="22"/>
      <c r="I86" s="22"/>
    </row>
    <row r="87" spans="3:9" x14ac:dyDescent="0.4">
      <c r="C87" s="22"/>
      <c r="D87" s="22"/>
      <c r="E87" s="22"/>
      <c r="F87" s="22"/>
      <c r="G87" s="22"/>
      <c r="H87" s="22"/>
      <c r="I87" s="22"/>
    </row>
    <row r="88" spans="3:9" x14ac:dyDescent="0.4">
      <c r="C88" s="22"/>
      <c r="D88" s="22"/>
      <c r="E88" s="22"/>
      <c r="F88" s="22"/>
      <c r="G88" s="22"/>
      <c r="H88" s="22"/>
      <c r="I88" s="22"/>
    </row>
    <row r="89" spans="3:9" x14ac:dyDescent="0.4">
      <c r="C89" s="22"/>
      <c r="D89" s="22"/>
      <c r="E89" s="22"/>
      <c r="F89" s="22"/>
      <c r="G89" s="22"/>
      <c r="H89" s="22"/>
      <c r="I89" s="22"/>
    </row>
    <row r="90" spans="3:9" x14ac:dyDescent="0.4">
      <c r="C90" s="22"/>
      <c r="D90" s="22"/>
      <c r="E90" s="22"/>
      <c r="F90" s="22"/>
      <c r="G90" s="22"/>
      <c r="H90" s="22"/>
      <c r="I90" s="22"/>
    </row>
    <row r="91" spans="3:9" x14ac:dyDescent="0.4">
      <c r="C91" s="22"/>
      <c r="D91" s="22"/>
      <c r="E91" s="22"/>
      <c r="F91" s="22"/>
      <c r="G91" s="22"/>
      <c r="H91" s="22"/>
      <c r="I91" s="22"/>
    </row>
    <row r="92" spans="3:9" x14ac:dyDescent="0.4">
      <c r="C92" s="22"/>
      <c r="D92" s="22"/>
      <c r="E92" s="22"/>
      <c r="F92" s="22"/>
      <c r="G92" s="22"/>
      <c r="H92" s="22"/>
      <c r="I92" s="22"/>
    </row>
    <row r="93" spans="3:9" x14ac:dyDescent="0.4">
      <c r="C93" s="22"/>
      <c r="D93" s="22"/>
      <c r="E93" s="22"/>
      <c r="F93" s="22"/>
      <c r="G93" s="22"/>
      <c r="H93" s="22"/>
      <c r="I93" s="22"/>
    </row>
    <row r="94" spans="3:9" x14ac:dyDescent="0.4">
      <c r="C94" s="22"/>
      <c r="D94" s="22"/>
      <c r="E94" s="22"/>
      <c r="F94" s="22"/>
      <c r="G94" s="22"/>
      <c r="H94" s="22"/>
      <c r="I94" s="22"/>
    </row>
    <row r="95" spans="3:9" x14ac:dyDescent="0.4">
      <c r="C95" s="22"/>
      <c r="D95" s="22"/>
      <c r="E95" s="22"/>
      <c r="F95" s="22"/>
      <c r="G95" s="22"/>
      <c r="H95" s="22"/>
      <c r="I95" s="22"/>
    </row>
    <row r="96" spans="3:9" x14ac:dyDescent="0.4">
      <c r="C96" s="22"/>
      <c r="D96" s="22"/>
      <c r="E96" s="22"/>
      <c r="F96" s="22"/>
      <c r="G96" s="22"/>
      <c r="H96" s="22"/>
      <c r="I96" s="22"/>
    </row>
    <row r="97" spans="3:9" x14ac:dyDescent="0.4">
      <c r="C97" s="22"/>
      <c r="D97" s="22"/>
      <c r="E97" s="22"/>
      <c r="F97" s="22"/>
      <c r="G97" s="22"/>
      <c r="H97" s="22"/>
      <c r="I97" s="22"/>
    </row>
    <row r="98" spans="3:9" x14ac:dyDescent="0.4">
      <c r="C98" s="22"/>
      <c r="D98" s="22"/>
      <c r="E98" s="22"/>
      <c r="F98" s="22"/>
      <c r="G98" s="22"/>
      <c r="H98" s="22"/>
      <c r="I98" s="22"/>
    </row>
    <row r="99" spans="3:9" x14ac:dyDescent="0.4">
      <c r="C99" s="22"/>
      <c r="D99" s="22"/>
      <c r="E99" s="22"/>
      <c r="F99" s="22"/>
      <c r="G99" s="22"/>
      <c r="H99" s="22"/>
      <c r="I99" s="22"/>
    </row>
    <row r="100" spans="3:9" x14ac:dyDescent="0.4">
      <c r="C100" s="22"/>
      <c r="D100" s="22"/>
      <c r="E100" s="22"/>
      <c r="F100" s="22"/>
      <c r="G100" s="22"/>
      <c r="H100" s="22"/>
      <c r="I100" s="22"/>
    </row>
    <row r="101" spans="3:9" x14ac:dyDescent="0.4">
      <c r="C101" s="22"/>
      <c r="D101" s="22"/>
      <c r="E101" s="22"/>
      <c r="F101" s="22"/>
      <c r="G101" s="22"/>
      <c r="H101" s="22"/>
      <c r="I101" s="22"/>
    </row>
    <row r="102" spans="3:9" x14ac:dyDescent="0.4">
      <c r="C102" s="22"/>
      <c r="D102" s="22"/>
      <c r="E102" s="22"/>
      <c r="F102" s="22"/>
      <c r="G102" s="22"/>
      <c r="H102" s="22"/>
      <c r="I102" s="22"/>
    </row>
    <row r="103" spans="3:9" x14ac:dyDescent="0.4">
      <c r="C103" s="22"/>
      <c r="D103" s="22"/>
      <c r="E103" s="22"/>
      <c r="F103" s="22"/>
      <c r="G103" s="22"/>
      <c r="H103" s="22"/>
      <c r="I103" s="22"/>
    </row>
    <row r="104" spans="3:9" x14ac:dyDescent="0.4">
      <c r="C104" s="22"/>
      <c r="D104" s="22"/>
      <c r="E104" s="22"/>
      <c r="F104" s="22"/>
      <c r="G104" s="22"/>
      <c r="H104" s="22"/>
      <c r="I104" s="22"/>
    </row>
    <row r="105" spans="3:9" x14ac:dyDescent="0.4">
      <c r="C105" s="22"/>
      <c r="D105" s="22"/>
      <c r="E105" s="22"/>
      <c r="F105" s="22"/>
      <c r="G105" s="22"/>
      <c r="H105" s="22"/>
      <c r="I105" s="22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D6F5-E256-4238-94E8-52F5606C82C3}">
  <dimension ref="B1:S65"/>
  <sheetViews>
    <sheetView topLeftCell="A37" zoomScaleNormal="100" workbookViewId="0">
      <selection activeCell="M54" sqref="M54"/>
    </sheetView>
  </sheetViews>
  <sheetFormatPr defaultRowHeight="21.75" customHeight="1" x14ac:dyDescent="0.2"/>
  <cols>
    <col min="1" max="1" width="9" style="3"/>
    <col min="2" max="2" width="4.125" style="3" customWidth="1"/>
    <col min="3" max="3" width="13.5" style="3" bestFit="1" customWidth="1"/>
    <col min="4" max="4" width="9.125" style="3" customWidth="1"/>
    <col min="5" max="5" width="20.625" style="25" bestFit="1" customWidth="1"/>
    <col min="6" max="6" width="9.375" style="26" customWidth="1"/>
    <col min="7" max="9" width="7.75" style="3" customWidth="1"/>
    <col min="10" max="10" width="9" style="3"/>
    <col min="11" max="11" width="9.875" style="3" bestFit="1" customWidth="1"/>
    <col min="12" max="12" width="12.375" style="3" bestFit="1" customWidth="1"/>
    <col min="13" max="13" width="20.625" style="3" bestFit="1" customWidth="1"/>
    <col min="14" max="16384" width="9" style="3"/>
  </cols>
  <sheetData>
    <row r="1" spans="2:19" ht="21.75" customHeight="1" x14ac:dyDescent="0.2">
      <c r="G1" s="27" t="s">
        <v>26</v>
      </c>
      <c r="H1" s="27" t="s">
        <v>28</v>
      </c>
      <c r="I1" s="28" t="s">
        <v>46</v>
      </c>
    </row>
    <row r="3" spans="2:19" s="29" customFormat="1" ht="21.75" customHeight="1" x14ac:dyDescent="0.4">
      <c r="C3" s="71" t="s">
        <v>47</v>
      </c>
      <c r="D3" s="73" t="s">
        <v>48</v>
      </c>
      <c r="E3" s="71" t="s">
        <v>33</v>
      </c>
      <c r="F3" s="73" t="s">
        <v>49</v>
      </c>
      <c r="G3" s="69" t="s">
        <v>77</v>
      </c>
      <c r="H3" s="69"/>
      <c r="I3" s="69"/>
      <c r="K3" s="71" t="s">
        <v>47</v>
      </c>
      <c r="L3" s="73" t="s">
        <v>48</v>
      </c>
      <c r="M3" s="71" t="s">
        <v>33</v>
      </c>
      <c r="N3" s="73" t="s">
        <v>49</v>
      </c>
      <c r="O3" s="69" t="s">
        <v>50</v>
      </c>
      <c r="P3" s="69"/>
      <c r="Q3" s="69"/>
    </row>
    <row r="4" spans="2:19" s="29" customFormat="1" ht="21.75" customHeight="1" x14ac:dyDescent="0.4">
      <c r="C4" s="72"/>
      <c r="D4" s="74"/>
      <c r="E4" s="72"/>
      <c r="F4" s="74"/>
      <c r="G4" s="30" t="s">
        <v>3</v>
      </c>
      <c r="H4" s="30" t="s">
        <v>4</v>
      </c>
      <c r="I4" s="30" t="s">
        <v>46</v>
      </c>
      <c r="K4" s="72"/>
      <c r="L4" s="74"/>
      <c r="M4" s="72"/>
      <c r="N4" s="74"/>
      <c r="O4" s="30" t="s">
        <v>3</v>
      </c>
      <c r="P4" s="30" t="s">
        <v>4</v>
      </c>
      <c r="Q4" s="30" t="s">
        <v>46</v>
      </c>
    </row>
    <row r="5" spans="2:19" s="29" customFormat="1" ht="21.75" customHeight="1" x14ac:dyDescent="0.4">
      <c r="B5" s="29">
        <v>1</v>
      </c>
      <c r="C5" s="31">
        <v>45749</v>
      </c>
      <c r="D5" s="32">
        <v>5201702</v>
      </c>
      <c r="E5" s="33" t="s">
        <v>423</v>
      </c>
      <c r="F5" s="32" t="s">
        <v>51</v>
      </c>
      <c r="G5" s="34">
        <f>COUNTIFS(Todos!$B$2:$B$65,'Resumo '!G$1,Todos!$A$2:$A$65,'Resumo '!$E5)</f>
        <v>0</v>
      </c>
      <c r="H5" s="34">
        <f>COUNTIFS(Todos!$B$2:$B$65,'Resumo '!H$1,Todos!$A$2:$A$65,'Resumo '!$E5)</f>
        <v>1</v>
      </c>
      <c r="I5" s="35">
        <f>SUM(G5+H5)</f>
        <v>1</v>
      </c>
      <c r="K5" s="31">
        <v>45749</v>
      </c>
      <c r="L5" s="32">
        <v>5201702</v>
      </c>
      <c r="M5" s="33" t="s">
        <v>423</v>
      </c>
      <c r="N5" s="32"/>
      <c r="O5" s="34"/>
      <c r="P5" s="34"/>
      <c r="Q5" s="35"/>
      <c r="S5" s="29" t="str">
        <f>_xlfn.CONCAT(I5,"/",Q5)</f>
        <v>1/</v>
      </c>
    </row>
    <row r="6" spans="2:19" s="29" customFormat="1" ht="21.75" customHeight="1" x14ac:dyDescent="0.4">
      <c r="B6" s="29">
        <v>2</v>
      </c>
      <c r="C6" s="31">
        <v>45749</v>
      </c>
      <c r="D6" s="32">
        <v>5203104</v>
      </c>
      <c r="E6" s="33" t="s">
        <v>420</v>
      </c>
      <c r="F6" s="32" t="s">
        <v>52</v>
      </c>
      <c r="G6" s="34">
        <f>COUNTIFS(Todos!$B$2:$B$65,'Resumo '!G$1,Todos!$A$2:$A$65,'Resumo '!$E6)</f>
        <v>0</v>
      </c>
      <c r="H6" s="34">
        <f>COUNTIFS(Todos!$B$2:$B$65,'Resumo '!H$1,Todos!$A$2:$A$65,'Resumo '!$E6)</f>
        <v>3</v>
      </c>
      <c r="I6" s="35">
        <f t="shared" ref="I6:I34" si="0">SUM(G6+H6)</f>
        <v>3</v>
      </c>
      <c r="K6" s="31">
        <v>45749</v>
      </c>
      <c r="L6" s="32">
        <v>5203104</v>
      </c>
      <c r="M6" s="33" t="s">
        <v>420</v>
      </c>
      <c r="N6" s="32"/>
      <c r="O6" s="34"/>
      <c r="P6" s="34"/>
      <c r="Q6" s="35"/>
      <c r="S6" s="29" t="str">
        <f t="shared" ref="S6:S36" si="1">_xlfn.CONCAT(I6,"/",Q6)</f>
        <v>3/</v>
      </c>
    </row>
    <row r="7" spans="2:19" s="29" customFormat="1" ht="21.75" customHeight="1" x14ac:dyDescent="0.4">
      <c r="B7" s="29">
        <v>3</v>
      </c>
      <c r="C7" s="31">
        <v>45749</v>
      </c>
      <c r="D7" s="32">
        <v>5203401</v>
      </c>
      <c r="E7" s="33" t="s">
        <v>435</v>
      </c>
      <c r="F7" s="32" t="s">
        <v>53</v>
      </c>
      <c r="G7" s="34">
        <f>COUNTIFS(Todos!$B$2:$B$65,'Resumo '!G$1,Todos!$A$2:$A$65,'Resumo '!$E7)</f>
        <v>0</v>
      </c>
      <c r="H7" s="34">
        <f>COUNTIFS(Todos!$B$2:$B$65,'Resumo '!H$1,Todos!$A$2:$A$65,'Resumo '!$E7)</f>
        <v>0</v>
      </c>
      <c r="I7" s="35">
        <f t="shared" si="0"/>
        <v>0</v>
      </c>
      <c r="K7" s="31">
        <v>45749</v>
      </c>
      <c r="L7" s="32">
        <v>5203401</v>
      </c>
      <c r="M7" s="33" t="s">
        <v>435</v>
      </c>
      <c r="N7" s="32"/>
      <c r="O7" s="34"/>
      <c r="P7" s="34"/>
      <c r="Q7" s="35"/>
      <c r="S7" s="29" t="str">
        <f t="shared" si="1"/>
        <v>0/</v>
      </c>
    </row>
    <row r="8" spans="2:19" s="29" customFormat="1" ht="21.75" customHeight="1" x14ac:dyDescent="0.4">
      <c r="B8" s="29">
        <v>4</v>
      </c>
      <c r="C8" s="31">
        <v>45749</v>
      </c>
      <c r="D8" s="32">
        <v>5213707</v>
      </c>
      <c r="E8" s="33" t="s">
        <v>426</v>
      </c>
      <c r="F8" s="32" t="s">
        <v>54</v>
      </c>
      <c r="G8" s="34">
        <f>COUNTIFS(Todos!$B$2:$B$65,'Resumo '!G$1,Todos!$A$2:$A$65,'Resumo '!$E8)</f>
        <v>1</v>
      </c>
      <c r="H8" s="34">
        <f>COUNTIFS(Todos!$B$2:$B$65,'Resumo '!H$1,Todos!$A$2:$A$65,'Resumo '!$E8)</f>
        <v>1</v>
      </c>
      <c r="I8" s="35">
        <f t="shared" si="0"/>
        <v>2</v>
      </c>
      <c r="K8" s="31">
        <v>45749</v>
      </c>
      <c r="L8" s="32">
        <v>5213707</v>
      </c>
      <c r="M8" s="33" t="s">
        <v>426</v>
      </c>
      <c r="N8" s="32"/>
      <c r="O8" s="34"/>
      <c r="P8" s="34"/>
      <c r="Q8" s="35"/>
      <c r="S8" s="29" t="str">
        <f t="shared" si="1"/>
        <v>2/</v>
      </c>
    </row>
    <row r="9" spans="2:19" s="29" customFormat="1" ht="21.75" customHeight="1" x14ac:dyDescent="0.4">
      <c r="B9" s="29">
        <v>5</v>
      </c>
      <c r="C9" s="31">
        <v>45749</v>
      </c>
      <c r="D9" s="32">
        <v>5100201</v>
      </c>
      <c r="E9" s="33" t="s">
        <v>425</v>
      </c>
      <c r="F9" s="32" t="s">
        <v>55</v>
      </c>
      <c r="G9" s="34">
        <f>COUNTIFS(Todos!$B$2:$B$65,'Resumo '!G$1,Todos!$A$2:$A$65,'Resumo '!$E9)</f>
        <v>0</v>
      </c>
      <c r="H9" s="34">
        <f>COUNTIFS(Todos!$B$2:$B$65,'Resumo '!H$1,Todos!$A$2:$A$65,'Resumo '!$E9)</f>
        <v>2</v>
      </c>
      <c r="I9" s="35">
        <f t="shared" si="0"/>
        <v>2</v>
      </c>
      <c r="K9" s="31">
        <v>45749</v>
      </c>
      <c r="L9" s="32">
        <v>5100201</v>
      </c>
      <c r="M9" s="33" t="s">
        <v>425</v>
      </c>
      <c r="N9" s="32"/>
      <c r="O9" s="34"/>
      <c r="P9" s="34"/>
      <c r="Q9" s="35"/>
      <c r="S9" s="29" t="str">
        <f t="shared" si="1"/>
        <v>2/</v>
      </c>
    </row>
    <row r="10" spans="2:19" s="29" customFormat="1" ht="21.75" customHeight="1" x14ac:dyDescent="0.4">
      <c r="B10" s="29">
        <v>6</v>
      </c>
      <c r="C10" s="31">
        <v>45749</v>
      </c>
      <c r="D10" s="32">
        <v>5100359</v>
      </c>
      <c r="E10" s="33" t="s">
        <v>421</v>
      </c>
      <c r="F10" s="32" t="s">
        <v>56</v>
      </c>
      <c r="G10" s="34">
        <f>COUNTIFS(Todos!$B$2:$B$65,'Resumo '!G$1,Todos!$A$2:$A$65,'Resumo '!$E10)</f>
        <v>0</v>
      </c>
      <c r="H10" s="34">
        <f>COUNTIFS(Todos!$B$2:$B$65,'Resumo '!H$1,Todos!$A$2:$A$65,'Resumo '!$E10)</f>
        <v>1</v>
      </c>
      <c r="I10" s="35">
        <f t="shared" si="0"/>
        <v>1</v>
      </c>
      <c r="K10" s="31">
        <v>45749</v>
      </c>
      <c r="L10" s="32">
        <v>5100359</v>
      </c>
      <c r="M10" s="33" t="s">
        <v>421</v>
      </c>
      <c r="N10" s="32"/>
      <c r="O10" s="34"/>
      <c r="P10" s="34"/>
      <c r="Q10" s="35"/>
      <c r="S10" s="29" t="str">
        <f t="shared" si="1"/>
        <v>1/</v>
      </c>
    </row>
    <row r="11" spans="2:19" s="29" customFormat="1" ht="21.75" customHeight="1" x14ac:dyDescent="0.4">
      <c r="B11" s="29">
        <v>7</v>
      </c>
      <c r="C11" s="31">
        <v>45749</v>
      </c>
      <c r="D11" s="32">
        <v>5101001</v>
      </c>
      <c r="E11" s="33" t="s">
        <v>427</v>
      </c>
      <c r="F11" s="32" t="s">
        <v>57</v>
      </c>
      <c r="G11" s="34">
        <f>COUNTIFS(Todos!$B$2:$B$65,'Resumo '!G$1,Todos!$A$2:$A$65,'Resumo '!$E11)</f>
        <v>0</v>
      </c>
      <c r="H11" s="34">
        <f>COUNTIFS(Todos!$B$2:$B$65,'Resumo '!H$1,Todos!$A$2:$A$65,'Resumo '!$E11)</f>
        <v>2</v>
      </c>
      <c r="I11" s="35">
        <f t="shared" si="0"/>
        <v>2</v>
      </c>
      <c r="K11" s="31">
        <v>45749</v>
      </c>
      <c r="L11" s="32">
        <v>5101001</v>
      </c>
      <c r="M11" s="33" t="s">
        <v>427</v>
      </c>
      <c r="N11" s="32"/>
      <c r="O11" s="34"/>
      <c r="P11" s="34"/>
      <c r="Q11" s="35"/>
      <c r="S11" s="29" t="str">
        <f t="shared" si="1"/>
        <v>2/</v>
      </c>
    </row>
    <row r="12" spans="2:19" s="29" customFormat="1" ht="21.75" customHeight="1" x14ac:dyDescent="0.4">
      <c r="B12" s="29">
        <v>8</v>
      </c>
      <c r="C12" s="31">
        <v>45749</v>
      </c>
      <c r="D12" s="32">
        <v>5101803</v>
      </c>
      <c r="E12" s="33" t="s">
        <v>434</v>
      </c>
      <c r="F12" s="32" t="s">
        <v>58</v>
      </c>
      <c r="G12" s="34">
        <f>COUNTIFS(Todos!$B$2:$B$65,'Resumo '!G$1,Todos!$A$2:$A$65,'Resumo '!$E12)</f>
        <v>0</v>
      </c>
      <c r="H12" s="34">
        <f>COUNTIFS(Todos!$B$2:$B$65,'Resumo '!H$1,Todos!$A$2:$A$65,'Resumo '!$E12)</f>
        <v>2</v>
      </c>
      <c r="I12" s="35">
        <f t="shared" si="0"/>
        <v>2</v>
      </c>
      <c r="K12" s="31">
        <v>45749</v>
      </c>
      <c r="L12" s="32">
        <v>5101803</v>
      </c>
      <c r="M12" s="33" t="s">
        <v>434</v>
      </c>
      <c r="N12" s="32"/>
      <c r="O12" s="34"/>
      <c r="P12" s="34"/>
      <c r="Q12" s="35"/>
      <c r="S12" s="29" t="str">
        <f t="shared" si="1"/>
        <v>2/</v>
      </c>
    </row>
    <row r="13" spans="2:19" s="29" customFormat="1" ht="21.75" customHeight="1" x14ac:dyDescent="0.4">
      <c r="B13" s="29">
        <v>9</v>
      </c>
      <c r="C13" s="31">
        <v>45749</v>
      </c>
      <c r="D13" s="32">
        <v>5101852</v>
      </c>
      <c r="E13" s="33" t="s">
        <v>431</v>
      </c>
      <c r="F13" s="32" t="s">
        <v>59</v>
      </c>
      <c r="G13" s="34">
        <f>COUNTIFS(Todos!$B$2:$B$65,'Resumo '!G$1,Todos!$A$2:$A$65,'Resumo '!$E13)</f>
        <v>0</v>
      </c>
      <c r="H13" s="34">
        <f>COUNTIFS(Todos!$B$2:$B$65,'Resumo '!H$1,Todos!$A$2:$A$65,'Resumo '!$E13)</f>
        <v>3</v>
      </c>
      <c r="I13" s="35">
        <f t="shared" si="0"/>
        <v>3</v>
      </c>
      <c r="K13" s="31">
        <v>45749</v>
      </c>
      <c r="L13" s="32">
        <v>5101852</v>
      </c>
      <c r="M13" s="33" t="s">
        <v>431</v>
      </c>
      <c r="N13" s="32"/>
      <c r="O13" s="34"/>
      <c r="P13" s="34"/>
      <c r="Q13" s="35"/>
      <c r="S13" s="29" t="str">
        <f t="shared" si="1"/>
        <v>3/</v>
      </c>
    </row>
    <row r="14" spans="2:19" s="29" customFormat="1" ht="21.75" customHeight="1" x14ac:dyDescent="0.4">
      <c r="B14" s="29">
        <v>10</v>
      </c>
      <c r="C14" s="31">
        <v>45749</v>
      </c>
      <c r="D14" s="32">
        <v>5102603</v>
      </c>
      <c r="E14" s="33" t="s">
        <v>436</v>
      </c>
      <c r="F14" s="32" t="s">
        <v>60</v>
      </c>
      <c r="G14" s="34">
        <f>COUNTIFS(Todos!$B$2:$B$65,'Resumo '!G$1,Todos!$A$2:$A$65,'Resumo '!$E14)</f>
        <v>0</v>
      </c>
      <c r="H14" s="34">
        <f>COUNTIFS(Todos!$B$2:$B$65,'Resumo '!H$1,Todos!$A$2:$A$65,'Resumo '!$E14)</f>
        <v>0</v>
      </c>
      <c r="I14" s="35">
        <f t="shared" si="0"/>
        <v>0</v>
      </c>
      <c r="K14" s="31">
        <v>45749</v>
      </c>
      <c r="L14" s="32">
        <v>5102603</v>
      </c>
      <c r="M14" s="33" t="s">
        <v>436</v>
      </c>
      <c r="N14" s="32"/>
      <c r="O14" s="34"/>
      <c r="P14" s="34"/>
      <c r="Q14" s="35"/>
      <c r="S14" s="29" t="str">
        <f t="shared" si="1"/>
        <v>0/</v>
      </c>
    </row>
    <row r="15" spans="2:19" s="29" customFormat="1" ht="21.75" customHeight="1" x14ac:dyDescent="0.4">
      <c r="B15" s="29">
        <v>11</v>
      </c>
      <c r="C15" s="31">
        <v>45749</v>
      </c>
      <c r="D15" s="32">
        <v>5102694</v>
      </c>
      <c r="E15" s="33" t="s">
        <v>432</v>
      </c>
      <c r="F15" s="32" t="s">
        <v>61</v>
      </c>
      <c r="G15" s="34">
        <f>COUNTIFS(Todos!$B$2:$B$65,'Resumo '!G$1,Todos!$A$2:$A$65,'Resumo '!$E15)</f>
        <v>1</v>
      </c>
      <c r="H15" s="34">
        <f>COUNTIFS(Todos!$B$2:$B$65,'Resumo '!H$1,Todos!$A$2:$A$65,'Resumo '!$E15)</f>
        <v>2</v>
      </c>
      <c r="I15" s="35">
        <f t="shared" si="0"/>
        <v>3</v>
      </c>
      <c r="K15" s="31">
        <v>45749</v>
      </c>
      <c r="L15" s="32">
        <v>5102694</v>
      </c>
      <c r="M15" s="33" t="s">
        <v>432</v>
      </c>
      <c r="N15" s="32"/>
      <c r="O15" s="34"/>
      <c r="P15" s="34"/>
      <c r="Q15" s="35"/>
      <c r="S15" s="29" t="str">
        <f t="shared" si="1"/>
        <v>3/</v>
      </c>
    </row>
    <row r="16" spans="2:19" s="29" customFormat="1" ht="21.75" customHeight="1" x14ac:dyDescent="0.4">
      <c r="B16" s="29">
        <v>12</v>
      </c>
      <c r="C16" s="31">
        <v>45749</v>
      </c>
      <c r="D16" s="32">
        <v>5102702</v>
      </c>
      <c r="E16" s="33" t="s">
        <v>417</v>
      </c>
      <c r="F16" s="32" t="s">
        <v>62</v>
      </c>
      <c r="G16" s="34">
        <f>COUNTIFS(Todos!$B$2:$B$65,'Resumo '!G$1,Todos!$A$2:$A$65,'Resumo '!$E16)</f>
        <v>1</v>
      </c>
      <c r="H16" s="34">
        <f>COUNTIFS(Todos!$B$2:$B$65,'Resumo '!H$1,Todos!$A$2:$A$65,'Resumo '!$E16)</f>
        <v>2</v>
      </c>
      <c r="I16" s="35">
        <f t="shared" si="0"/>
        <v>3</v>
      </c>
      <c r="K16" s="31">
        <v>45749</v>
      </c>
      <c r="L16" s="32">
        <v>5102702</v>
      </c>
      <c r="M16" s="33" t="s">
        <v>417</v>
      </c>
      <c r="N16" s="32"/>
      <c r="O16" s="34"/>
      <c r="P16" s="34"/>
      <c r="Q16" s="35"/>
      <c r="S16" s="29" t="str">
        <f t="shared" si="1"/>
        <v>3/</v>
      </c>
    </row>
    <row r="17" spans="2:19" s="29" customFormat="1" ht="21.75" customHeight="1" x14ac:dyDescent="0.4">
      <c r="B17" s="29">
        <v>13</v>
      </c>
      <c r="C17" s="31">
        <v>45749</v>
      </c>
      <c r="D17" s="32">
        <v>5103106</v>
      </c>
      <c r="E17" s="33" t="s">
        <v>437</v>
      </c>
      <c r="F17" s="32" t="s">
        <v>63</v>
      </c>
      <c r="G17" s="34">
        <f>COUNTIFS(Todos!$B$2:$B$65,'Resumo '!G$1,Todos!$A$2:$A$65,'Resumo '!$E17)</f>
        <v>0</v>
      </c>
      <c r="H17" s="34">
        <f>COUNTIFS(Todos!$B$2:$B$65,'Resumo '!H$1,Todos!$A$2:$A$65,'Resumo '!$E17)</f>
        <v>0</v>
      </c>
      <c r="I17" s="35">
        <f t="shared" si="0"/>
        <v>0</v>
      </c>
      <c r="K17" s="31">
        <v>45749</v>
      </c>
      <c r="L17" s="32">
        <v>5103106</v>
      </c>
      <c r="M17" s="33" t="s">
        <v>437</v>
      </c>
      <c r="N17" s="32"/>
      <c r="O17" s="34"/>
      <c r="P17" s="34"/>
      <c r="Q17" s="35"/>
      <c r="S17" s="29" t="str">
        <f t="shared" si="1"/>
        <v>0/</v>
      </c>
    </row>
    <row r="18" spans="2:19" s="29" customFormat="1" ht="21.75" customHeight="1" x14ac:dyDescent="0.4">
      <c r="B18" s="29">
        <v>14</v>
      </c>
      <c r="C18" s="31">
        <v>45749</v>
      </c>
      <c r="D18" s="32">
        <v>5103353</v>
      </c>
      <c r="E18" s="33" t="s">
        <v>419</v>
      </c>
      <c r="F18" s="32" t="s">
        <v>64</v>
      </c>
      <c r="G18" s="34">
        <f>COUNTIFS(Todos!$B$2:$B$65,'Resumo '!G$1,Todos!$A$2:$A$65,'Resumo '!$E18)</f>
        <v>2</v>
      </c>
      <c r="H18" s="34">
        <f>COUNTIFS(Todos!$B$2:$B$65,'Resumo '!H$1,Todos!$A$2:$A$65,'Resumo '!$E18)</f>
        <v>2</v>
      </c>
      <c r="I18" s="35">
        <f t="shared" si="0"/>
        <v>4</v>
      </c>
      <c r="K18" s="31">
        <v>45749</v>
      </c>
      <c r="L18" s="32">
        <v>5103353</v>
      </c>
      <c r="M18" s="33" t="s">
        <v>419</v>
      </c>
      <c r="N18" s="32"/>
      <c r="O18" s="34"/>
      <c r="P18" s="34"/>
      <c r="Q18" s="35"/>
      <c r="S18" s="29" t="str">
        <f t="shared" si="1"/>
        <v>4/</v>
      </c>
    </row>
    <row r="19" spans="2:19" s="29" customFormat="1" ht="21.75" customHeight="1" x14ac:dyDescent="0.4">
      <c r="B19" s="29">
        <v>15</v>
      </c>
      <c r="C19" s="31">
        <v>45749</v>
      </c>
      <c r="D19" s="32">
        <v>5103858</v>
      </c>
      <c r="E19" s="33" t="s">
        <v>438</v>
      </c>
      <c r="F19" s="32" t="s">
        <v>65</v>
      </c>
      <c r="G19" s="34">
        <f>COUNTIFS(Todos!$B$2:$B$65,'Resumo '!G$1,Todos!$A$2:$A$65,'Resumo '!$E19)</f>
        <v>0</v>
      </c>
      <c r="H19" s="34">
        <f>COUNTIFS(Todos!$B$2:$B$65,'Resumo '!H$1,Todos!$A$2:$A$65,'Resumo '!$E19)</f>
        <v>0</v>
      </c>
      <c r="I19" s="35">
        <f t="shared" si="0"/>
        <v>0</v>
      </c>
      <c r="K19" s="31">
        <v>45749</v>
      </c>
      <c r="L19" s="32">
        <v>5103858</v>
      </c>
      <c r="M19" s="33" t="s">
        <v>438</v>
      </c>
      <c r="N19" s="32"/>
      <c r="O19" s="34"/>
      <c r="P19" s="34"/>
      <c r="Q19" s="35"/>
      <c r="S19" s="29" t="str">
        <f t="shared" si="1"/>
        <v>0/</v>
      </c>
    </row>
    <row r="20" spans="2:19" s="29" customFormat="1" ht="21.75" customHeight="1" x14ac:dyDescent="0.4">
      <c r="B20" s="29">
        <v>16</v>
      </c>
      <c r="C20" s="31">
        <v>45749</v>
      </c>
      <c r="D20" s="32">
        <v>5103908</v>
      </c>
      <c r="E20" s="33" t="s">
        <v>439</v>
      </c>
      <c r="F20" s="32" t="s">
        <v>66</v>
      </c>
      <c r="G20" s="34">
        <f>COUNTIFS(Todos!$B$2:$B$65,'Resumo '!G$1,Todos!$A$2:$A$65,'Resumo '!$E20)</f>
        <v>0</v>
      </c>
      <c r="H20" s="34">
        <f>COUNTIFS(Todos!$B$2:$B$65,'Resumo '!H$1,Todos!$A$2:$A$65,'Resumo '!$E20)</f>
        <v>0</v>
      </c>
      <c r="I20" s="35">
        <f t="shared" si="0"/>
        <v>0</v>
      </c>
      <c r="K20" s="31">
        <v>45749</v>
      </c>
      <c r="L20" s="32">
        <v>5103908</v>
      </c>
      <c r="M20" s="33" t="s">
        <v>439</v>
      </c>
      <c r="N20" s="32"/>
      <c r="O20" s="34"/>
      <c r="P20" s="34"/>
      <c r="Q20" s="35"/>
      <c r="S20" s="29" t="str">
        <f t="shared" si="1"/>
        <v>0/</v>
      </c>
    </row>
    <row r="21" spans="2:19" s="29" customFormat="1" ht="21.75" customHeight="1" x14ac:dyDescent="0.4">
      <c r="B21" s="29">
        <v>17</v>
      </c>
      <c r="C21" s="31">
        <v>45749</v>
      </c>
      <c r="D21" s="32">
        <v>5105309</v>
      </c>
      <c r="E21" s="33" t="s">
        <v>440</v>
      </c>
      <c r="F21" s="32" t="s">
        <v>67</v>
      </c>
      <c r="G21" s="34">
        <f>COUNTIFS(Todos!$B$2:$B$65,'Resumo '!G$1,Todos!$A$2:$A$65,'Resumo '!$E21)</f>
        <v>0</v>
      </c>
      <c r="H21" s="34">
        <f>COUNTIFS(Todos!$B$2:$B$65,'Resumo '!H$1,Todos!$A$2:$A$65,'Resumo '!$E21)</f>
        <v>0</v>
      </c>
      <c r="I21" s="35">
        <f t="shared" si="0"/>
        <v>0</v>
      </c>
      <c r="K21" s="31">
        <v>45749</v>
      </c>
      <c r="L21" s="32">
        <v>5105309</v>
      </c>
      <c r="M21" s="33" t="s">
        <v>440</v>
      </c>
      <c r="N21" s="32"/>
      <c r="O21" s="34"/>
      <c r="P21" s="34"/>
      <c r="Q21" s="35"/>
      <c r="S21" s="29" t="str">
        <f t="shared" si="1"/>
        <v>0/</v>
      </c>
    </row>
    <row r="22" spans="2:19" s="29" customFormat="1" ht="21.75" customHeight="1" x14ac:dyDescent="0.4">
      <c r="B22" s="29">
        <v>18</v>
      </c>
      <c r="C22" s="31">
        <v>45749</v>
      </c>
      <c r="D22" s="32">
        <v>5106174</v>
      </c>
      <c r="E22" s="33" t="s">
        <v>441</v>
      </c>
      <c r="F22" s="32" t="s">
        <v>65</v>
      </c>
      <c r="G22" s="34">
        <f>COUNTIFS(Todos!$B$2:$B$65,'Resumo '!G$1,Todos!$A$2:$A$65,'Resumo '!$E22)</f>
        <v>0</v>
      </c>
      <c r="H22" s="34">
        <f>COUNTIFS(Todos!$B$2:$B$65,'Resumo '!H$1,Todos!$A$2:$A$65,'Resumo '!$E22)</f>
        <v>0</v>
      </c>
      <c r="I22" s="35">
        <f t="shared" si="0"/>
        <v>0</v>
      </c>
      <c r="K22" s="31">
        <v>45749</v>
      </c>
      <c r="L22" s="32">
        <v>5106174</v>
      </c>
      <c r="M22" s="33" t="s">
        <v>441</v>
      </c>
      <c r="N22" s="32"/>
      <c r="O22" s="34"/>
      <c r="P22" s="34"/>
      <c r="Q22" s="35"/>
      <c r="S22" s="29" t="str">
        <f t="shared" si="1"/>
        <v>0/</v>
      </c>
    </row>
    <row r="23" spans="2:19" s="29" customFormat="1" ht="21.75" customHeight="1" x14ac:dyDescent="0.4">
      <c r="B23" s="29">
        <v>19</v>
      </c>
      <c r="C23" s="31">
        <v>45750</v>
      </c>
      <c r="D23" s="32">
        <v>5106257</v>
      </c>
      <c r="E23" s="33" t="s">
        <v>442</v>
      </c>
      <c r="F23" s="32" t="s">
        <v>68</v>
      </c>
      <c r="G23" s="34">
        <f>COUNTIFS(Todos!$B$2:$B$65,'Resumo '!G$1,Todos!$A$2:$A$65,'Resumo '!$E23)</f>
        <v>0</v>
      </c>
      <c r="H23" s="34">
        <f>COUNTIFS(Todos!$B$2:$B$65,'Resumo '!H$1,Todos!$A$2:$A$65,'Resumo '!$E23)</f>
        <v>0</v>
      </c>
      <c r="I23" s="35">
        <f t="shared" si="0"/>
        <v>0</v>
      </c>
      <c r="K23" s="31">
        <v>45750</v>
      </c>
      <c r="L23" s="32">
        <v>5106257</v>
      </c>
      <c r="M23" s="33" t="s">
        <v>442</v>
      </c>
      <c r="N23" s="32"/>
      <c r="O23" s="34"/>
      <c r="P23" s="34"/>
      <c r="Q23" s="35"/>
      <c r="S23" s="29" t="str">
        <f t="shared" si="1"/>
        <v>0/</v>
      </c>
    </row>
    <row r="24" spans="2:19" s="29" customFormat="1" ht="21.75" customHeight="1" x14ac:dyDescent="0.4">
      <c r="B24" s="29">
        <v>20</v>
      </c>
      <c r="C24" s="31">
        <v>45750</v>
      </c>
      <c r="D24" s="32">
        <v>5106315</v>
      </c>
      <c r="E24" s="33" t="s">
        <v>433</v>
      </c>
      <c r="F24" s="32" t="s">
        <v>69</v>
      </c>
      <c r="G24" s="34">
        <f>COUNTIFS(Todos!$B$2:$B$65,'Resumo '!G$1,Todos!$A$2:$A$65,'Resumo '!$E24)</f>
        <v>0</v>
      </c>
      <c r="H24" s="34">
        <f>COUNTIFS(Todos!$B$2:$B$65,'Resumo '!H$1,Todos!$A$2:$A$65,'Resumo '!$E24)</f>
        <v>1</v>
      </c>
      <c r="I24" s="35">
        <f t="shared" si="0"/>
        <v>1</v>
      </c>
      <c r="K24" s="31">
        <v>45750</v>
      </c>
      <c r="L24" s="32">
        <v>5106315</v>
      </c>
      <c r="M24" s="33" t="s">
        <v>433</v>
      </c>
      <c r="N24" s="32"/>
      <c r="O24" s="34"/>
      <c r="P24" s="34"/>
      <c r="Q24" s="35"/>
      <c r="S24" s="29" t="str">
        <f t="shared" si="1"/>
        <v>1/</v>
      </c>
    </row>
    <row r="25" spans="2:19" s="29" customFormat="1" ht="21.75" customHeight="1" x14ac:dyDescent="0.4">
      <c r="B25" s="29">
        <v>21</v>
      </c>
      <c r="C25" s="31">
        <v>45750</v>
      </c>
      <c r="D25" s="32">
        <v>5106281</v>
      </c>
      <c r="E25" s="33" t="s">
        <v>415</v>
      </c>
      <c r="F25" s="32" t="s">
        <v>70</v>
      </c>
      <c r="G25" s="34">
        <f>COUNTIFS(Todos!$B$2:$B$65,'Resumo '!G$1,Todos!$A$2:$A$65,'Resumo '!$E25)</f>
        <v>1</v>
      </c>
      <c r="H25" s="34">
        <f>COUNTIFS(Todos!$B$2:$B$65,'Resumo '!H$1,Todos!$A$2:$A$65,'Resumo '!$E25)</f>
        <v>1</v>
      </c>
      <c r="I25" s="35">
        <f t="shared" si="0"/>
        <v>2</v>
      </c>
      <c r="K25" s="31">
        <v>45750</v>
      </c>
      <c r="L25" s="32">
        <v>5106281</v>
      </c>
      <c r="M25" s="33" t="s">
        <v>415</v>
      </c>
      <c r="N25" s="32"/>
      <c r="O25" s="34"/>
      <c r="P25" s="34"/>
      <c r="Q25" s="35"/>
      <c r="S25" s="29" t="str">
        <f t="shared" si="1"/>
        <v>2/</v>
      </c>
    </row>
    <row r="26" spans="2:19" s="29" customFormat="1" ht="21.75" customHeight="1" x14ac:dyDescent="0.4">
      <c r="B26" s="29">
        <v>22</v>
      </c>
      <c r="C26" s="31">
        <v>45750</v>
      </c>
      <c r="D26" s="32">
        <v>5106653</v>
      </c>
      <c r="E26" s="33" t="s">
        <v>424</v>
      </c>
      <c r="F26" s="32" t="s">
        <v>71</v>
      </c>
      <c r="G26" s="34">
        <f>COUNTIFS(Todos!$B$2:$B$65,'Resumo '!G$1,Todos!$A$2:$A$65,'Resumo '!$E26)</f>
        <v>1</v>
      </c>
      <c r="H26" s="34">
        <f>COUNTIFS(Todos!$B$2:$B$65,'Resumo '!H$1,Todos!$A$2:$A$65,'Resumo '!$E26)</f>
        <v>1</v>
      </c>
      <c r="I26" s="35">
        <f t="shared" si="0"/>
        <v>2</v>
      </c>
      <c r="K26" s="31">
        <v>45750</v>
      </c>
      <c r="L26" s="32">
        <v>5106653</v>
      </c>
      <c r="M26" s="33" t="s">
        <v>424</v>
      </c>
      <c r="N26" s="32"/>
      <c r="O26" s="34"/>
      <c r="P26" s="34"/>
      <c r="Q26" s="35"/>
      <c r="S26" s="29" t="str">
        <f t="shared" si="1"/>
        <v>2/</v>
      </c>
    </row>
    <row r="27" spans="2:19" s="29" customFormat="1" ht="21.75" customHeight="1" x14ac:dyDescent="0.4">
      <c r="B27" s="29">
        <v>23</v>
      </c>
      <c r="C27" s="31">
        <v>45750</v>
      </c>
      <c r="D27" s="32">
        <v>5106778</v>
      </c>
      <c r="E27" s="33" t="s">
        <v>422</v>
      </c>
      <c r="F27" s="32" t="s">
        <v>72</v>
      </c>
      <c r="G27" s="34">
        <f>COUNTIFS(Todos!$B$2:$B$65,'Resumo '!G$1,Todos!$A$2:$A$65,'Resumo '!$E27)</f>
        <v>1</v>
      </c>
      <c r="H27" s="34">
        <f>COUNTIFS(Todos!$B$2:$B$65,'Resumo '!H$1,Todos!$A$2:$A$65,'Resumo '!$E27)</f>
        <v>0</v>
      </c>
      <c r="I27" s="35">
        <f t="shared" si="0"/>
        <v>1</v>
      </c>
      <c r="K27" s="31">
        <v>45750</v>
      </c>
      <c r="L27" s="32">
        <v>5106778</v>
      </c>
      <c r="M27" s="33" t="s">
        <v>422</v>
      </c>
      <c r="N27" s="32"/>
      <c r="O27" s="34"/>
      <c r="P27" s="34"/>
      <c r="Q27" s="35"/>
      <c r="S27" s="29" t="str">
        <f t="shared" si="1"/>
        <v>1/</v>
      </c>
    </row>
    <row r="28" spans="2:19" s="29" customFormat="1" ht="21.75" customHeight="1" x14ac:dyDescent="0.4">
      <c r="B28" s="29">
        <v>24</v>
      </c>
      <c r="C28" s="31">
        <v>45750</v>
      </c>
      <c r="D28" s="32">
        <v>5107065</v>
      </c>
      <c r="E28" s="33" t="s">
        <v>416</v>
      </c>
      <c r="F28" s="32" t="s">
        <v>56</v>
      </c>
      <c r="G28" s="34">
        <f>COUNTIFS(Todos!$B$2:$B$65,'Resumo '!G$1,Todos!$A$2:$A$65,'Resumo '!$E28)</f>
        <v>2</v>
      </c>
      <c r="H28" s="34">
        <f>COUNTIFS(Todos!$B$2:$B$65,'Resumo '!H$1,Todos!$A$2:$A$65,'Resumo '!$E28)</f>
        <v>2</v>
      </c>
      <c r="I28" s="35">
        <f t="shared" si="0"/>
        <v>4</v>
      </c>
      <c r="K28" s="31">
        <v>45750</v>
      </c>
      <c r="L28" s="32">
        <v>5107065</v>
      </c>
      <c r="M28" s="33" t="s">
        <v>416</v>
      </c>
      <c r="N28" s="32"/>
      <c r="O28" s="34"/>
      <c r="P28" s="34"/>
      <c r="Q28" s="35"/>
      <c r="S28" s="29" t="str">
        <f t="shared" si="1"/>
        <v>4/</v>
      </c>
    </row>
    <row r="29" spans="2:19" s="29" customFormat="1" ht="21.75" customHeight="1" x14ac:dyDescent="0.4">
      <c r="B29" s="29">
        <v>25</v>
      </c>
      <c r="C29" s="31">
        <v>45750</v>
      </c>
      <c r="D29" s="32">
        <v>5107180</v>
      </c>
      <c r="E29" s="33" t="s">
        <v>418</v>
      </c>
      <c r="F29" s="32" t="s">
        <v>73</v>
      </c>
      <c r="G29" s="34">
        <f>COUNTIFS(Todos!$B$2:$B$65,'Resumo '!G$1,Todos!$A$2:$A$65,'Resumo '!$E29)</f>
        <v>1</v>
      </c>
      <c r="H29" s="34">
        <f>COUNTIFS(Todos!$B$2:$B$65,'Resumo '!H$1,Todos!$A$2:$A$65,'Resumo '!$E29)</f>
        <v>1</v>
      </c>
      <c r="I29" s="35">
        <f t="shared" si="0"/>
        <v>2</v>
      </c>
      <c r="K29" s="31">
        <v>45750</v>
      </c>
      <c r="L29" s="32">
        <v>5107180</v>
      </c>
      <c r="M29" s="33" t="s">
        <v>418</v>
      </c>
      <c r="N29" s="32"/>
      <c r="O29" s="34"/>
      <c r="P29" s="34"/>
      <c r="Q29" s="35"/>
      <c r="S29" s="29" t="str">
        <f t="shared" si="1"/>
        <v>2/</v>
      </c>
    </row>
    <row r="30" spans="2:19" s="29" customFormat="1" ht="21.75" customHeight="1" x14ac:dyDescent="0.4">
      <c r="B30" s="29">
        <v>26</v>
      </c>
      <c r="C30" s="31">
        <v>45750</v>
      </c>
      <c r="D30" s="32">
        <v>5107776</v>
      </c>
      <c r="E30" s="33" t="s">
        <v>443</v>
      </c>
      <c r="F30" s="32" t="s">
        <v>69</v>
      </c>
      <c r="G30" s="34">
        <f>COUNTIFS(Todos!$B$2:$B$65,'Resumo '!G$1,Todos!$A$2:$A$65,'Resumo '!$E30)</f>
        <v>0</v>
      </c>
      <c r="H30" s="34">
        <f>COUNTIFS(Todos!$B$2:$B$65,'Resumo '!H$1,Todos!$A$2:$A$65,'Resumo '!$E30)</f>
        <v>0</v>
      </c>
      <c r="I30" s="35">
        <f t="shared" si="0"/>
        <v>0</v>
      </c>
      <c r="K30" s="31">
        <v>45750</v>
      </c>
      <c r="L30" s="32">
        <v>5107776</v>
      </c>
      <c r="M30" s="33" t="s">
        <v>443</v>
      </c>
      <c r="N30" s="32"/>
      <c r="O30" s="34"/>
      <c r="P30" s="34"/>
      <c r="Q30" s="35"/>
      <c r="S30" s="29" t="str">
        <f t="shared" si="1"/>
        <v>0/</v>
      </c>
    </row>
    <row r="31" spans="2:19" s="29" customFormat="1" ht="21.75" customHeight="1" x14ac:dyDescent="0.4">
      <c r="B31" s="29">
        <v>27</v>
      </c>
      <c r="C31" s="31">
        <v>45750</v>
      </c>
      <c r="D31" s="32">
        <v>5107792</v>
      </c>
      <c r="E31" s="33" t="s">
        <v>444</v>
      </c>
      <c r="F31" s="32" t="s">
        <v>56</v>
      </c>
      <c r="G31" s="34">
        <f>COUNTIFS(Todos!$B$2:$B$65,'Resumo '!G$1,Todos!$A$2:$A$65,'Resumo '!$E31)</f>
        <v>0</v>
      </c>
      <c r="H31" s="34">
        <f>COUNTIFS(Todos!$B$2:$B$65,'Resumo '!H$1,Todos!$A$2:$A$65,'Resumo '!$E31)</f>
        <v>0</v>
      </c>
      <c r="I31" s="35">
        <f t="shared" si="0"/>
        <v>0</v>
      </c>
      <c r="K31" s="31">
        <v>45750</v>
      </c>
      <c r="L31" s="32">
        <v>5107792</v>
      </c>
      <c r="M31" s="33" t="s">
        <v>444</v>
      </c>
      <c r="N31" s="32"/>
      <c r="O31" s="34"/>
      <c r="P31" s="34"/>
      <c r="Q31" s="35"/>
      <c r="S31" s="29" t="str">
        <f t="shared" si="1"/>
        <v>0/</v>
      </c>
    </row>
    <row r="32" spans="2:19" s="29" customFormat="1" ht="21.75" customHeight="1" x14ac:dyDescent="0.4">
      <c r="B32" s="29">
        <v>28</v>
      </c>
      <c r="C32" s="31">
        <v>45750</v>
      </c>
      <c r="D32" s="32">
        <v>5107859</v>
      </c>
      <c r="E32" s="33" t="s">
        <v>429</v>
      </c>
      <c r="F32" s="32" t="s">
        <v>74</v>
      </c>
      <c r="G32" s="34">
        <f>COUNTIFS(Todos!$B$2:$B$65,'Resumo '!G$1,Todos!$A$2:$A$65,'Resumo '!$E32)</f>
        <v>1</v>
      </c>
      <c r="H32" s="34">
        <f>COUNTIFS(Todos!$B$2:$B$65,'Resumo '!H$1,Todos!$A$2:$A$65,'Resumo '!$E32)</f>
        <v>3</v>
      </c>
      <c r="I32" s="35">
        <f t="shared" si="0"/>
        <v>4</v>
      </c>
      <c r="K32" s="31">
        <v>45750</v>
      </c>
      <c r="L32" s="32">
        <v>5107859</v>
      </c>
      <c r="M32" s="33" t="s">
        <v>429</v>
      </c>
      <c r="N32" s="32"/>
      <c r="O32" s="34"/>
      <c r="P32" s="34"/>
      <c r="Q32" s="35"/>
      <c r="S32" s="29" t="str">
        <f t="shared" si="1"/>
        <v>4/</v>
      </c>
    </row>
    <row r="33" spans="2:19" s="29" customFormat="1" ht="21.75" customHeight="1" x14ac:dyDescent="0.4">
      <c r="B33" s="29">
        <v>29</v>
      </c>
      <c r="C33" s="31">
        <v>45750</v>
      </c>
      <c r="D33" s="32">
        <v>5107883</v>
      </c>
      <c r="E33" s="33" t="s">
        <v>430</v>
      </c>
      <c r="F33" s="32" t="s">
        <v>68</v>
      </c>
      <c r="G33" s="34">
        <f>COUNTIFS(Todos!$B$2:$B$65,'Resumo '!G$1,Todos!$A$2:$A$65,'Resumo '!$E33)</f>
        <v>1</v>
      </c>
      <c r="H33" s="34">
        <f>COUNTIFS(Todos!$B$2:$B$65,'Resumo '!H$1,Todos!$A$2:$A$65,'Resumo '!$E33)</f>
        <v>1</v>
      </c>
      <c r="I33" s="35">
        <f t="shared" si="0"/>
        <v>2</v>
      </c>
      <c r="K33" s="31">
        <v>45750</v>
      </c>
      <c r="L33" s="32">
        <v>5107883</v>
      </c>
      <c r="M33" s="33" t="s">
        <v>430</v>
      </c>
      <c r="N33" s="32"/>
      <c r="O33" s="34"/>
      <c r="P33" s="34"/>
      <c r="Q33" s="35"/>
      <c r="S33" s="29" t="str">
        <f t="shared" si="1"/>
        <v>2/</v>
      </c>
    </row>
    <row r="34" spans="2:19" s="29" customFormat="1" ht="21.75" customHeight="1" thickBot="1" x14ac:dyDescent="0.45">
      <c r="B34" s="29">
        <v>30</v>
      </c>
      <c r="C34" s="31">
        <v>45750</v>
      </c>
      <c r="D34" s="32">
        <v>5108600</v>
      </c>
      <c r="E34" s="33" t="s">
        <v>428</v>
      </c>
      <c r="F34" s="32" t="s">
        <v>73</v>
      </c>
      <c r="G34" s="34">
        <f>COUNTIFS(Todos!$B$2:$B$65,'Resumo '!G$1,Todos!$A$2:$A$65,'Resumo '!$E34)</f>
        <v>2</v>
      </c>
      <c r="H34" s="34">
        <f>COUNTIFS(Todos!$B$2:$B$65,'Resumo '!H$1,Todos!$A$2:$A$65,'Resumo '!$E34)</f>
        <v>1</v>
      </c>
      <c r="I34" s="35">
        <f t="shared" si="0"/>
        <v>3</v>
      </c>
      <c r="K34" s="31">
        <v>45750</v>
      </c>
      <c r="L34" s="32">
        <v>5108600</v>
      </c>
      <c r="M34" s="33" t="s">
        <v>428</v>
      </c>
      <c r="N34" s="32"/>
      <c r="O34" s="34"/>
      <c r="P34" s="34"/>
      <c r="Q34" s="35"/>
      <c r="S34" s="29" t="str">
        <f t="shared" si="1"/>
        <v>3/</v>
      </c>
    </row>
    <row r="35" spans="2:19" s="29" customFormat="1" ht="21.75" customHeight="1" x14ac:dyDescent="0.4">
      <c r="C35" s="70" t="s">
        <v>75</v>
      </c>
      <c r="D35" s="70"/>
      <c r="E35" s="70"/>
      <c r="F35" s="70"/>
      <c r="G35" s="36">
        <f>SUM(G5:G34)</f>
        <v>15</v>
      </c>
      <c r="H35" s="36">
        <f>SUM(H5:H34)</f>
        <v>32</v>
      </c>
      <c r="I35" s="37">
        <f>SUM(I5:I34)</f>
        <v>47</v>
      </c>
      <c r="K35" s="70" t="s">
        <v>75</v>
      </c>
      <c r="L35" s="70"/>
      <c r="M35" s="70"/>
      <c r="N35" s="70"/>
      <c r="O35" s="36">
        <v>32</v>
      </c>
      <c r="P35" s="36">
        <v>60</v>
      </c>
      <c r="Q35" s="37">
        <v>92</v>
      </c>
      <c r="S35" s="29" t="str">
        <f t="shared" si="1"/>
        <v>47/92</v>
      </c>
    </row>
    <row r="36" spans="2:19" s="29" customFormat="1" ht="21.75" customHeight="1" thickBot="1" x14ac:dyDescent="0.45">
      <c r="B36" s="38"/>
      <c r="C36" s="70" t="s">
        <v>76</v>
      </c>
      <c r="D36" s="70"/>
      <c r="E36" s="70"/>
      <c r="F36" s="70"/>
      <c r="G36" s="39">
        <f>COUNTIF(G5:G34,"&lt;&gt;0")</f>
        <v>12</v>
      </c>
      <c r="H36" s="39">
        <f>COUNTIF(H5:H34,"&lt;&gt;0")</f>
        <v>19</v>
      </c>
      <c r="I36" s="40">
        <f>COUNTIF(I5:I34,"&lt;&gt;0")</f>
        <v>20</v>
      </c>
      <c r="K36" s="70" t="s">
        <v>76</v>
      </c>
      <c r="L36" s="70"/>
      <c r="M36" s="70"/>
      <c r="N36" s="70"/>
      <c r="O36" s="39">
        <v>20</v>
      </c>
      <c r="P36" s="39">
        <v>34</v>
      </c>
      <c r="Q36" s="40">
        <v>35</v>
      </c>
      <c r="S36" s="29" t="str">
        <f t="shared" si="1"/>
        <v>20/35</v>
      </c>
    </row>
    <row r="37" spans="2:19" s="29" customFormat="1" ht="21.75" customHeight="1" x14ac:dyDescent="0.4">
      <c r="E37" s="41"/>
      <c r="G37" s="29">
        <v>32</v>
      </c>
      <c r="H37" s="29">
        <v>60</v>
      </c>
      <c r="I37" s="29">
        <v>92</v>
      </c>
    </row>
    <row r="38" spans="2:19" s="29" customFormat="1" ht="21.75" customHeight="1" x14ac:dyDescent="0.4">
      <c r="E38" s="41"/>
      <c r="G38" s="42">
        <f t="shared" ref="G38:H38" si="2">+G35/G37</f>
        <v>0.46875</v>
      </c>
      <c r="H38" s="42">
        <f t="shared" si="2"/>
        <v>0.53333333333333333</v>
      </c>
      <c r="I38" s="42">
        <f>+I35/I37</f>
        <v>0.51086956521739135</v>
      </c>
    </row>
    <row r="40" spans="2:19" ht="21.75" customHeight="1" x14ac:dyDescent="0.2">
      <c r="K40" s="43">
        <f>+G35/$I$35</f>
        <v>0.31914893617021278</v>
      </c>
      <c r="L40" s="43">
        <f>+H35/$I$35</f>
        <v>0.68085106382978722</v>
      </c>
      <c r="M40" s="43">
        <f>+I35/$I$35</f>
        <v>1</v>
      </c>
    </row>
    <row r="41" spans="2:19" ht="21.75" customHeight="1" x14ac:dyDescent="0.2">
      <c r="G41" s="30" t="s">
        <v>3</v>
      </c>
      <c r="H41" s="30" t="s">
        <v>80</v>
      </c>
      <c r="I41" s="30" t="s">
        <v>46</v>
      </c>
    </row>
    <row r="42" spans="2:19" s="44" customFormat="1" ht="21.75" customHeight="1" x14ac:dyDescent="0.2">
      <c r="D42" s="45"/>
      <c r="E42" s="45"/>
      <c r="F42" s="45" t="s">
        <v>78</v>
      </c>
      <c r="G42" s="46">
        <f>+G35</f>
        <v>15</v>
      </c>
      <c r="H42" s="46">
        <f t="shared" ref="H42:I42" si="3">+H35</f>
        <v>32</v>
      </c>
      <c r="I42" s="46">
        <f t="shared" si="3"/>
        <v>47</v>
      </c>
    </row>
    <row r="43" spans="2:19" s="44" customFormat="1" ht="21.75" customHeight="1" x14ac:dyDescent="0.2">
      <c r="D43" s="45"/>
      <c r="E43" s="45"/>
      <c r="F43" s="45" t="s">
        <v>79</v>
      </c>
      <c r="G43" s="46">
        <f>+G36</f>
        <v>12</v>
      </c>
      <c r="H43" s="46">
        <f t="shared" ref="H43:I43" si="4">+H36</f>
        <v>19</v>
      </c>
      <c r="I43" s="46">
        <f t="shared" si="4"/>
        <v>20</v>
      </c>
    </row>
    <row r="44" spans="2:19" s="44" customFormat="1" ht="21.75" customHeight="1" x14ac:dyDescent="0.2">
      <c r="E44" s="47"/>
      <c r="F44" s="48"/>
    </row>
    <row r="45" spans="2:19" s="44" customFormat="1" ht="21.75" customHeight="1" x14ac:dyDescent="0.2">
      <c r="E45" s="47"/>
      <c r="F45" s="48"/>
    </row>
    <row r="46" spans="2:19" s="44" customFormat="1" ht="21.75" customHeight="1" x14ac:dyDescent="0.2">
      <c r="C46" s="68" t="s">
        <v>75</v>
      </c>
      <c r="D46" s="68"/>
      <c r="E46" s="68"/>
      <c r="F46" s="68"/>
    </row>
    <row r="47" spans="2:19" s="44" customFormat="1" ht="21.75" customHeight="1" x14ac:dyDescent="0.2">
      <c r="C47" s="68" t="s">
        <v>76</v>
      </c>
      <c r="D47" s="68"/>
      <c r="E47" s="68"/>
      <c r="F47" s="68"/>
    </row>
    <row r="48" spans="2:19" s="44" customFormat="1" ht="21.75" customHeight="1" x14ac:dyDescent="0.2">
      <c r="E48" s="47"/>
      <c r="F48" s="48"/>
    </row>
    <row r="49" spans="5:7" s="44" customFormat="1" ht="21.75" customHeight="1" x14ac:dyDescent="0.2">
      <c r="E49" s="47"/>
      <c r="F49" s="48" t="s">
        <v>78</v>
      </c>
      <c r="G49" s="44" t="s">
        <v>79</v>
      </c>
    </row>
    <row r="50" spans="5:7" s="44" customFormat="1" ht="21.75" customHeight="1" x14ac:dyDescent="0.2">
      <c r="E50" s="47" t="s">
        <v>3</v>
      </c>
      <c r="F50" s="48">
        <f>+G42</f>
        <v>15</v>
      </c>
      <c r="G50" s="44">
        <f>+G43</f>
        <v>12</v>
      </c>
    </row>
    <row r="51" spans="5:7" s="44" customFormat="1" ht="21.75" customHeight="1" x14ac:dyDescent="0.2">
      <c r="E51" s="47" t="s">
        <v>80</v>
      </c>
      <c r="F51" s="48">
        <f>+H42</f>
        <v>32</v>
      </c>
      <c r="G51" s="44">
        <f>+H43</f>
        <v>19</v>
      </c>
    </row>
    <row r="52" spans="5:7" s="44" customFormat="1" ht="21.75" customHeight="1" x14ac:dyDescent="0.2">
      <c r="E52" s="47"/>
      <c r="F52" s="48"/>
    </row>
    <row r="53" spans="5:7" s="44" customFormat="1" ht="21.75" customHeight="1" x14ac:dyDescent="0.2">
      <c r="E53" s="47"/>
      <c r="F53" s="48"/>
    </row>
    <row r="54" spans="5:7" s="44" customFormat="1" ht="21.75" customHeight="1" x14ac:dyDescent="0.2">
      <c r="E54" s="47"/>
      <c r="F54" s="48"/>
    </row>
    <row r="55" spans="5:7" s="44" customFormat="1" ht="21.75" customHeight="1" x14ac:dyDescent="0.2">
      <c r="E55" s="47"/>
      <c r="F55" s="48"/>
    </row>
    <row r="56" spans="5:7" s="44" customFormat="1" ht="21.75" customHeight="1" x14ac:dyDescent="0.2">
      <c r="E56" s="47"/>
      <c r="F56" s="48"/>
    </row>
    <row r="57" spans="5:7" s="44" customFormat="1" ht="21.75" customHeight="1" x14ac:dyDescent="0.2">
      <c r="E57" s="47"/>
      <c r="F57" s="48"/>
    </row>
    <row r="58" spans="5:7" s="44" customFormat="1" ht="21.75" customHeight="1" x14ac:dyDescent="0.2">
      <c r="E58" s="47"/>
      <c r="F58" s="48"/>
    </row>
    <row r="59" spans="5:7" s="44" customFormat="1" ht="21.75" customHeight="1" x14ac:dyDescent="0.2">
      <c r="E59" s="47"/>
      <c r="F59" s="48"/>
    </row>
    <row r="60" spans="5:7" s="44" customFormat="1" ht="21.75" customHeight="1" x14ac:dyDescent="0.2">
      <c r="E60" s="47"/>
      <c r="F60" s="48"/>
    </row>
    <row r="61" spans="5:7" s="44" customFormat="1" ht="21.75" customHeight="1" x14ac:dyDescent="0.2">
      <c r="E61" s="47"/>
      <c r="F61" s="48"/>
    </row>
    <row r="62" spans="5:7" s="44" customFormat="1" ht="21.75" customHeight="1" x14ac:dyDescent="0.2">
      <c r="E62" s="47"/>
      <c r="F62" s="48"/>
    </row>
    <row r="63" spans="5:7" s="44" customFormat="1" ht="21.75" customHeight="1" x14ac:dyDescent="0.2">
      <c r="E63" s="47"/>
      <c r="F63" s="48"/>
    </row>
    <row r="64" spans="5:7" s="44" customFormat="1" ht="21.75" customHeight="1" x14ac:dyDescent="0.2">
      <c r="E64" s="47"/>
      <c r="F64" s="48"/>
    </row>
    <row r="65" spans="5:6" s="44" customFormat="1" ht="21.75" customHeight="1" x14ac:dyDescent="0.2">
      <c r="E65" s="47"/>
      <c r="F65" s="48"/>
    </row>
  </sheetData>
  <mergeCells count="16">
    <mergeCell ref="C47:F47"/>
    <mergeCell ref="O3:Q3"/>
    <mergeCell ref="K35:N35"/>
    <mergeCell ref="K36:N36"/>
    <mergeCell ref="C46:F46"/>
    <mergeCell ref="C35:F35"/>
    <mergeCell ref="C36:F36"/>
    <mergeCell ref="K3:K4"/>
    <mergeCell ref="L3:L4"/>
    <mergeCell ref="M3:M4"/>
    <mergeCell ref="N3:N4"/>
    <mergeCell ref="C3:C4"/>
    <mergeCell ref="D3:D4"/>
    <mergeCell ref="E3:E4"/>
    <mergeCell ref="F3:F4"/>
    <mergeCell ref="G3:I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Dados</vt:lpstr>
      <vt:lpstr>Apendice III</vt:lpstr>
      <vt:lpstr>Todos</vt:lpstr>
      <vt:lpstr>CACS</vt:lpstr>
      <vt:lpstr>GESTORES</vt:lpstr>
      <vt:lpstr>Resumo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Giraldo</dc:creator>
  <cp:lastModifiedBy>Robinson Zuluaga</cp:lastModifiedBy>
  <dcterms:created xsi:type="dcterms:W3CDTF">2024-06-20T01:29:06Z</dcterms:created>
  <dcterms:modified xsi:type="dcterms:W3CDTF">2025-10-24T15:06:36Z</dcterms:modified>
</cp:coreProperties>
</file>