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R:\Dropbox\090_UFG\08_PTE - FAPPTE\32_13CTE\"/>
    </mc:Choice>
  </mc:AlternateContent>
  <xr:revisionPtr revIDLastSave="0" documentId="13_ncr:1_{E062EB16-25E2-4B53-924B-3BD64330D338}" xr6:coauthVersionLast="47" xr6:coauthVersionMax="47" xr10:uidLastSave="{00000000-0000-0000-0000-000000000000}"/>
  <bookViews>
    <workbookView xWindow="-120" yWindow="-120" windowWidth="29040" windowHeight="15720" tabRatio="772" activeTab="5" xr2:uid="{CF705BD6-A6DF-48B5-B1CC-0BABAB37C2E4}"/>
  </bookViews>
  <sheets>
    <sheet name="Dados" sheetId="17" r:id="rId1"/>
    <sheet name="Apendice III" sheetId="24" r:id="rId2"/>
    <sheet name="Todos" sheetId="18" r:id="rId3"/>
    <sheet name="CACS" sheetId="22" r:id="rId4"/>
    <sheet name="GESTORES" sheetId="23" r:id="rId5"/>
    <sheet name="Resumo " sheetId="21" r:id="rId6"/>
  </sheets>
  <definedNames>
    <definedName name="_xlnm._FilterDatabase" localSheetId="5" hidden="1">'Resumo '!$D$4:$H$16</definedName>
    <definedName name="_xleta.XLOOKUP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22" l="1"/>
  <c r="D7" i="22"/>
  <c r="E7" i="22"/>
  <c r="F7" i="22"/>
  <c r="G7" i="22"/>
  <c r="H7" i="22"/>
  <c r="I7" i="22"/>
  <c r="C8" i="22"/>
  <c r="D8" i="22"/>
  <c r="E8" i="22"/>
  <c r="F8" i="22"/>
  <c r="G8" i="22"/>
  <c r="H8" i="22"/>
  <c r="I8" i="22"/>
  <c r="C9" i="22"/>
  <c r="D9" i="22"/>
  <c r="E9" i="22"/>
  <c r="F9" i="22"/>
  <c r="G9" i="22"/>
  <c r="H9" i="22"/>
  <c r="I9" i="22"/>
  <c r="B3" i="22"/>
  <c r="B4" i="22"/>
  <c r="B5" i="22"/>
  <c r="B6" i="22"/>
  <c r="B7" i="22"/>
  <c r="B8" i="22"/>
  <c r="B9" i="22"/>
  <c r="A3" i="22"/>
  <c r="A4" i="22"/>
  <c r="A5" i="22"/>
  <c r="A6" i="22"/>
  <c r="A7" i="22"/>
  <c r="A8" i="22"/>
  <c r="A9" i="22"/>
  <c r="A5" i="18"/>
  <c r="A6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V23" i="17"/>
  <c r="V24" i="17"/>
  <c r="V25" i="17"/>
  <c r="V26" i="17"/>
  <c r="V2" i="17"/>
  <c r="V3" i="17"/>
  <c r="A3" i="18" s="1"/>
  <c r="V4" i="17"/>
  <c r="A4" i="18" s="1"/>
  <c r="V5" i="17"/>
  <c r="V6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7" i="17"/>
  <c r="A7" i="18" s="1"/>
  <c r="V8" i="17"/>
  <c r="A8" i="18" s="1"/>
  <c r="V9" i="17"/>
  <c r="A9" i="18" s="1"/>
  <c r="A10" i="23" l="1"/>
  <c r="B10" i="23"/>
  <c r="C10" i="23"/>
  <c r="D10" i="23"/>
  <c r="E10" i="23"/>
  <c r="F10" i="23"/>
  <c r="G10" i="23"/>
  <c r="H10" i="23"/>
  <c r="I10" i="23"/>
  <c r="A11" i="23"/>
  <c r="B11" i="23"/>
  <c r="C11" i="23"/>
  <c r="D11" i="23"/>
  <c r="E11" i="23"/>
  <c r="F11" i="23"/>
  <c r="G11" i="23"/>
  <c r="H11" i="23"/>
  <c r="I11" i="23"/>
  <c r="A12" i="23"/>
  <c r="B12" i="23"/>
  <c r="C12" i="23"/>
  <c r="D12" i="23"/>
  <c r="E12" i="23"/>
  <c r="F12" i="23"/>
  <c r="G12" i="23"/>
  <c r="H12" i="23"/>
  <c r="I12" i="23"/>
  <c r="A13" i="23"/>
  <c r="B13" i="23"/>
  <c r="C13" i="23"/>
  <c r="D13" i="23"/>
  <c r="E13" i="23"/>
  <c r="F13" i="23"/>
  <c r="G13" i="23"/>
  <c r="H13" i="23"/>
  <c r="I13" i="23"/>
  <c r="A14" i="23"/>
  <c r="B14" i="23"/>
  <c r="C14" i="23"/>
  <c r="D14" i="23"/>
  <c r="E14" i="23"/>
  <c r="F14" i="23"/>
  <c r="G14" i="23"/>
  <c r="H14" i="23"/>
  <c r="I14" i="23"/>
  <c r="A15" i="23"/>
  <c r="B15" i="23"/>
  <c r="C15" i="23"/>
  <c r="D15" i="23"/>
  <c r="E15" i="23"/>
  <c r="F15" i="23"/>
  <c r="G15" i="23"/>
  <c r="H15" i="23"/>
  <c r="I15" i="23"/>
  <c r="A16" i="23"/>
  <c r="B16" i="23"/>
  <c r="C16" i="23"/>
  <c r="D16" i="23"/>
  <c r="E16" i="23"/>
  <c r="F16" i="23"/>
  <c r="G16" i="23"/>
  <c r="H16" i="23"/>
  <c r="I16" i="23"/>
  <c r="A17" i="23"/>
  <c r="B17" i="23"/>
  <c r="C17" i="23"/>
  <c r="D17" i="23"/>
  <c r="E17" i="23"/>
  <c r="F17" i="23"/>
  <c r="G17" i="23"/>
  <c r="H17" i="23"/>
  <c r="I17" i="23"/>
  <c r="A18" i="23"/>
  <c r="B18" i="23"/>
  <c r="C18" i="23"/>
  <c r="D18" i="23"/>
  <c r="E18" i="23"/>
  <c r="F18" i="23"/>
  <c r="G18" i="23"/>
  <c r="H18" i="23"/>
  <c r="I18" i="23"/>
  <c r="A19" i="23"/>
  <c r="B19" i="23"/>
  <c r="C19" i="23"/>
  <c r="D19" i="23"/>
  <c r="E19" i="23"/>
  <c r="F19" i="23"/>
  <c r="G19" i="23"/>
  <c r="H19" i="23"/>
  <c r="I19" i="23"/>
  <c r="A20" i="23"/>
  <c r="B20" i="23"/>
  <c r="C20" i="23"/>
  <c r="D20" i="23"/>
  <c r="E20" i="23"/>
  <c r="F20" i="23"/>
  <c r="G20" i="23"/>
  <c r="H20" i="23"/>
  <c r="I20" i="23"/>
  <c r="A21" i="23"/>
  <c r="B21" i="23"/>
  <c r="C21" i="23"/>
  <c r="D21" i="23"/>
  <c r="E21" i="23"/>
  <c r="F21" i="23"/>
  <c r="G21" i="23"/>
  <c r="H21" i="23"/>
  <c r="I21" i="23"/>
  <c r="A22" i="23"/>
  <c r="B22" i="23"/>
  <c r="C22" i="23"/>
  <c r="D22" i="23"/>
  <c r="E22" i="23"/>
  <c r="F22" i="23"/>
  <c r="G22" i="23"/>
  <c r="H22" i="23"/>
  <c r="I22" i="23"/>
  <c r="C3" i="22"/>
  <c r="D3" i="22"/>
  <c r="E3" i="22"/>
  <c r="F3" i="22"/>
  <c r="G3" i="22"/>
  <c r="H3" i="22"/>
  <c r="I3" i="22"/>
  <c r="C4" i="22"/>
  <c r="D4" i="22"/>
  <c r="E4" i="22"/>
  <c r="F4" i="22"/>
  <c r="G4" i="22"/>
  <c r="H4" i="22"/>
  <c r="I4" i="22"/>
  <c r="C5" i="22"/>
  <c r="D5" i="22"/>
  <c r="E5" i="22"/>
  <c r="F5" i="22"/>
  <c r="G5" i="22"/>
  <c r="H5" i="22"/>
  <c r="I5" i="22"/>
  <c r="C6" i="22"/>
  <c r="D6" i="22"/>
  <c r="E6" i="22"/>
  <c r="F6" i="22"/>
  <c r="G6" i="22"/>
  <c r="H6" i="22"/>
  <c r="I6" i="22"/>
  <c r="A2" i="22"/>
  <c r="A2" i="18"/>
  <c r="B19" i="18" l="1"/>
  <c r="C19" i="18"/>
  <c r="D19" i="18"/>
  <c r="E19" i="18"/>
  <c r="F19" i="18"/>
  <c r="G19" i="18"/>
  <c r="H19" i="18"/>
  <c r="I19" i="18"/>
  <c r="B20" i="18"/>
  <c r="C20" i="18"/>
  <c r="D20" i="18"/>
  <c r="E20" i="18"/>
  <c r="F20" i="18"/>
  <c r="G20" i="18"/>
  <c r="H20" i="18"/>
  <c r="I20" i="18"/>
  <c r="B21" i="18"/>
  <c r="C21" i="18"/>
  <c r="D21" i="18"/>
  <c r="E21" i="18"/>
  <c r="F21" i="18"/>
  <c r="G21" i="18"/>
  <c r="H21" i="18"/>
  <c r="I21" i="18"/>
  <c r="B22" i="18"/>
  <c r="C22" i="18"/>
  <c r="D22" i="18"/>
  <c r="E22" i="18"/>
  <c r="F22" i="18"/>
  <c r="G22" i="18"/>
  <c r="H22" i="18"/>
  <c r="I22" i="18"/>
  <c r="B3" i="18"/>
  <c r="C3" i="18"/>
  <c r="D3" i="18"/>
  <c r="E3" i="18"/>
  <c r="F3" i="18"/>
  <c r="G3" i="18"/>
  <c r="H3" i="18"/>
  <c r="I3" i="18"/>
  <c r="B4" i="18"/>
  <c r="C4" i="18"/>
  <c r="D4" i="18"/>
  <c r="E4" i="18"/>
  <c r="F4" i="18"/>
  <c r="G4" i="18"/>
  <c r="H4" i="18"/>
  <c r="I4" i="18"/>
  <c r="B5" i="18"/>
  <c r="C5" i="18"/>
  <c r="D5" i="18"/>
  <c r="E5" i="18"/>
  <c r="F5" i="18"/>
  <c r="G5" i="18"/>
  <c r="H5" i="18"/>
  <c r="I5" i="18"/>
  <c r="B6" i="18"/>
  <c r="C6" i="18"/>
  <c r="D6" i="18"/>
  <c r="E6" i="18"/>
  <c r="F6" i="18"/>
  <c r="G6" i="18"/>
  <c r="H6" i="18"/>
  <c r="I6" i="18"/>
  <c r="B7" i="18"/>
  <c r="C7" i="18"/>
  <c r="D7" i="18"/>
  <c r="E7" i="18"/>
  <c r="F7" i="18"/>
  <c r="G7" i="18"/>
  <c r="H7" i="18"/>
  <c r="I7" i="18"/>
  <c r="B8" i="18"/>
  <c r="C8" i="18"/>
  <c r="D8" i="18"/>
  <c r="E8" i="18"/>
  <c r="F8" i="18"/>
  <c r="G8" i="18"/>
  <c r="H8" i="18"/>
  <c r="I8" i="18"/>
  <c r="B9" i="18"/>
  <c r="C9" i="18"/>
  <c r="D9" i="18"/>
  <c r="E9" i="18"/>
  <c r="F9" i="18"/>
  <c r="G9" i="18"/>
  <c r="H9" i="18"/>
  <c r="I9" i="18"/>
  <c r="B10" i="18"/>
  <c r="C10" i="18"/>
  <c r="D10" i="18"/>
  <c r="E10" i="18"/>
  <c r="F10" i="18"/>
  <c r="G10" i="18"/>
  <c r="H10" i="18"/>
  <c r="I10" i="18"/>
  <c r="B11" i="18"/>
  <c r="C11" i="18"/>
  <c r="D11" i="18"/>
  <c r="E11" i="18"/>
  <c r="F11" i="18"/>
  <c r="G11" i="18"/>
  <c r="H11" i="18"/>
  <c r="I11" i="18"/>
  <c r="B12" i="18"/>
  <c r="C12" i="18"/>
  <c r="D12" i="18"/>
  <c r="E12" i="18"/>
  <c r="F12" i="18"/>
  <c r="G12" i="18"/>
  <c r="H12" i="18"/>
  <c r="I12" i="18"/>
  <c r="B13" i="18"/>
  <c r="C13" i="18"/>
  <c r="D13" i="18"/>
  <c r="E13" i="18"/>
  <c r="F13" i="18"/>
  <c r="G13" i="18"/>
  <c r="H13" i="18"/>
  <c r="I13" i="18"/>
  <c r="B14" i="18"/>
  <c r="C14" i="18"/>
  <c r="D14" i="18"/>
  <c r="E14" i="18"/>
  <c r="F14" i="18"/>
  <c r="G14" i="18"/>
  <c r="H14" i="18"/>
  <c r="I14" i="18"/>
  <c r="B15" i="18"/>
  <c r="C15" i="18"/>
  <c r="D15" i="18"/>
  <c r="E15" i="18"/>
  <c r="F15" i="18"/>
  <c r="G15" i="18"/>
  <c r="H15" i="18"/>
  <c r="I15" i="18"/>
  <c r="B16" i="18"/>
  <c r="C16" i="18"/>
  <c r="D16" i="18"/>
  <c r="E16" i="18"/>
  <c r="F16" i="18"/>
  <c r="G16" i="18"/>
  <c r="H16" i="18"/>
  <c r="I16" i="18"/>
  <c r="B17" i="18"/>
  <c r="C17" i="18"/>
  <c r="D17" i="18"/>
  <c r="E17" i="18"/>
  <c r="F17" i="18"/>
  <c r="G17" i="18"/>
  <c r="H17" i="18"/>
  <c r="I17" i="18"/>
  <c r="B18" i="18"/>
  <c r="C18" i="18"/>
  <c r="D18" i="18"/>
  <c r="E18" i="18"/>
  <c r="F18" i="18"/>
  <c r="G18" i="18"/>
  <c r="H18" i="18"/>
  <c r="I18" i="18"/>
  <c r="I2" i="22" l="1"/>
  <c r="H2" i="22"/>
  <c r="G2" i="22"/>
  <c r="F2" i="22"/>
  <c r="E2" i="22"/>
  <c r="D2" i="22"/>
  <c r="C2" i="22"/>
  <c r="B2" i="22"/>
  <c r="C2" i="18"/>
  <c r="O7" i="18" s="1"/>
  <c r="O10" i="18" s="1"/>
  <c r="D2" i="18"/>
  <c r="E2" i="18"/>
  <c r="F2" i="18"/>
  <c r="G2" i="18"/>
  <c r="H2" i="18"/>
  <c r="I2" i="18"/>
  <c r="B2" i="18"/>
  <c r="R5" i="23"/>
  <c r="Q5" i="23"/>
  <c r="P5" i="23"/>
  <c r="O5" i="23"/>
  <c r="N5" i="23"/>
  <c r="R5" i="22"/>
  <c r="Q5" i="22"/>
  <c r="P5" i="22"/>
  <c r="O5" i="22"/>
  <c r="N5" i="22"/>
  <c r="O5" i="18"/>
  <c r="O8" i="18" s="1"/>
  <c r="O11" i="18" s="1"/>
  <c r="P5" i="18"/>
  <c r="Q5" i="18"/>
  <c r="R5" i="18"/>
  <c r="N5" i="18"/>
  <c r="H13" i="21" l="1"/>
  <c r="H9" i="21"/>
  <c r="H11" i="21"/>
  <c r="H12" i="21"/>
  <c r="H7" i="21"/>
  <c r="H10" i="21"/>
  <c r="H8" i="21"/>
  <c r="G7" i="21"/>
  <c r="G11" i="21"/>
  <c r="G8" i="21"/>
  <c r="G12" i="21"/>
  <c r="G9" i="21"/>
  <c r="G13" i="21"/>
  <c r="G10" i="21"/>
  <c r="O12" i="22"/>
  <c r="Q11" i="23"/>
  <c r="P11" i="23"/>
  <c r="Q6" i="23"/>
  <c r="P10" i="23"/>
  <c r="R9" i="23"/>
  <c r="O8" i="23"/>
  <c r="O10" i="23"/>
  <c r="Q7" i="23"/>
  <c r="O12" i="23"/>
  <c r="Q11" i="22"/>
  <c r="P11" i="22"/>
  <c r="O6" i="22"/>
  <c r="P7" i="23"/>
  <c r="Q7" i="22"/>
  <c r="O6" i="23"/>
  <c r="R9" i="22"/>
  <c r="O8" i="22"/>
  <c r="P6" i="22"/>
  <c r="P10" i="22"/>
  <c r="P7" i="22"/>
  <c r="Q9" i="22"/>
  <c r="O10" i="22"/>
  <c r="P9" i="22"/>
  <c r="Q9" i="23"/>
  <c r="R7" i="23"/>
  <c r="P8" i="23"/>
  <c r="N9" i="23"/>
  <c r="R11" i="23"/>
  <c r="O7" i="23"/>
  <c r="Q10" i="23"/>
  <c r="Q12" i="23"/>
  <c r="R6" i="23"/>
  <c r="N8" i="23"/>
  <c r="N10" i="23"/>
  <c r="N12" i="23"/>
  <c r="P6" i="23"/>
  <c r="N7" i="23"/>
  <c r="N11" i="23"/>
  <c r="P12" i="23"/>
  <c r="Q8" i="23"/>
  <c r="O9" i="23"/>
  <c r="O11" i="23"/>
  <c r="N6" i="23"/>
  <c r="R8" i="23"/>
  <c r="P9" i="23"/>
  <c r="R10" i="23"/>
  <c r="R12" i="23"/>
  <c r="N7" i="22"/>
  <c r="P8" i="22"/>
  <c r="N9" i="22"/>
  <c r="P12" i="22"/>
  <c r="Q6" i="22"/>
  <c r="O7" i="22"/>
  <c r="Q8" i="22"/>
  <c r="O9" i="22"/>
  <c r="Q10" i="22"/>
  <c r="O11" i="22"/>
  <c r="Q12" i="22"/>
  <c r="R7" i="22"/>
  <c r="N11" i="22"/>
  <c r="R11" i="22"/>
  <c r="N6" i="22"/>
  <c r="R6" i="22"/>
  <c r="N8" i="22"/>
  <c r="R8" i="22"/>
  <c r="N10" i="22"/>
  <c r="R10" i="22"/>
  <c r="N12" i="22"/>
  <c r="R12" i="22"/>
  <c r="I9" i="21" l="1"/>
  <c r="I7" i="21"/>
  <c r="I8" i="21"/>
  <c r="I12" i="21"/>
  <c r="I11" i="21"/>
  <c r="I10" i="21"/>
  <c r="I13" i="21"/>
  <c r="N6" i="18"/>
  <c r="H5" i="21"/>
  <c r="G5" i="21"/>
  <c r="G6" i="21"/>
  <c r="H6" i="21"/>
  <c r="O6" i="18"/>
  <c r="O9" i="18" s="1"/>
  <c r="O12" i="18" s="1"/>
  <c r="N12" i="18"/>
  <c r="N11" i="18"/>
  <c r="N7" i="18"/>
  <c r="N8" i="18"/>
  <c r="P10" i="18"/>
  <c r="Q6" i="18"/>
  <c r="Q12" i="18"/>
  <c r="R10" i="18"/>
  <c r="Q8" i="18"/>
  <c r="N10" i="18"/>
  <c r="Q11" i="18"/>
  <c r="P9" i="18"/>
  <c r="N9" i="18"/>
  <c r="R6" i="18"/>
  <c r="R12" i="18"/>
  <c r="R8" i="18"/>
  <c r="Q10" i="18"/>
  <c r="P12" i="18"/>
  <c r="P8" i="18"/>
  <c r="P6" i="18"/>
  <c r="R9" i="18"/>
  <c r="Q7" i="18"/>
  <c r="R11" i="18"/>
  <c r="R7" i="18"/>
  <c r="Q9" i="18"/>
  <c r="P11" i="18"/>
  <c r="P7" i="18"/>
  <c r="H14" i="21" l="1"/>
  <c r="H15" i="21"/>
  <c r="H22" i="21" s="1"/>
  <c r="G30" i="21" s="1"/>
  <c r="I6" i="21"/>
  <c r="S6" i="21" s="1"/>
  <c r="G14" i="21"/>
  <c r="G15" i="21"/>
  <c r="G22" i="21" s="1"/>
  <c r="G29" i="21" s="1"/>
  <c r="I5" i="21"/>
  <c r="G21" i="21" l="1"/>
  <c r="F29" i="21" s="1"/>
  <c r="G17" i="21"/>
  <c r="H21" i="21"/>
  <c r="F30" i="21" s="1"/>
  <c r="H17" i="21"/>
  <c r="S5" i="21"/>
  <c r="I15" i="21"/>
  <c r="I14" i="21"/>
  <c r="K19" i="21" s="1"/>
  <c r="L19" i="21" l="1"/>
  <c r="I22" i="21"/>
  <c r="S15" i="21"/>
  <c r="I21" i="21"/>
  <c r="S14" i="21"/>
  <c r="M19" i="21"/>
  <c r="I17" i="21"/>
</calcChain>
</file>

<file path=xl/sharedStrings.xml><?xml version="1.0" encoding="utf-8"?>
<sst xmlns="http://schemas.openxmlformats.org/spreadsheetml/2006/main" count="373" uniqueCount="217">
  <si>
    <t>Carimbo de data/hora</t>
  </si>
  <si>
    <t>Comentários e/ou Sugestões:</t>
  </si>
  <si>
    <t>Ruim</t>
  </si>
  <si>
    <t>CACS</t>
  </si>
  <si>
    <t>GESTOR</t>
  </si>
  <si>
    <t>Como ficou sabendo da Capacitação?</t>
  </si>
  <si>
    <t>Grupos de WhatsApp</t>
  </si>
  <si>
    <t>Outro</t>
  </si>
  <si>
    <t>Oficio de convocação feito pelo FNDE</t>
  </si>
  <si>
    <t>Nome Completo:</t>
  </si>
  <si>
    <t>CPF</t>
  </si>
  <si>
    <t>e-mail</t>
  </si>
  <si>
    <t>Município que representa:</t>
  </si>
  <si>
    <t>Você faz parte do:</t>
  </si>
  <si>
    <t>Avaliar de 1 a 5 (1 significa "ruim" e 5 significa "excelente") [Inscrição]</t>
  </si>
  <si>
    <t>Avaliar de 1 a 5 (1 significa "ruim" e 5 significa "excelente") [Divulgação]</t>
  </si>
  <si>
    <t>Avaliar de 1 a 5 (1 significa "ruim" e 5 significa "excelente") [Data da Formação]</t>
  </si>
  <si>
    <t>Avaliar de 1 a 5 (1 significa "ruim" e 5 significa "excelente") [Horário da Formação]</t>
  </si>
  <si>
    <t>Avaliar de 1 a 5 (1 significa "ruim" e 5 significa "excelente") [Local da Formação]</t>
  </si>
  <si>
    <t>Avaliar de 1 a 5 (1 significa "ruim" e 5 significa "excelente") [Duração da Formação]</t>
  </si>
  <si>
    <t>Avaliar de 1 a 5 (1 significa "ruim" e 5 significa "excelente") [Como você avalia a Formação]</t>
  </si>
  <si>
    <t>Indique dois aspectos que você mais gostou na Formação:</t>
  </si>
  <si>
    <t>Indique dois aspectos que poderiam ser melhorados na Formação (com detalhes);</t>
  </si>
  <si>
    <t>Instituição vinculada:</t>
  </si>
  <si>
    <t>Mencionar a Instituição vinculada</t>
  </si>
  <si>
    <t>CACS-FUNDEB</t>
  </si>
  <si>
    <t>Conselheira (o) do CACS/Fundeb</t>
  </si>
  <si>
    <t>Gestão municipal</t>
  </si>
  <si>
    <t>Secretaria Municipal de Educação;</t>
  </si>
  <si>
    <t>E-mail encaminhado pelo CECATE/CO</t>
  </si>
  <si>
    <t>Município</t>
  </si>
  <si>
    <t>Faz parte</t>
  </si>
  <si>
    <t xml:space="preserve">Inscrição </t>
  </si>
  <si>
    <t xml:space="preserve">Divulgação </t>
  </si>
  <si>
    <t xml:space="preserve">Data da Formação </t>
  </si>
  <si>
    <t xml:space="preserve">Horário da Formação </t>
  </si>
  <si>
    <t xml:space="preserve">Local da Formação </t>
  </si>
  <si>
    <t xml:space="preserve">Duração da Formação </t>
  </si>
  <si>
    <t xml:space="preserve">Como você avalia a Formação </t>
  </si>
  <si>
    <t>Excelente</t>
  </si>
  <si>
    <t xml:space="preserve"> Muito Bom</t>
  </si>
  <si>
    <t xml:space="preserve"> Neutro</t>
  </si>
  <si>
    <t xml:space="preserve"> Regular</t>
  </si>
  <si>
    <t>TOTAL</t>
  </si>
  <si>
    <t>Data</t>
  </si>
  <si>
    <t>Código IBGE  </t>
  </si>
  <si>
    <t>Distância (km) </t>
  </si>
  <si>
    <t>Presentes</t>
  </si>
  <si>
    <t>Pessoas Inscritas</t>
  </si>
  <si>
    <t>Municípios com pelo menos um representante inscrito</t>
  </si>
  <si>
    <t>Avaliadores</t>
  </si>
  <si>
    <t>Nº de Avaliações</t>
  </si>
  <si>
    <t>Nº de Participantes</t>
  </si>
  <si>
    <t>GESTORES</t>
  </si>
  <si>
    <t>E-mail encaminhado pelo CECATE/CO, Oficio de convocação feito pelo FNDE</t>
  </si>
  <si>
    <t>Código IBGE</t>
  </si>
  <si>
    <t>Nova Glória</t>
  </si>
  <si>
    <t>Educação dos palestrantes e temas importantes.</t>
  </si>
  <si>
    <t>Os slides</t>
  </si>
  <si>
    <t>Tudo</t>
  </si>
  <si>
    <t>Telefone (XX)XXXXX-XXXX</t>
  </si>
  <si>
    <t xml:space="preserve">Sugestão de temas para futuras capacitações 
(Webinar, vídeos de Youtube, postagens de Instagram, etc.) </t>
  </si>
  <si>
    <t>E-mail encaminhado pelo CECATE/CO, Oficio de convocação feito pelo FNDE, Grupos de WhatsApp</t>
  </si>
  <si>
    <t>webinar</t>
  </si>
  <si>
    <t>Youtube</t>
  </si>
  <si>
    <t>Instagram</t>
  </si>
  <si>
    <t>clareza nas explicações</t>
  </si>
  <si>
    <t>foi bom</t>
  </si>
  <si>
    <t>Elizeu da Silva Baioco</t>
  </si>
  <si>
    <t>025.590.831-83</t>
  </si>
  <si>
    <t>Elizeubaioco@hotmail.com</t>
  </si>
  <si>
    <t>(66)98436-4794</t>
  </si>
  <si>
    <t>NOVA BANDEIRANTES</t>
  </si>
  <si>
    <t>Conteúdo</t>
  </si>
  <si>
    <t>A formação foi ótima</t>
  </si>
  <si>
    <t>Lilian Sayuri Ono</t>
  </si>
  <si>
    <t>830.654.741-15</t>
  </si>
  <si>
    <t>onolilian11@gmail.com</t>
  </si>
  <si>
    <t>(66)99283-0493</t>
  </si>
  <si>
    <t>ALTA FLORESTA</t>
  </si>
  <si>
    <t>Bem explicado</t>
  </si>
  <si>
    <t>Poderia ter mais tempo para a capacitação. E simulação da prática, vivenciada em cada município</t>
  </si>
  <si>
    <t>Tiago Benfica de Assis</t>
  </si>
  <si>
    <t>009.976.891-70</t>
  </si>
  <si>
    <t>tiagobenficadeassis@gmail.com</t>
  </si>
  <si>
    <t>(66)98429-9272</t>
  </si>
  <si>
    <t>Dinâmica e conteúdo</t>
  </si>
  <si>
    <t>Divulgação</t>
  </si>
  <si>
    <t>Grupos de WhatsApp, Instagram</t>
  </si>
  <si>
    <t>Rosangela Cunha da Silva</t>
  </si>
  <si>
    <t>231.385.802-20</t>
  </si>
  <si>
    <t>rosangelacunhadasilva2@gmail.com</t>
  </si>
  <si>
    <t>(66)99220-1350</t>
  </si>
  <si>
    <t>Toda a dinamica da formação foi muito boa</t>
  </si>
  <si>
    <t>Deveria ter mais tempo de formação para um assunto tão amplo</t>
  </si>
  <si>
    <t>A formação foi muito produtiva, mas deveria ter mais tempo para troca de ideias e duvidas</t>
  </si>
  <si>
    <t>Mariangela Morgan Feitosa</t>
  </si>
  <si>
    <t>897.709.781-91</t>
  </si>
  <si>
    <t>mari-feitosa@hotmail.com</t>
  </si>
  <si>
    <t>(66)98439-1840</t>
  </si>
  <si>
    <t>NOVA MONTE VERDE</t>
  </si>
  <si>
    <t>Informacoes precisas.</t>
  </si>
  <si>
    <t>Obrigatoriedade de ter pessoas da gestao na formação</t>
  </si>
  <si>
    <t>Claudia Sibeli Coelho Fiel</t>
  </si>
  <si>
    <t>018.772.109-27</t>
  </si>
  <si>
    <t>claumar_fiel@hotmail.com</t>
  </si>
  <si>
    <t>(66)98409-2312</t>
  </si>
  <si>
    <t>Oficina SETE</t>
  </si>
  <si>
    <t>A forma que foi organizado a formação foi perfeito</t>
  </si>
  <si>
    <t>IRINEU SANTANA RAUSCHKOLB</t>
  </si>
  <si>
    <t>040.738.891-50</t>
  </si>
  <si>
    <t>irineusantana814@gmail.com</t>
  </si>
  <si>
    <t>(66)99939-9893</t>
  </si>
  <si>
    <t>APIACÁS</t>
  </si>
  <si>
    <t>dinamica e assunto bem detalhado</t>
  </si>
  <si>
    <t>parte da inscriçao</t>
  </si>
  <si>
    <t>SANDRA RIBEIRO DE OLIVEIRA</t>
  </si>
  <si>
    <t>844.451.571-04</t>
  </si>
  <si>
    <t>sandradeoliveirajardins@gmail.com</t>
  </si>
  <si>
    <t>(62)98293-5940</t>
  </si>
  <si>
    <t>Aula pratica em laboratório</t>
  </si>
  <si>
    <t>bem detalhada as informações</t>
  </si>
  <si>
    <t>precisamos de mais capacitações como está</t>
  </si>
  <si>
    <t>RONIVALDO MARQUES PINTO</t>
  </si>
  <si>
    <t>969.569.331-87</t>
  </si>
  <si>
    <t>ronimarquespta@gmail.com</t>
  </si>
  <si>
    <t>(66)99955-0748</t>
  </si>
  <si>
    <t>PARANAÍTA</t>
  </si>
  <si>
    <t>CLAREZA NAS EXPLICAÇÕES E SIMPATIA</t>
  </si>
  <si>
    <t>A</t>
  </si>
  <si>
    <t>MUITO BOA A CAPACITAÇÃO, COM ÓTIMAS EXPLICAÇÕES ATUALIZADAS</t>
  </si>
  <si>
    <t>RUDNEI MORAES SASSO</t>
  </si>
  <si>
    <t>991.302.971-68</t>
  </si>
  <si>
    <t>rudneimsasso@gmail.com</t>
  </si>
  <si>
    <t>(66)99630-1179</t>
  </si>
  <si>
    <t>Aulas muito bem explicadas.</t>
  </si>
  <si>
    <t>continuas com coffee break</t>
  </si>
  <si>
    <t>JOSIMEIRE DA LUZ</t>
  </si>
  <si>
    <t>028.495.521-35</t>
  </si>
  <si>
    <t>josidaluz201@gmail.com</t>
  </si>
  <si>
    <t>(66)98421-2529</t>
  </si>
  <si>
    <t>as informações apresentada de muita valia e os representantes super atenciosos gostei bastante da capacitação</t>
  </si>
  <si>
    <t>continuar os lanchinhos</t>
  </si>
  <si>
    <t>Everson Wiechorek</t>
  </si>
  <si>
    <t>032.294.371-01</t>
  </si>
  <si>
    <t>everson.wiechorek@novabandeirantes.edu.mt.gov.br</t>
  </si>
  <si>
    <t>(66)98459-2161</t>
  </si>
  <si>
    <t>Pertinência.</t>
  </si>
  <si>
    <t>As formações poderiam ser realizadas com mais frequência.</t>
  </si>
  <si>
    <t>Oficina com prestação de contas.</t>
  </si>
  <si>
    <t>Excelente.</t>
  </si>
  <si>
    <t>VALDINEI MAKOHIN DO NASCIMENTO</t>
  </si>
  <si>
    <t>011.149.971-29</t>
  </si>
  <si>
    <t>valdineimakohi1984@gmail.com</t>
  </si>
  <si>
    <t>(66)99919-6873</t>
  </si>
  <si>
    <t>videos bens explicativos no youtube conforme falado em aula</t>
  </si>
  <si>
    <t>disponibilizar videos auto explicativos bem detalhados igualmente feito em sala de aula</t>
  </si>
  <si>
    <t>Genize Luna de Carvalho</t>
  </si>
  <si>
    <t>650.632.441-49</t>
  </si>
  <si>
    <t>secretaria@novacanaadonorte.edu.mt.gov.br</t>
  </si>
  <si>
    <t>(66)99995-7128</t>
  </si>
  <si>
    <t>NOVA CANAÃ DO NORTE</t>
  </si>
  <si>
    <t>Sistema SETE e facilidade na operacionalização dos ícones. palestrantes bem preparados</t>
  </si>
  <si>
    <t>No meu contexto, atingiu todas as espectativas.</t>
  </si>
  <si>
    <t>Webinar</t>
  </si>
  <si>
    <t>A facilidade de acesso aos ícones do sistema SETE agilizará muito o trabalho.</t>
  </si>
  <si>
    <t>TALISON RAFAEL DE LIMA OUVERNEI</t>
  </si>
  <si>
    <t>058.230.421-08</t>
  </si>
  <si>
    <t>TALISON1478@GMAIL.COM</t>
  </si>
  <si>
    <t>(66)98416-0491</t>
  </si>
  <si>
    <t>TODO O ANDAMENTO DO CURSO ESTAVA MUITO BEM EXPLICATIVOS. OS PROFESSORES MINISTROU OS CURSOS DE UMA FORMA EXCELENTE!</t>
  </si>
  <si>
    <t>ESTAVA TUDO EXCELENTE</t>
  </si>
  <si>
    <t>daianemariana@msn.com</t>
  </si>
  <si>
    <t>731.237.221-04</t>
  </si>
  <si>
    <t>(66)98428-8628</t>
  </si>
  <si>
    <t>CARLINDA</t>
  </si>
  <si>
    <t>Formato das apresentações e dinâmicas</t>
  </si>
  <si>
    <t>Nenhuma</t>
  </si>
  <si>
    <t>ALTAMIRO CORRÊA LEITE JUNIOR</t>
  </si>
  <si>
    <t>020.147.301-13</t>
  </si>
  <si>
    <t>altamiromizuc@gmail.com</t>
  </si>
  <si>
    <t>(66)98432-1656</t>
  </si>
  <si>
    <t>SANTA CRUZ DO XINGU</t>
  </si>
  <si>
    <t>a dinamica de ensino, e a apresentação das plataformas junto com um suporte diferenciado</t>
  </si>
  <si>
    <t>o local da formação, pois municipios como o meu fica muito dificil acesso e nao consegui trazer os membros de comissão</t>
  </si>
  <si>
    <t>capacitação em loco e ou via web para melhor apreciação</t>
  </si>
  <si>
    <t>otima capacitação, e a sujestao seria melhor acesso na proxima para participar para nos de municipios de longe acesso</t>
  </si>
  <si>
    <t>FABIANO JOSE RODRIGUES</t>
  </si>
  <si>
    <t>011.797.911-26</t>
  </si>
  <si>
    <t>binanorodrigues85@gmail.com</t>
  </si>
  <si>
    <t>(66)98408-1719</t>
  </si>
  <si>
    <t>os avaliadores muito bom</t>
  </si>
  <si>
    <t>local mais perto</t>
  </si>
  <si>
    <t>via online</t>
  </si>
  <si>
    <t>Cirene Aparecida da Rosa Mendes</t>
  </si>
  <si>
    <t>785.415.009-78</t>
  </si>
  <si>
    <t>cirenepinknmv@hotmail.com</t>
  </si>
  <si>
    <t>(66)98439-2918</t>
  </si>
  <si>
    <t>Não</t>
  </si>
  <si>
    <t>Sim</t>
  </si>
  <si>
    <t>Muito bom.</t>
  </si>
  <si>
    <t>Marco Antônio A. Faraco</t>
  </si>
  <si>
    <t>950.825.901-97</t>
  </si>
  <si>
    <t>conselhoaltafloresta@gmail.com</t>
  </si>
  <si>
    <t>(66)99232-4866</t>
  </si>
  <si>
    <t>Dinamica</t>
  </si>
  <si>
    <t>Sem alteraçao</t>
  </si>
  <si>
    <t>Outros</t>
  </si>
  <si>
    <t>Conselho M. Educação</t>
  </si>
  <si>
    <t>Jouse Maria Conrado</t>
  </si>
  <si>
    <t>894.809.451-34</t>
  </si>
  <si>
    <t>jouseconrado8@gmail.com</t>
  </si>
  <si>
    <t>(66)99204-5216</t>
  </si>
  <si>
    <t>As atribuições dos conselheiros e como deve ser esse acompanhamento</t>
  </si>
  <si>
    <t>A divulgação e já ter determinado horários de almoço.</t>
  </si>
  <si>
    <t>Abordar a redação dos relatórios e pareceres</t>
  </si>
  <si>
    <t>SÃO JOSÉ DO XINGU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</si>
</sst>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7" x14ac:knownFonts="1">
    <font>
      <sz val="12"/>
      <color theme="1"/>
      <name val="Gill Sans MT"/>
      <family val="2"/>
    </font>
    <font>
      <sz val="12"/>
      <color theme="1"/>
      <name val="Gill Sans MT"/>
      <family val="2"/>
    </font>
    <font>
      <sz val="10"/>
      <color theme="1"/>
      <name val="Times New Roman"/>
      <family val="1"/>
    </font>
    <font>
      <sz val="10"/>
      <color rgb="FFFFFFFF"/>
      <name val="Roboto"/>
    </font>
    <font>
      <b/>
      <sz val="10"/>
      <color rgb="FFFFFFFF"/>
      <name val="Roboto"/>
    </font>
    <font>
      <b/>
      <sz val="10"/>
      <color rgb="FFFFFFFF"/>
      <name val="Arial"/>
      <family val="2"/>
    </font>
    <font>
      <sz val="10"/>
      <color rgb="FFFFFFFF"/>
      <name val="Arial"/>
      <family val="2"/>
    </font>
    <font>
      <sz val="10"/>
      <color theme="1"/>
      <name val="Arial"/>
      <family val="2"/>
    </font>
    <font>
      <sz val="10"/>
      <color rgb="FF434343"/>
      <name val="Roboto"/>
    </font>
    <font>
      <sz val="5"/>
      <color theme="1" tint="0.499984740745262"/>
      <name val="Arial"/>
      <family val="2"/>
    </font>
    <font>
      <b/>
      <sz val="5"/>
      <color theme="1" tint="0.499984740745262"/>
      <name val="Arial"/>
      <family val="2"/>
    </font>
    <font>
      <sz val="11"/>
      <color theme="0"/>
      <name val="Arial"/>
      <family val="2"/>
    </font>
    <font>
      <b/>
      <sz val="12"/>
      <color theme="1"/>
      <name val="Arial"/>
      <family val="2"/>
    </font>
    <font>
      <sz val="10"/>
      <color theme="0"/>
      <name val="Arial"/>
      <family val="2"/>
    </font>
    <font>
      <sz val="11"/>
      <color theme="1"/>
      <name val="Arial"/>
      <family val="2"/>
    </font>
    <font>
      <b/>
      <sz val="11"/>
      <color theme="9" tint="-0.499984740745262"/>
      <name val="Arial"/>
      <family val="2"/>
    </font>
    <font>
      <sz val="10"/>
      <name val="Times New Roman"/>
      <family val="1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5B3F8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442F65"/>
      </left>
      <right style="medium">
        <color rgb="FF5B3F86"/>
      </right>
      <top style="medium">
        <color rgb="FF442F65"/>
      </top>
      <bottom style="medium">
        <color rgb="FF442F65"/>
      </bottom>
      <diagonal/>
    </border>
    <border>
      <left style="medium">
        <color rgb="FFCCCCCC"/>
      </left>
      <right style="medium">
        <color rgb="FF5B3F86"/>
      </right>
      <top style="medium">
        <color rgb="FF442F65"/>
      </top>
      <bottom style="medium">
        <color rgb="FF442F65"/>
      </bottom>
      <diagonal/>
    </border>
    <border>
      <left style="medium">
        <color rgb="FFCCCCCC"/>
      </left>
      <right style="medium">
        <color rgb="FF442F65"/>
      </right>
      <top style="medium">
        <color rgb="FF442F65"/>
      </top>
      <bottom style="medium">
        <color rgb="FF442F65"/>
      </bottom>
      <diagonal/>
    </border>
    <border>
      <left style="medium">
        <color rgb="FFCCCCCC"/>
      </left>
      <right style="medium">
        <color rgb="FFCCCCCC"/>
      </right>
      <top style="medium">
        <color rgb="FFE8EAED"/>
      </top>
      <bottom style="medium">
        <color rgb="FFCCCCCC"/>
      </bottom>
      <diagonal/>
    </border>
    <border>
      <left style="medium">
        <color rgb="FF442F65"/>
      </left>
      <right style="medium">
        <color rgb="FFFFFFFF"/>
      </right>
      <top style="medium">
        <color rgb="FFCCCCCC"/>
      </top>
      <bottom style="medium">
        <color rgb="FFF8F9FA"/>
      </bottom>
      <diagonal/>
    </border>
    <border>
      <left style="medium">
        <color rgb="FFCCCCCC"/>
      </left>
      <right style="medium">
        <color rgb="FFFFFFFF"/>
      </right>
      <top style="medium">
        <color rgb="FFCCCCCC"/>
      </top>
      <bottom style="medium">
        <color rgb="FFF8F9FA"/>
      </bottom>
      <diagonal/>
    </border>
    <border>
      <left style="medium">
        <color rgb="FFCCCCCC"/>
      </left>
      <right style="medium">
        <color rgb="FF442F65"/>
      </right>
      <top style="medium">
        <color rgb="FFCCCCCC"/>
      </top>
      <bottom style="medium">
        <color rgb="FFF8F9FA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442F65"/>
      </left>
      <right style="medium">
        <color rgb="FFF8F9FA"/>
      </right>
      <top style="medium">
        <color rgb="FFCCCCCC"/>
      </top>
      <bottom style="medium">
        <color rgb="FFF8F9FA"/>
      </bottom>
      <diagonal/>
    </border>
    <border>
      <left style="medium">
        <color rgb="FFCCCCCC"/>
      </left>
      <right style="medium">
        <color rgb="FFF8F9FA"/>
      </right>
      <top style="medium">
        <color rgb="FFCCCCCC"/>
      </top>
      <bottom style="medium">
        <color rgb="FFF8F9FA"/>
      </bottom>
      <diagonal/>
    </border>
    <border>
      <left style="medium">
        <color rgb="FF442F65"/>
      </left>
      <right style="medium">
        <color rgb="FFF8F9FA"/>
      </right>
      <top style="medium">
        <color rgb="FFCCCCCC"/>
      </top>
      <bottom style="medium">
        <color rgb="FF442F65"/>
      </bottom>
      <diagonal/>
    </border>
    <border>
      <left style="medium">
        <color rgb="FFCCCCCC"/>
      </left>
      <right style="medium">
        <color rgb="FFF8F9FA"/>
      </right>
      <top style="medium">
        <color rgb="FFCCCCCC"/>
      </top>
      <bottom style="medium">
        <color rgb="FF442F65"/>
      </bottom>
      <diagonal/>
    </border>
    <border>
      <left style="medium">
        <color rgb="FFCCCCCC"/>
      </left>
      <right style="medium">
        <color rgb="FF442F65"/>
      </right>
      <top style="medium">
        <color rgb="FFCCCCCC"/>
      </top>
      <bottom style="medium">
        <color rgb="FF442F65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rgb="FFCCCCCC"/>
      </left>
      <right/>
      <top style="medium">
        <color rgb="FFCCCCCC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11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7" fillId="0" borderId="0" xfId="0" applyFont="1"/>
    <xf numFmtId="0" fontId="8" fillId="5" borderId="8" xfId="0" applyFont="1" applyFill="1" applyBorder="1" applyAlignment="1">
      <alignment vertical="center" wrapText="1"/>
    </xf>
    <xf numFmtId="0" fontId="8" fillId="5" borderId="8" xfId="0" applyFont="1" applyFill="1" applyBorder="1" applyAlignment="1">
      <alignment horizontal="right" vertical="center" wrapText="1"/>
    </xf>
    <xf numFmtId="0" fontId="7" fillId="0" borderId="10" xfId="0" applyFont="1" applyBorder="1" applyAlignment="1">
      <alignment wrapText="1"/>
    </xf>
    <xf numFmtId="0" fontId="8" fillId="6" borderId="12" xfId="0" applyFont="1" applyFill="1" applyBorder="1" applyAlignment="1">
      <alignment horizontal="right" vertical="center" wrapText="1"/>
    </xf>
    <xf numFmtId="0" fontId="4" fillId="3" borderId="4" xfId="0" applyFont="1" applyFill="1" applyBorder="1" applyAlignment="1">
      <alignment vertical="center"/>
    </xf>
    <xf numFmtId="0" fontId="3" fillId="3" borderId="4" xfId="0" applyFont="1" applyFill="1" applyBorder="1" applyAlignment="1">
      <alignment vertical="center"/>
    </xf>
    <xf numFmtId="0" fontId="3" fillId="3" borderId="5" xfId="0" applyFont="1" applyFill="1" applyBorder="1" applyAlignment="1">
      <alignment vertical="center"/>
    </xf>
    <xf numFmtId="0" fontId="0" fillId="0" borderId="0" xfId="0" applyAlignment="1">
      <alignment vertical="center" wrapText="1"/>
    </xf>
    <xf numFmtId="0" fontId="0" fillId="2" borderId="2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textRotation="90" wrapText="1"/>
    </xf>
    <xf numFmtId="0" fontId="0" fillId="2" borderId="2" xfId="0" applyFill="1" applyBorder="1"/>
    <xf numFmtId="0" fontId="0" fillId="2" borderId="2" xfId="0" applyFill="1" applyBorder="1" applyAlignment="1">
      <alignment horizontal="center" vertical="center"/>
    </xf>
    <xf numFmtId="164" fontId="0" fillId="2" borderId="2" xfId="1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 indent="1"/>
    </xf>
    <xf numFmtId="0" fontId="7" fillId="0" borderId="0" xfId="0" applyFont="1" applyAlignment="1">
      <alignment horizont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3" fillId="8" borderId="0" xfId="0" applyFont="1" applyFill="1" applyAlignment="1">
      <alignment horizontal="center" vertical="center"/>
    </xf>
    <xf numFmtId="14" fontId="14" fillId="0" borderId="2" xfId="0" applyNumberFormat="1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9" borderId="0" xfId="0" applyFont="1" applyFill="1" applyAlignment="1">
      <alignment horizontal="center" vertical="center"/>
    </xf>
    <xf numFmtId="0" fontId="15" fillId="10" borderId="0" xfId="0" applyFont="1" applyFill="1" applyAlignment="1">
      <alignment horizontal="center" vertical="center"/>
    </xf>
    <xf numFmtId="0" fontId="14" fillId="9" borderId="16" xfId="0" applyFont="1" applyFill="1" applyBorder="1" applyAlignment="1">
      <alignment horizontal="center" vertical="center"/>
    </xf>
    <xf numFmtId="0" fontId="15" fillId="10" borderId="16" xfId="0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14" fillId="9" borderId="17" xfId="0" applyFont="1" applyFill="1" applyBorder="1" applyAlignment="1">
      <alignment horizontal="center" vertical="center"/>
    </xf>
    <xf numFmtId="0" fontId="15" fillId="10" borderId="17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center" indent="1"/>
    </xf>
    <xf numFmtId="9" fontId="7" fillId="0" borderId="0" xfId="1" applyFont="1" applyAlignment="1">
      <alignment horizontal="center" vertical="center"/>
    </xf>
    <xf numFmtId="164" fontId="7" fillId="0" borderId="0" xfId="1" applyNumberFormat="1" applyFont="1" applyAlignment="1">
      <alignment horizontal="center" vertical="center"/>
    </xf>
    <xf numFmtId="0" fontId="7" fillId="2" borderId="0" xfId="0" applyFont="1" applyFill="1"/>
    <xf numFmtId="0" fontId="7" fillId="2" borderId="0" xfId="0" applyFont="1" applyFill="1" applyAlignment="1">
      <alignment vertic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left" indent="1"/>
    </xf>
    <xf numFmtId="0" fontId="7" fillId="2" borderId="0" xfId="0" applyFont="1" applyFill="1" applyAlignment="1">
      <alignment horizontal="center"/>
    </xf>
    <xf numFmtId="0" fontId="16" fillId="11" borderId="2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7" fillId="0" borderId="6" xfId="0" applyFont="1" applyBorder="1"/>
    <xf numFmtId="0" fontId="3" fillId="3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vertical="center" wrapText="1"/>
    </xf>
    <xf numFmtId="0" fontId="8" fillId="5" borderId="18" xfId="0" applyFont="1" applyFill="1" applyBorder="1" applyAlignment="1">
      <alignment horizontal="right" vertical="center" wrapText="1"/>
    </xf>
    <xf numFmtId="0" fontId="8" fillId="6" borderId="18" xfId="0" applyFont="1" applyFill="1" applyBorder="1" applyAlignment="1">
      <alignment horizontal="right" vertical="center" wrapText="1"/>
    </xf>
    <xf numFmtId="0" fontId="8" fillId="5" borderId="0" xfId="0" applyFont="1" applyFill="1" applyAlignment="1">
      <alignment horizontal="right" vertical="center" wrapText="1"/>
    </xf>
    <xf numFmtId="0" fontId="7" fillId="0" borderId="0" xfId="0" applyFont="1" applyAlignment="1">
      <alignment wrapText="1"/>
    </xf>
    <xf numFmtId="0" fontId="14" fillId="12" borderId="2" xfId="0" applyFont="1" applyFill="1" applyBorder="1" applyAlignment="1">
      <alignment horizontal="center" vertical="center"/>
    </xf>
    <xf numFmtId="0" fontId="14" fillId="12" borderId="2" xfId="0" applyFont="1" applyFill="1" applyBorder="1" applyAlignment="1">
      <alignment horizontal="left" vertical="center" indent="1"/>
    </xf>
    <xf numFmtId="0" fontId="8" fillId="6" borderId="8" xfId="0" applyFont="1" applyFill="1" applyBorder="1" applyAlignment="1">
      <alignment horizontal="right" vertical="center" wrapText="1"/>
    </xf>
    <xf numFmtId="0" fontId="8" fillId="5" borderId="12" xfId="0" applyFont="1" applyFill="1" applyBorder="1" applyAlignment="1">
      <alignment horizontal="right" vertical="center" wrapText="1"/>
    </xf>
    <xf numFmtId="0" fontId="7" fillId="0" borderId="12" xfId="0" applyFont="1" applyBorder="1" applyAlignment="1">
      <alignment wrapText="1"/>
    </xf>
    <xf numFmtId="0" fontId="7" fillId="0" borderId="8" xfId="0" applyFont="1" applyBorder="1" applyAlignment="1">
      <alignment wrapText="1"/>
    </xf>
    <xf numFmtId="0" fontId="8" fillId="5" borderId="10" xfId="0" applyFont="1" applyFill="1" applyBorder="1" applyAlignment="1">
      <alignment horizontal="right" vertical="center" wrapText="1"/>
    </xf>
    <xf numFmtId="0" fontId="8" fillId="6" borderId="10" xfId="0" applyFont="1" applyFill="1" applyBorder="1" applyAlignment="1">
      <alignment horizontal="right" vertical="center" wrapText="1"/>
    </xf>
    <xf numFmtId="0" fontId="7" fillId="0" borderId="18" xfId="0" applyFont="1" applyBorder="1" applyAlignment="1">
      <alignment wrapText="1"/>
    </xf>
    <xf numFmtId="0" fontId="8" fillId="6" borderId="0" xfId="0" applyFont="1" applyFill="1" applyAlignment="1">
      <alignment horizontal="right" vertical="center" wrapText="1"/>
    </xf>
    <xf numFmtId="0" fontId="0" fillId="0" borderId="10" xfId="0" applyBorder="1"/>
    <xf numFmtId="0" fontId="6" fillId="3" borderId="4" xfId="0" applyFont="1" applyFill="1" applyBorder="1" applyAlignment="1">
      <alignment vertical="center" wrapText="1"/>
    </xf>
    <xf numFmtId="0" fontId="7" fillId="2" borderId="0" xfId="0" applyFont="1" applyFill="1" applyAlignment="1">
      <alignment horizontal="right" vertical="center"/>
    </xf>
    <xf numFmtId="0" fontId="12" fillId="4" borderId="0" xfId="0" applyFont="1" applyFill="1" applyAlignment="1">
      <alignment horizontal="center" vertical="center"/>
    </xf>
    <xf numFmtId="0" fontId="7" fillId="0" borderId="2" xfId="0" applyFont="1" applyBorder="1" applyAlignment="1">
      <alignment horizontal="right" vertical="center"/>
    </xf>
    <xf numFmtId="0" fontId="11" fillId="7" borderId="0" xfId="0" applyFont="1" applyFill="1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  <xf numFmtId="0" fontId="11" fillId="7" borderId="0" xfId="0" applyFont="1" applyFill="1" applyAlignment="1">
      <alignment horizontal="center" vertical="center" wrapText="1"/>
    </xf>
    <xf numFmtId="0" fontId="11" fillId="7" borderId="1" xfId="0" applyFont="1" applyFill="1" applyBorder="1" applyAlignment="1">
      <alignment horizontal="center" vertical="center" wrapText="1"/>
    </xf>
    <xf numFmtId="22" fontId="8" fillId="0" borderId="11" xfId="0" applyNumberFormat="1" applyFont="1" applyFill="1" applyBorder="1" applyAlignment="1">
      <alignment horizontal="center" vertical="center" wrapText="1"/>
    </xf>
    <xf numFmtId="0" fontId="8" fillId="0" borderId="12" xfId="0" applyFont="1" applyFill="1" applyBorder="1" applyAlignment="1">
      <alignment vertical="center" wrapText="1"/>
    </xf>
    <xf numFmtId="0" fontId="8" fillId="0" borderId="12" xfId="0" applyFont="1" applyFill="1" applyBorder="1" applyAlignment="1">
      <alignment horizontal="center" vertical="center" wrapText="1"/>
    </xf>
    <xf numFmtId="0" fontId="8" fillId="0" borderId="12" xfId="0" applyFont="1" applyFill="1" applyBorder="1" applyAlignment="1">
      <alignment horizontal="right" vertical="center" wrapText="1"/>
    </xf>
    <xf numFmtId="0" fontId="7" fillId="0" borderId="12" xfId="0" applyFont="1" applyFill="1" applyBorder="1" applyAlignment="1">
      <alignment vertical="center" wrapText="1"/>
    </xf>
    <xf numFmtId="0" fontId="7" fillId="0" borderId="9" xfId="0" applyFont="1" applyFill="1" applyBorder="1" applyAlignment="1">
      <alignment vertical="center" wrapText="1"/>
    </xf>
    <xf numFmtId="0" fontId="7" fillId="0" borderId="10" xfId="0" applyFont="1" applyFill="1" applyBorder="1" applyAlignment="1">
      <alignment wrapText="1"/>
    </xf>
    <xf numFmtId="22" fontId="8" fillId="0" borderId="7" xfId="0" applyNumberFormat="1" applyFont="1" applyFill="1" applyBorder="1" applyAlignment="1">
      <alignment horizontal="center" vertical="center" wrapText="1"/>
    </xf>
    <xf numFmtId="0" fontId="8" fillId="0" borderId="8" xfId="0" applyFont="1" applyFill="1" applyBorder="1" applyAlignment="1">
      <alignment vertical="center" wrapText="1"/>
    </xf>
    <xf numFmtId="0" fontId="8" fillId="0" borderId="8" xfId="0" applyFont="1" applyFill="1" applyBorder="1" applyAlignment="1">
      <alignment horizontal="center" vertical="center" wrapText="1"/>
    </xf>
    <xf numFmtId="0" fontId="8" fillId="0" borderId="8" xfId="0" applyFont="1" applyFill="1" applyBorder="1" applyAlignment="1">
      <alignment horizontal="right" vertical="center" wrapText="1"/>
    </xf>
    <xf numFmtId="0" fontId="7" fillId="0" borderId="8" xfId="0" applyFont="1" applyFill="1" applyBorder="1" applyAlignment="1">
      <alignment vertical="center" wrapText="1"/>
    </xf>
    <xf numFmtId="0" fontId="8" fillId="0" borderId="9" xfId="0" applyFont="1" applyFill="1" applyBorder="1" applyAlignment="1">
      <alignment vertical="center" wrapText="1"/>
    </xf>
    <xf numFmtId="22" fontId="8" fillId="0" borderId="13" xfId="0" applyNumberFormat="1" applyFont="1" applyFill="1" applyBorder="1" applyAlignment="1">
      <alignment horizontal="center" vertical="center" wrapText="1"/>
    </xf>
    <xf numFmtId="0" fontId="8" fillId="0" borderId="14" xfId="0" applyFont="1" applyFill="1" applyBorder="1" applyAlignment="1">
      <alignment vertical="center" wrapText="1"/>
    </xf>
    <xf numFmtId="0" fontId="8" fillId="0" borderId="14" xfId="0" applyFont="1" applyFill="1" applyBorder="1" applyAlignment="1">
      <alignment horizontal="center" vertical="center" wrapText="1"/>
    </xf>
    <xf numFmtId="0" fontId="8" fillId="0" borderId="14" xfId="0" applyFont="1" applyFill="1" applyBorder="1" applyAlignment="1">
      <alignment horizontal="right" vertical="center" wrapText="1"/>
    </xf>
    <xf numFmtId="0" fontId="7" fillId="0" borderId="14" xfId="0" applyFont="1" applyFill="1" applyBorder="1" applyAlignment="1">
      <alignment vertical="center" wrapText="1"/>
    </xf>
    <xf numFmtId="0" fontId="7" fillId="0" borderId="15" xfId="0" applyFont="1" applyFill="1" applyBorder="1" applyAlignment="1">
      <alignment vertical="center" wrapText="1"/>
    </xf>
    <xf numFmtId="0" fontId="7" fillId="0" borderId="10" xfId="0" applyFont="1" applyFill="1" applyBorder="1" applyAlignment="1">
      <alignment horizontal="center" wrapText="1"/>
    </xf>
    <xf numFmtId="0" fontId="0" fillId="0" borderId="0" xfId="0" applyFill="1" applyAlignment="1">
      <alignment horizontal="center" wrapText="1"/>
    </xf>
    <xf numFmtId="0" fontId="0" fillId="0" borderId="0" xfId="0" applyFill="1" applyAlignment="1">
      <alignment wrapText="1"/>
    </xf>
    <xf numFmtId="22" fontId="8" fillId="13" borderId="7" xfId="0" applyNumberFormat="1" applyFont="1" applyFill="1" applyBorder="1" applyAlignment="1">
      <alignment horizontal="center" vertical="center" wrapText="1"/>
    </xf>
    <xf numFmtId="0" fontId="8" fillId="13" borderId="8" xfId="0" applyFont="1" applyFill="1" applyBorder="1" applyAlignment="1">
      <alignment vertical="center" wrapText="1"/>
    </xf>
    <xf numFmtId="0" fontId="8" fillId="13" borderId="8" xfId="0" applyFont="1" applyFill="1" applyBorder="1" applyAlignment="1">
      <alignment horizontal="center" vertical="center" wrapText="1"/>
    </xf>
    <xf numFmtId="0" fontId="8" fillId="13" borderId="8" xfId="0" applyFont="1" applyFill="1" applyBorder="1" applyAlignment="1">
      <alignment horizontal="right" vertical="center" wrapText="1"/>
    </xf>
    <xf numFmtId="0" fontId="7" fillId="13" borderId="8" xfId="0" applyFont="1" applyFill="1" applyBorder="1" applyAlignment="1">
      <alignment vertical="center" wrapText="1"/>
    </xf>
    <xf numFmtId="0" fontId="8" fillId="13" borderId="9" xfId="0" applyFont="1" applyFill="1" applyBorder="1" applyAlignment="1">
      <alignment vertical="center" wrapText="1"/>
    </xf>
    <xf numFmtId="0" fontId="7" fillId="13" borderId="10" xfId="0" applyFont="1" applyFill="1" applyBorder="1" applyAlignment="1">
      <alignment wrapText="1"/>
    </xf>
    <xf numFmtId="22" fontId="8" fillId="13" borderId="11" xfId="0" applyNumberFormat="1" applyFont="1" applyFill="1" applyBorder="1" applyAlignment="1">
      <alignment horizontal="center" vertical="center" wrapText="1"/>
    </xf>
    <xf numFmtId="0" fontId="8" fillId="13" borderId="12" xfId="0" applyFont="1" applyFill="1" applyBorder="1" applyAlignment="1">
      <alignment vertical="center" wrapText="1"/>
    </xf>
    <xf numFmtId="0" fontId="8" fillId="13" borderId="12" xfId="0" applyFont="1" applyFill="1" applyBorder="1" applyAlignment="1">
      <alignment horizontal="center" vertical="center" wrapText="1"/>
    </xf>
    <xf numFmtId="0" fontId="8" fillId="13" borderId="12" xfId="0" applyFont="1" applyFill="1" applyBorder="1" applyAlignment="1">
      <alignment horizontal="right" vertical="center" wrapText="1"/>
    </xf>
    <xf numFmtId="0" fontId="7" fillId="13" borderId="12" xfId="0" applyFont="1" applyFill="1" applyBorder="1" applyAlignment="1">
      <alignment vertical="center" wrapText="1"/>
    </xf>
    <xf numFmtId="0" fontId="7" fillId="13" borderId="9" xfId="0" applyFont="1" applyFill="1" applyBorder="1" applyAlignment="1">
      <alignment vertical="center" wrapText="1"/>
    </xf>
    <xf numFmtId="0" fontId="8" fillId="6" borderId="0" xfId="0" applyFont="1" applyFill="1" applyBorder="1" applyAlignment="1">
      <alignment horizontal="right" vertical="center" wrapText="1"/>
    </xf>
    <xf numFmtId="0" fontId="7" fillId="0" borderId="0" xfId="0" applyFont="1" applyBorder="1" applyAlignment="1">
      <alignment wrapText="1"/>
    </xf>
    <xf numFmtId="0" fontId="14" fillId="13" borderId="2" xfId="0" applyFont="1" applyFill="1" applyBorder="1" applyAlignment="1">
      <alignment horizontal="center" vertical="center"/>
    </xf>
    <xf numFmtId="0" fontId="14" fillId="13" borderId="2" xfId="0" applyFont="1" applyFill="1" applyBorder="1" applyAlignment="1">
      <alignment horizontal="left" vertical="center" indent="1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colors>
    <mruColors>
      <color rgb="FFFFCD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Todos!$N$5</c:f>
              <c:strCache>
                <c:ptCount val="1"/>
                <c:pt idx="0">
                  <c:v>1 - Ruim</c:v>
                </c:pt>
              </c:strCache>
            </c:strRef>
          </c:tx>
          <c:spPr>
            <a:solidFill>
              <a:srgbClr val="FF0000"/>
            </a:solidFill>
            <a:ln w="19050">
              <a:noFill/>
            </a:ln>
            <a:effectLst/>
          </c:spPr>
          <c:invertIfNegative val="0"/>
          <c:cat>
            <c:strRef>
              <c:f>Todos!$M$6:$M$12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Todos!$N$6:$N$12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0E-4510-8F42-35154F25B434}"/>
            </c:ext>
          </c:extLst>
        </c:ser>
        <c:ser>
          <c:idx val="1"/>
          <c:order val="1"/>
          <c:tx>
            <c:strRef>
              <c:f>Todos!$O$5</c:f>
              <c:strCache>
                <c:ptCount val="1"/>
                <c:pt idx="0">
                  <c:v>2 -  Regular</c:v>
                </c:pt>
              </c:strCache>
            </c:strRef>
          </c:tx>
          <c:spPr>
            <a:solidFill>
              <a:srgbClr val="FFC000"/>
            </a:solidFill>
            <a:ln w="19050">
              <a:noFill/>
            </a:ln>
            <a:effectLst/>
          </c:spPr>
          <c:invertIfNegative val="0"/>
          <c:cat>
            <c:strRef>
              <c:f>Todos!$M$6:$M$12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Todos!$O$6:$O$12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0E-4510-8F42-35154F25B434}"/>
            </c:ext>
          </c:extLst>
        </c:ser>
        <c:ser>
          <c:idx val="2"/>
          <c:order val="2"/>
          <c:tx>
            <c:strRef>
              <c:f>Todos!$P$5</c:f>
              <c:strCache>
                <c:ptCount val="1"/>
                <c:pt idx="0">
                  <c:v>3 -  Neutro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Todos!$M$6:$M$12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Todos!$P$6:$P$12</c:f>
              <c:numCache>
                <c:formatCode>0.0%</c:formatCode>
                <c:ptCount val="7"/>
                <c:pt idx="0">
                  <c:v>9.5238095238095233E-2</c:v>
                </c:pt>
                <c:pt idx="1">
                  <c:v>0.19047619047619047</c:v>
                </c:pt>
                <c:pt idx="2">
                  <c:v>9.5238095238095233E-2</c:v>
                </c:pt>
                <c:pt idx="3">
                  <c:v>4.7619047619047616E-2</c:v>
                </c:pt>
                <c:pt idx="4">
                  <c:v>9.5238095238095233E-2</c:v>
                </c:pt>
                <c:pt idx="5">
                  <c:v>9.5238095238095233E-2</c:v>
                </c:pt>
                <c:pt idx="6">
                  <c:v>4.7619047619047616E-2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0E-4510-8F42-35154F25B434}"/>
            </c:ext>
          </c:extLst>
        </c:ser>
        <c:ser>
          <c:idx val="3"/>
          <c:order val="3"/>
          <c:tx>
            <c:strRef>
              <c:f>Todos!$Q$5</c:f>
              <c:strCache>
                <c:ptCount val="1"/>
                <c:pt idx="0">
                  <c:v>4 -  Muito Bom</c:v>
                </c:pt>
              </c:strCache>
            </c:strRef>
          </c:tx>
          <c:spPr>
            <a:solidFill>
              <a:srgbClr val="FFFF00"/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Todos!$M$6:$M$12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Todos!$Q$6:$Q$12</c:f>
              <c:numCache>
                <c:formatCode>0.0%</c:formatCode>
                <c:ptCount val="7"/>
                <c:pt idx="0">
                  <c:v>0.14285714285714285</c:v>
                </c:pt>
                <c:pt idx="1">
                  <c:v>0.19047619047619047</c:v>
                </c:pt>
                <c:pt idx="2">
                  <c:v>0.14285714285714285</c:v>
                </c:pt>
                <c:pt idx="3">
                  <c:v>9.5238095238095233E-2</c:v>
                </c:pt>
                <c:pt idx="4">
                  <c:v>0.14285714285714285</c:v>
                </c:pt>
                <c:pt idx="5">
                  <c:v>9.5238095238095233E-2</c:v>
                </c:pt>
                <c:pt idx="6">
                  <c:v>0.14285714285714285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B0E-4510-8F42-35154F25B434}"/>
            </c:ext>
          </c:extLst>
        </c:ser>
        <c:ser>
          <c:idx val="4"/>
          <c:order val="4"/>
          <c:tx>
            <c:strRef>
              <c:f>Todos!$R$5</c:f>
              <c:strCache>
                <c:ptCount val="1"/>
                <c:pt idx="0">
                  <c:v>5 - Excelente</c:v>
                </c:pt>
              </c:strCache>
            </c:strRef>
          </c:tx>
          <c:spPr>
            <a:solidFill>
              <a:srgbClr val="00B050"/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Todos!$M$6:$M$12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Todos!$R$6:$R$12</c:f>
              <c:numCache>
                <c:formatCode>0.0%</c:formatCode>
                <c:ptCount val="7"/>
                <c:pt idx="0">
                  <c:v>0.76190476190476186</c:v>
                </c:pt>
                <c:pt idx="1">
                  <c:v>0.61904761904761907</c:v>
                </c:pt>
                <c:pt idx="2">
                  <c:v>0.76190476190476186</c:v>
                </c:pt>
                <c:pt idx="3">
                  <c:v>0.8571428571428571</c:v>
                </c:pt>
                <c:pt idx="4">
                  <c:v>0.76190476190476186</c:v>
                </c:pt>
                <c:pt idx="5">
                  <c:v>0.80952380952380953</c:v>
                </c:pt>
                <c:pt idx="6">
                  <c:v>0.80952380952380953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B0E-4510-8F42-35154F25B4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73920719"/>
        <c:axId val="1573937999"/>
      </c:barChart>
      <c:valAx>
        <c:axId val="15739379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573920719"/>
        <c:crosses val="autoZero"/>
        <c:crossBetween val="between"/>
      </c:valAx>
      <c:catAx>
        <c:axId val="157392071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573937999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356812956519971"/>
          <c:y val="0.90090971638253958"/>
          <c:w val="0.72304461942257214"/>
          <c:h val="7.320031597991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CACS!$N$5</c:f>
              <c:strCache>
                <c:ptCount val="1"/>
                <c:pt idx="0">
                  <c:v>1 - Ruim</c:v>
                </c:pt>
              </c:strCache>
            </c:strRef>
          </c:tx>
          <c:spPr>
            <a:solidFill>
              <a:srgbClr val="FF0000"/>
            </a:solidFill>
            <a:ln w="19050">
              <a:noFill/>
            </a:ln>
            <a:effectLst/>
          </c:spPr>
          <c:invertIfNegative val="0"/>
          <c:cat>
            <c:strRef>
              <c:f>CACS!$M$6:$M$12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CACS!$N$6:$N$12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01-4361-B35C-2076A2B285F1}"/>
            </c:ext>
          </c:extLst>
        </c:ser>
        <c:ser>
          <c:idx val="1"/>
          <c:order val="1"/>
          <c:tx>
            <c:strRef>
              <c:f>CACS!$O$5</c:f>
              <c:strCache>
                <c:ptCount val="1"/>
                <c:pt idx="0">
                  <c:v>2 -  Regular</c:v>
                </c:pt>
              </c:strCache>
            </c:strRef>
          </c:tx>
          <c:spPr>
            <a:solidFill>
              <a:srgbClr val="FFC000"/>
            </a:solidFill>
            <a:ln w="19050">
              <a:noFill/>
            </a:ln>
            <a:effectLst/>
          </c:spPr>
          <c:invertIfNegative val="0"/>
          <c:cat>
            <c:strRef>
              <c:f>CACS!$M$6:$M$12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CACS!$O$6:$O$12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01-4361-B35C-2076A2B285F1}"/>
            </c:ext>
          </c:extLst>
        </c:ser>
        <c:ser>
          <c:idx val="2"/>
          <c:order val="2"/>
          <c:tx>
            <c:strRef>
              <c:f>CACS!$P$5</c:f>
              <c:strCache>
                <c:ptCount val="1"/>
                <c:pt idx="0">
                  <c:v>3 -  Neutro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CACS!$M$6:$M$12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CACS!$P$6:$P$12</c:f>
              <c:numCache>
                <c:formatCode>0.0%</c:formatCode>
                <c:ptCount val="7"/>
                <c:pt idx="0">
                  <c:v>0.25</c:v>
                </c:pt>
                <c:pt idx="1">
                  <c:v>0.375</c:v>
                </c:pt>
                <c:pt idx="2">
                  <c:v>0.125</c:v>
                </c:pt>
                <c:pt idx="3">
                  <c:v>0.125</c:v>
                </c:pt>
                <c:pt idx="4">
                  <c:v>0.125</c:v>
                </c:pt>
                <c:pt idx="5">
                  <c:v>0.25</c:v>
                </c:pt>
                <c:pt idx="6">
                  <c:v>0.125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01-4361-B35C-2076A2B285F1}"/>
            </c:ext>
          </c:extLst>
        </c:ser>
        <c:ser>
          <c:idx val="3"/>
          <c:order val="3"/>
          <c:tx>
            <c:strRef>
              <c:f>CACS!$Q$5</c:f>
              <c:strCache>
                <c:ptCount val="1"/>
                <c:pt idx="0">
                  <c:v>4 -  Muito Bom</c:v>
                </c:pt>
              </c:strCache>
            </c:strRef>
          </c:tx>
          <c:spPr>
            <a:solidFill>
              <a:srgbClr val="FFFF00"/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CACS!$M$6:$M$12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CACS!$Q$6:$Q$12</c:f>
              <c:numCache>
                <c:formatCode>0.0%</c:formatCode>
                <c:ptCount val="7"/>
                <c:pt idx="0">
                  <c:v>0.25</c:v>
                </c:pt>
                <c:pt idx="1">
                  <c:v>0.375</c:v>
                </c:pt>
                <c:pt idx="2">
                  <c:v>0.25</c:v>
                </c:pt>
                <c:pt idx="3">
                  <c:v>0.25</c:v>
                </c:pt>
                <c:pt idx="4">
                  <c:v>0.375</c:v>
                </c:pt>
                <c:pt idx="5">
                  <c:v>0.25</c:v>
                </c:pt>
                <c:pt idx="6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01-4361-B35C-2076A2B285F1}"/>
            </c:ext>
          </c:extLst>
        </c:ser>
        <c:ser>
          <c:idx val="4"/>
          <c:order val="4"/>
          <c:tx>
            <c:strRef>
              <c:f>CACS!$R$5</c:f>
              <c:strCache>
                <c:ptCount val="1"/>
                <c:pt idx="0">
                  <c:v>5 - Excelente</c:v>
                </c:pt>
              </c:strCache>
            </c:strRef>
          </c:tx>
          <c:spPr>
            <a:solidFill>
              <a:srgbClr val="00B050"/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CACS!$M$6:$M$12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CACS!$R$6:$R$12</c:f>
              <c:numCache>
                <c:formatCode>0.0%</c:formatCode>
                <c:ptCount val="7"/>
                <c:pt idx="0">
                  <c:v>0.5</c:v>
                </c:pt>
                <c:pt idx="1">
                  <c:v>0.25</c:v>
                </c:pt>
                <c:pt idx="2">
                  <c:v>0.625</c:v>
                </c:pt>
                <c:pt idx="3">
                  <c:v>0.625</c:v>
                </c:pt>
                <c:pt idx="4">
                  <c:v>0.5</c:v>
                </c:pt>
                <c:pt idx="5">
                  <c:v>0.5</c:v>
                </c:pt>
                <c:pt idx="6">
                  <c:v>0.625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01-4361-B35C-2076A2B28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73920719"/>
        <c:axId val="1573937999"/>
      </c:barChart>
      <c:valAx>
        <c:axId val="15739379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573920719"/>
        <c:crosses val="autoZero"/>
        <c:crossBetween val="between"/>
      </c:valAx>
      <c:catAx>
        <c:axId val="157392071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573937999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356812956519971"/>
          <c:y val="0.90090971638253958"/>
          <c:w val="0.72304461942257214"/>
          <c:h val="7.320031597991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GESTORES!$N$5</c:f>
              <c:strCache>
                <c:ptCount val="1"/>
                <c:pt idx="0">
                  <c:v>1 - Ruim</c:v>
                </c:pt>
              </c:strCache>
            </c:strRef>
          </c:tx>
          <c:spPr>
            <a:solidFill>
              <a:srgbClr val="FF0000"/>
            </a:solidFill>
            <a:ln w="19050">
              <a:noFill/>
            </a:ln>
            <a:effectLst/>
          </c:spPr>
          <c:invertIfNegative val="0"/>
          <c:cat>
            <c:strRef>
              <c:f>GESTORES!$M$6:$M$12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GESTORES!$N$6:$N$12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16-4242-BC4D-4640E2418CAA}"/>
            </c:ext>
          </c:extLst>
        </c:ser>
        <c:ser>
          <c:idx val="1"/>
          <c:order val="1"/>
          <c:tx>
            <c:strRef>
              <c:f>GESTORES!$O$5</c:f>
              <c:strCache>
                <c:ptCount val="1"/>
                <c:pt idx="0">
                  <c:v>2 -  Regular</c:v>
                </c:pt>
              </c:strCache>
            </c:strRef>
          </c:tx>
          <c:spPr>
            <a:solidFill>
              <a:srgbClr val="FFC000"/>
            </a:solidFill>
            <a:ln w="19050">
              <a:noFill/>
            </a:ln>
            <a:effectLst/>
          </c:spPr>
          <c:invertIfNegative val="0"/>
          <c:cat>
            <c:strRef>
              <c:f>GESTORES!$M$6:$M$12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GESTORES!$O$6:$O$12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16-4242-BC4D-4640E2418CAA}"/>
            </c:ext>
          </c:extLst>
        </c:ser>
        <c:ser>
          <c:idx val="2"/>
          <c:order val="2"/>
          <c:tx>
            <c:strRef>
              <c:f>GESTORES!$P$5</c:f>
              <c:strCache>
                <c:ptCount val="1"/>
                <c:pt idx="0">
                  <c:v>3 -  Neutro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GESTORES!$M$6:$M$12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GESTORES!$P$6:$P$12</c:f>
              <c:numCache>
                <c:formatCode>0.0%</c:formatCode>
                <c:ptCount val="7"/>
                <c:pt idx="0">
                  <c:v>0</c:v>
                </c:pt>
                <c:pt idx="1">
                  <c:v>7.6923076923076927E-2</c:v>
                </c:pt>
                <c:pt idx="2">
                  <c:v>7.6923076923076927E-2</c:v>
                </c:pt>
                <c:pt idx="3">
                  <c:v>0</c:v>
                </c:pt>
                <c:pt idx="4">
                  <c:v>7.6923076923076927E-2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16-4242-BC4D-4640E2418CAA}"/>
            </c:ext>
          </c:extLst>
        </c:ser>
        <c:ser>
          <c:idx val="3"/>
          <c:order val="3"/>
          <c:tx>
            <c:strRef>
              <c:f>GESTORES!$Q$5</c:f>
              <c:strCache>
                <c:ptCount val="1"/>
                <c:pt idx="0">
                  <c:v>4 -  Muito Bom</c:v>
                </c:pt>
              </c:strCache>
            </c:strRef>
          </c:tx>
          <c:spPr>
            <a:solidFill>
              <a:srgbClr val="FFFF00"/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GESTORES!$M$6:$M$12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GESTORES!$Q$6:$Q$12</c:f>
              <c:numCache>
                <c:formatCode>0.0%</c:formatCode>
                <c:ptCount val="7"/>
                <c:pt idx="0">
                  <c:v>7.6923076923076927E-2</c:v>
                </c:pt>
                <c:pt idx="1">
                  <c:v>7.6923076923076927E-2</c:v>
                </c:pt>
                <c:pt idx="2">
                  <c:v>7.6923076923076927E-2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7.6923076923076927E-2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916-4242-BC4D-4640E2418CAA}"/>
            </c:ext>
          </c:extLst>
        </c:ser>
        <c:ser>
          <c:idx val="4"/>
          <c:order val="4"/>
          <c:tx>
            <c:strRef>
              <c:f>GESTORES!$R$5</c:f>
              <c:strCache>
                <c:ptCount val="1"/>
                <c:pt idx="0">
                  <c:v>5 - Excelente</c:v>
                </c:pt>
              </c:strCache>
            </c:strRef>
          </c:tx>
          <c:spPr>
            <a:solidFill>
              <a:srgbClr val="00B050"/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GESTORES!$M$6:$M$12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GESTORES!$R$6:$R$12</c:f>
              <c:numCache>
                <c:formatCode>0.0%</c:formatCode>
                <c:ptCount val="7"/>
                <c:pt idx="0">
                  <c:v>0.92307692307692313</c:v>
                </c:pt>
                <c:pt idx="1">
                  <c:v>0.84615384615384615</c:v>
                </c:pt>
                <c:pt idx="2">
                  <c:v>0.84615384615384615</c:v>
                </c:pt>
                <c:pt idx="3">
                  <c:v>1</c:v>
                </c:pt>
                <c:pt idx="4">
                  <c:v>0.92307692307692313</c:v>
                </c:pt>
                <c:pt idx="5">
                  <c:v>1</c:v>
                </c:pt>
                <c:pt idx="6">
                  <c:v>0.92307692307692313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916-4242-BC4D-4640E2418C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73920719"/>
        <c:axId val="1573937999"/>
      </c:barChart>
      <c:valAx>
        <c:axId val="15739379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573920719"/>
        <c:crosses val="autoZero"/>
        <c:crossBetween val="between"/>
      </c:valAx>
      <c:catAx>
        <c:axId val="157392071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573937999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356812956519971"/>
          <c:y val="0.90090971638253958"/>
          <c:w val="0.72304461942257214"/>
          <c:h val="7.320031597991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"/>
          <c:order val="0"/>
          <c:tx>
            <c:strRef>
              <c:f>'Resumo '!$F$28</c:f>
              <c:strCache>
                <c:ptCount val="1"/>
                <c:pt idx="0">
                  <c:v>Nº de Avaliações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25400">
              <a:noFill/>
            </a:ln>
          </c:spPr>
          <c:explosion val="5"/>
          <c:dPt>
            <c:idx val="1"/>
            <c:bubble3D val="0"/>
            <c:spPr>
              <a:solidFill>
                <a:srgbClr val="FFCD2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2-BE7D-4BA3-A136-F9F438ADC8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'Resumo '!$E$29:$E$30</c:f>
              <c:strCache>
                <c:ptCount val="2"/>
                <c:pt idx="0">
                  <c:v>CACS</c:v>
                </c:pt>
                <c:pt idx="1">
                  <c:v>GESTORES</c:v>
                </c:pt>
              </c:strCache>
            </c:strRef>
          </c:cat>
          <c:val>
            <c:numRef>
              <c:f>'Resumo '!$F$29:$F$30</c:f>
              <c:numCache>
                <c:formatCode>General</c:formatCode>
                <c:ptCount val="2"/>
                <c:pt idx="0">
                  <c:v>8</c:v>
                </c:pt>
                <c:pt idx="1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E7D-4BA3-A136-F9F438ADC8D9}"/>
            </c:ext>
          </c:extLst>
        </c:ser>
        <c:ser>
          <c:idx val="0"/>
          <c:order val="1"/>
          <c:tx>
            <c:strRef>
              <c:f>'Resumo '!$G$20</c:f>
              <c:strCache>
                <c:ptCount val="1"/>
                <c:pt idx="0">
                  <c:v>CACS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</c:spPr>
          <c:dPt>
            <c:idx val="0"/>
            <c:bubble3D val="0"/>
            <c:spPr>
              <a:solidFill>
                <a:srgbClr val="FFCD2F"/>
              </a:solidFill>
            </c:spPr>
            <c:extLst>
              <c:ext xmlns:c16="http://schemas.microsoft.com/office/drawing/2014/chart" uri="{C3380CC4-5D6E-409C-BE32-E72D297353CC}">
                <c16:uniqueId val="{0000000C-BE7D-4BA3-A136-F9F438ADC8D9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E-BE7D-4BA3-A136-F9F438ADC8D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'Resumo '!$E$29:$E$30</c:f>
              <c:strCache>
                <c:ptCount val="2"/>
                <c:pt idx="0">
                  <c:v>CACS</c:v>
                </c:pt>
                <c:pt idx="1">
                  <c:v>GESTORES</c:v>
                </c:pt>
              </c:strCache>
            </c:strRef>
          </c:cat>
          <c:val>
            <c:numRef>
              <c:f>'Resumo '!$G$21:$G$22</c:f>
              <c:numCache>
                <c:formatCode>General</c:formatCode>
                <c:ptCount val="2"/>
                <c:pt idx="0">
                  <c:v>8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E7D-4BA3-A136-F9F438ADC8D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pt-BR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 sz="11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219940</xdr:colOff>
      <xdr:row>2</xdr:row>
      <xdr:rowOff>9525</xdr:rowOff>
    </xdr:from>
    <xdr:to>
      <xdr:col>30</xdr:col>
      <xdr:colOff>120360</xdr:colOff>
      <xdr:row>13</xdr:row>
      <xdr:rowOff>228600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9195C50-D8D4-336A-2C67-3F3ACACA21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1276349</xdr:colOff>
      <xdr:row>13</xdr:row>
      <xdr:rowOff>9525</xdr:rowOff>
    </xdr:from>
    <xdr:to>
      <xdr:col>14</xdr:col>
      <xdr:colOff>466724</xdr:colOff>
      <xdr:row>24</xdr:row>
      <xdr:rowOff>228600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575E78E-27A5-47A2-A8F5-D631E50B53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14</xdr:row>
      <xdr:rowOff>0</xdr:rowOff>
    </xdr:from>
    <xdr:to>
      <xdr:col>18</xdr:col>
      <xdr:colOff>575829</xdr:colOff>
      <xdr:row>25</xdr:row>
      <xdr:rowOff>219075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D77BFC5-3938-468A-84DF-53DFED50E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314325</xdr:colOff>
      <xdr:row>25</xdr:row>
      <xdr:rowOff>23812</xdr:rowOff>
    </xdr:from>
    <xdr:to>
      <xdr:col>12</xdr:col>
      <xdr:colOff>590550</xdr:colOff>
      <xdr:row>35</xdr:row>
      <xdr:rowOff>4762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EC7C01-7A9E-1338-7402-F1BE8F39EC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2F349-0C43-482B-9AE7-FF09C1F6FABC}">
  <dimension ref="A1:AD163"/>
  <sheetViews>
    <sheetView zoomScale="85" zoomScaleNormal="85" workbookViewId="0">
      <selection activeCell="I1" sqref="A1:XFD1048576"/>
    </sheetView>
  </sheetViews>
  <sheetFormatPr defaultColWidth="9" defaultRowHeight="19.5" x14ac:dyDescent="0.4"/>
  <cols>
    <col min="1" max="1" width="22.5" style="92" customWidth="1"/>
    <col min="2" max="2" width="30.5" style="93" bestFit="1" customWidth="1"/>
    <col min="3" max="3" width="28.375" style="93" customWidth="1"/>
    <col min="4" max="4" width="32.5" style="93" customWidth="1"/>
    <col min="5" max="5" width="15.375" style="92" customWidth="1"/>
    <col min="6" max="6" width="23.75" style="92" customWidth="1"/>
    <col min="7" max="7" width="17.5" style="92" customWidth="1"/>
    <col min="8" max="14" width="9" style="93" customWidth="1"/>
    <col min="15" max="15" width="60.375" style="93" bestFit="1" customWidth="1"/>
    <col min="16" max="16" width="88.25" style="93" bestFit="1" customWidth="1"/>
    <col min="17" max="17" width="25.75" style="93" bestFit="1" customWidth="1"/>
    <col min="18" max="18" width="25" style="93" bestFit="1" customWidth="1"/>
    <col min="19" max="19" width="85.5" style="93" bestFit="1" customWidth="1"/>
    <col min="20" max="20" width="44.375" style="93" bestFit="1" customWidth="1"/>
    <col min="21" max="21" width="56.75" style="93" bestFit="1" customWidth="1"/>
    <col min="22" max="22" width="20.625" style="41" customWidth="1"/>
    <col min="23" max="24" width="12" style="41" customWidth="1"/>
    <col min="25" max="25" width="11.5" style="41" customWidth="1"/>
    <col min="26" max="26" width="19.625" style="41" customWidth="1"/>
    <col min="27" max="28" width="9" style="41"/>
    <col min="29" max="29" width="41.625" style="41" customWidth="1"/>
    <col min="30" max="30" width="20.75" style="41" customWidth="1"/>
    <col min="31" max="16384" width="9" style="41"/>
  </cols>
  <sheetData>
    <row r="1" spans="1:28" customFormat="1" ht="26.25" thickBot="1" x14ac:dyDescent="0.45">
      <c r="A1" s="43" t="s">
        <v>0</v>
      </c>
      <c r="B1" s="8" t="s">
        <v>9</v>
      </c>
      <c r="C1" s="8" t="s">
        <v>10</v>
      </c>
      <c r="D1" s="8" t="s">
        <v>11</v>
      </c>
      <c r="E1" s="44" t="s">
        <v>60</v>
      </c>
      <c r="F1" s="45" t="s">
        <v>12</v>
      </c>
      <c r="G1" s="45" t="s">
        <v>13</v>
      </c>
      <c r="H1" s="9" t="s">
        <v>14</v>
      </c>
      <c r="I1" s="9" t="s">
        <v>15</v>
      </c>
      <c r="J1" s="9" t="s">
        <v>16</v>
      </c>
      <c r="K1" s="9" t="s">
        <v>17</v>
      </c>
      <c r="L1" s="9" t="s">
        <v>18</v>
      </c>
      <c r="M1" s="9" t="s">
        <v>19</v>
      </c>
      <c r="N1" s="9" t="s">
        <v>20</v>
      </c>
      <c r="O1" s="9" t="s">
        <v>21</v>
      </c>
      <c r="P1" s="9" t="s">
        <v>22</v>
      </c>
      <c r="Q1" s="9" t="s">
        <v>23</v>
      </c>
      <c r="R1" s="9" t="s">
        <v>24</v>
      </c>
      <c r="S1" s="64" t="s">
        <v>61</v>
      </c>
      <c r="T1" s="9" t="s">
        <v>5</v>
      </c>
      <c r="U1" s="10" t="s">
        <v>1</v>
      </c>
      <c r="V1" s="42"/>
      <c r="W1" s="42"/>
      <c r="X1" s="42"/>
      <c r="Y1" s="42"/>
      <c r="Z1" s="42"/>
      <c r="AA1" s="42"/>
      <c r="AB1" s="42"/>
    </row>
    <row r="2" spans="1:28" ht="20.25" thickBot="1" x14ac:dyDescent="0.45">
      <c r="A2" s="94">
        <v>46100.670613425929</v>
      </c>
      <c r="B2" s="95" t="s">
        <v>68</v>
      </c>
      <c r="C2" s="95" t="s">
        <v>69</v>
      </c>
      <c r="D2" s="95" t="s">
        <v>70</v>
      </c>
      <c r="E2" s="96" t="s">
        <v>71</v>
      </c>
      <c r="F2" s="96" t="s">
        <v>72</v>
      </c>
      <c r="G2" s="96" t="s">
        <v>25</v>
      </c>
      <c r="H2" s="97">
        <v>5</v>
      </c>
      <c r="I2" s="97">
        <v>5</v>
      </c>
      <c r="J2" s="97">
        <v>5</v>
      </c>
      <c r="K2" s="97">
        <v>5</v>
      </c>
      <c r="L2" s="97">
        <v>5</v>
      </c>
      <c r="M2" s="95">
        <v>5</v>
      </c>
      <c r="N2" s="95">
        <v>5</v>
      </c>
      <c r="O2" s="95" t="s">
        <v>73</v>
      </c>
      <c r="P2" s="98" t="s">
        <v>74</v>
      </c>
      <c r="Q2" s="98" t="s">
        <v>26</v>
      </c>
      <c r="R2" s="95"/>
      <c r="S2" s="99"/>
      <c r="T2" s="100" t="s">
        <v>7</v>
      </c>
      <c r="U2" s="100"/>
      <c r="V2" s="4" t="str">
        <f>+F2</f>
        <v>NOVA BANDEIRANTES</v>
      </c>
      <c r="W2" s="5"/>
      <c r="X2" s="49"/>
      <c r="Y2" s="6"/>
      <c r="Z2" s="6"/>
    </row>
    <row r="3" spans="1:28" ht="20.25" thickBot="1" x14ac:dyDescent="0.45">
      <c r="A3" s="101">
        <v>46100.687916666669</v>
      </c>
      <c r="B3" s="102" t="s">
        <v>75</v>
      </c>
      <c r="C3" s="102" t="s">
        <v>76</v>
      </c>
      <c r="D3" s="102" t="s">
        <v>77</v>
      </c>
      <c r="E3" s="103" t="s">
        <v>78</v>
      </c>
      <c r="F3" s="103" t="s">
        <v>79</v>
      </c>
      <c r="G3" s="103" t="s">
        <v>25</v>
      </c>
      <c r="H3" s="104">
        <v>5</v>
      </c>
      <c r="I3" s="104">
        <v>4</v>
      </c>
      <c r="J3" s="104">
        <v>5</v>
      </c>
      <c r="K3" s="104">
        <v>5</v>
      </c>
      <c r="L3" s="104">
        <v>5</v>
      </c>
      <c r="M3" s="102">
        <v>3</v>
      </c>
      <c r="N3" s="102">
        <v>5</v>
      </c>
      <c r="O3" s="102" t="s">
        <v>80</v>
      </c>
      <c r="P3" s="105" t="s">
        <v>81</v>
      </c>
      <c r="Q3" s="102" t="s">
        <v>26</v>
      </c>
      <c r="R3" s="102"/>
      <c r="S3" s="106"/>
      <c r="T3" s="100" t="s">
        <v>6</v>
      </c>
      <c r="U3" s="100"/>
      <c r="V3" s="4" t="str">
        <f>+F3</f>
        <v>ALTA FLORESTA</v>
      </c>
      <c r="W3" s="56"/>
      <c r="X3" s="49"/>
      <c r="Y3" s="6"/>
      <c r="Z3" s="6"/>
    </row>
    <row r="4" spans="1:28" ht="20.25" thickBot="1" x14ac:dyDescent="0.45">
      <c r="A4" s="94">
        <v>46100.690821759257</v>
      </c>
      <c r="B4" s="95" t="s">
        <v>82</v>
      </c>
      <c r="C4" s="95" t="s">
        <v>83</v>
      </c>
      <c r="D4" s="95" t="s">
        <v>84</v>
      </c>
      <c r="E4" s="96" t="s">
        <v>85</v>
      </c>
      <c r="F4" s="96" t="s">
        <v>79</v>
      </c>
      <c r="G4" s="96" t="s">
        <v>25</v>
      </c>
      <c r="H4" s="97">
        <v>4</v>
      </c>
      <c r="I4" s="97">
        <v>3</v>
      </c>
      <c r="J4" s="97">
        <v>5</v>
      </c>
      <c r="K4" s="97">
        <v>5</v>
      </c>
      <c r="L4" s="97">
        <v>4</v>
      </c>
      <c r="M4" s="95">
        <v>5</v>
      </c>
      <c r="N4" s="95">
        <v>5</v>
      </c>
      <c r="O4" s="95" t="s">
        <v>86</v>
      </c>
      <c r="P4" s="98" t="s">
        <v>87</v>
      </c>
      <c r="Q4" s="98" t="s">
        <v>26</v>
      </c>
      <c r="R4" s="95"/>
      <c r="S4" s="106"/>
      <c r="T4" s="100" t="s">
        <v>88</v>
      </c>
      <c r="U4" s="100"/>
      <c r="V4" s="4" t="str">
        <f>+F4</f>
        <v>ALTA FLORESTA</v>
      </c>
      <c r="W4" s="55"/>
      <c r="X4" s="50"/>
      <c r="Y4" s="6"/>
      <c r="Z4" s="6"/>
    </row>
    <row r="5" spans="1:28" ht="29.25" thickBot="1" x14ac:dyDescent="0.45">
      <c r="A5" s="101">
        <v>46100.691377314812</v>
      </c>
      <c r="B5" s="102" t="s">
        <v>89</v>
      </c>
      <c r="C5" s="102" t="s">
        <v>90</v>
      </c>
      <c r="D5" s="102" t="s">
        <v>91</v>
      </c>
      <c r="E5" s="103" t="s">
        <v>92</v>
      </c>
      <c r="F5" s="103" t="s">
        <v>79</v>
      </c>
      <c r="G5" s="103" t="s">
        <v>25</v>
      </c>
      <c r="H5" s="104">
        <v>4</v>
      </c>
      <c r="I5" s="104">
        <v>4</v>
      </c>
      <c r="J5" s="104">
        <v>4</v>
      </c>
      <c r="K5" s="104">
        <v>4</v>
      </c>
      <c r="L5" s="104">
        <v>4</v>
      </c>
      <c r="M5" s="102">
        <v>4</v>
      </c>
      <c r="N5" s="102">
        <v>4</v>
      </c>
      <c r="O5" s="102" t="s">
        <v>93</v>
      </c>
      <c r="P5" s="105" t="s">
        <v>94</v>
      </c>
      <c r="Q5" s="102" t="s">
        <v>26</v>
      </c>
      <c r="R5" s="102"/>
      <c r="S5" s="99"/>
      <c r="T5" s="100" t="s">
        <v>6</v>
      </c>
      <c r="U5" s="100" t="s">
        <v>95</v>
      </c>
      <c r="V5" s="4" t="str">
        <f>+F5</f>
        <v>ALTA FLORESTA</v>
      </c>
      <c r="W5" s="56"/>
      <c r="X5" s="49"/>
      <c r="Y5" s="6"/>
      <c r="Z5" s="6"/>
    </row>
    <row r="6" spans="1:28" ht="20.25" thickBot="1" x14ac:dyDescent="0.45">
      <c r="A6" s="94">
        <v>46100.692453703705</v>
      </c>
      <c r="B6" s="95" t="s">
        <v>96</v>
      </c>
      <c r="C6" s="95" t="s">
        <v>97</v>
      </c>
      <c r="D6" s="95" t="s">
        <v>98</v>
      </c>
      <c r="E6" s="96" t="s">
        <v>99</v>
      </c>
      <c r="F6" s="96" t="s">
        <v>100</v>
      </c>
      <c r="G6" s="96" t="s">
        <v>25</v>
      </c>
      <c r="H6" s="97">
        <v>5</v>
      </c>
      <c r="I6" s="97">
        <v>4</v>
      </c>
      <c r="J6" s="97">
        <v>5</v>
      </c>
      <c r="K6" s="97">
        <v>5</v>
      </c>
      <c r="L6" s="97">
        <v>5</v>
      </c>
      <c r="M6" s="95">
        <v>5</v>
      </c>
      <c r="N6" s="95">
        <v>5</v>
      </c>
      <c r="O6" s="95" t="s">
        <v>101</v>
      </c>
      <c r="P6" s="98" t="s">
        <v>102</v>
      </c>
      <c r="Q6" s="95" t="s">
        <v>26</v>
      </c>
      <c r="R6" s="95"/>
      <c r="S6" s="106"/>
      <c r="T6" s="100" t="s">
        <v>8</v>
      </c>
      <c r="U6" s="100"/>
      <c r="V6" s="4" t="str">
        <f>+F6</f>
        <v>NOVA MONTE VERDE</v>
      </c>
      <c r="W6" s="55"/>
      <c r="X6" s="50"/>
      <c r="Y6" s="6"/>
      <c r="Z6" s="6"/>
    </row>
    <row r="7" spans="1:28" ht="20.25" thickBot="1" x14ac:dyDescent="0.45">
      <c r="A7" s="101">
        <v>46100.729490740741</v>
      </c>
      <c r="B7" s="102" t="s">
        <v>194</v>
      </c>
      <c r="C7" s="102" t="s">
        <v>195</v>
      </c>
      <c r="D7" s="102" t="s">
        <v>196</v>
      </c>
      <c r="E7" s="103" t="s">
        <v>197</v>
      </c>
      <c r="F7" s="103" t="s">
        <v>100</v>
      </c>
      <c r="G7" s="103" t="s">
        <v>25</v>
      </c>
      <c r="H7" s="104">
        <v>3</v>
      </c>
      <c r="I7" s="104">
        <v>3</v>
      </c>
      <c r="J7" s="104">
        <v>3</v>
      </c>
      <c r="K7" s="104">
        <v>3</v>
      </c>
      <c r="L7" s="104">
        <v>3</v>
      </c>
      <c r="M7" s="102">
        <v>3</v>
      </c>
      <c r="N7" s="102">
        <v>3</v>
      </c>
      <c r="O7" s="102" t="s">
        <v>59</v>
      </c>
      <c r="P7" s="105" t="s">
        <v>198</v>
      </c>
      <c r="Q7" s="102" t="s">
        <v>28</v>
      </c>
      <c r="R7" s="102"/>
      <c r="S7" s="106" t="s">
        <v>199</v>
      </c>
      <c r="T7" s="100" t="s">
        <v>29</v>
      </c>
      <c r="U7" s="100" t="s">
        <v>200</v>
      </c>
      <c r="V7" s="4" t="str">
        <f>+F7</f>
        <v>NOVA MONTE VERDE</v>
      </c>
      <c r="W7" s="56"/>
      <c r="X7" s="49"/>
      <c r="Y7" s="6"/>
      <c r="Z7" s="6"/>
    </row>
    <row r="8" spans="1:28" ht="20.25" thickBot="1" x14ac:dyDescent="0.45">
      <c r="A8" s="94">
        <v>46101.359710648147</v>
      </c>
      <c r="B8" s="95" t="s">
        <v>201</v>
      </c>
      <c r="C8" s="95" t="s">
        <v>202</v>
      </c>
      <c r="D8" s="95" t="s">
        <v>203</v>
      </c>
      <c r="E8" s="96" t="s">
        <v>204</v>
      </c>
      <c r="F8" s="96" t="s">
        <v>79</v>
      </c>
      <c r="G8" s="96" t="s">
        <v>25</v>
      </c>
      <c r="H8" s="97">
        <v>5</v>
      </c>
      <c r="I8" s="97">
        <v>5</v>
      </c>
      <c r="J8" s="97">
        <v>5</v>
      </c>
      <c r="K8" s="97">
        <v>5</v>
      </c>
      <c r="L8" s="97">
        <v>5</v>
      </c>
      <c r="M8" s="95">
        <v>5</v>
      </c>
      <c r="N8" s="95">
        <v>5</v>
      </c>
      <c r="O8" s="95" t="s">
        <v>205</v>
      </c>
      <c r="P8" s="98" t="s">
        <v>206</v>
      </c>
      <c r="Q8" s="98" t="s">
        <v>207</v>
      </c>
      <c r="R8" s="95" t="s">
        <v>208</v>
      </c>
      <c r="S8" s="106"/>
      <c r="T8" s="100" t="s">
        <v>6</v>
      </c>
      <c r="U8" s="100"/>
      <c r="V8" s="4" t="str">
        <f>+F8</f>
        <v>ALTA FLORESTA</v>
      </c>
      <c r="W8" s="55"/>
      <c r="X8" s="50"/>
      <c r="Y8" s="6"/>
      <c r="Z8" s="6"/>
    </row>
    <row r="9" spans="1:28" ht="20.25" thickBot="1" x14ac:dyDescent="0.45">
      <c r="A9" s="101">
        <v>46101.368402777778</v>
      </c>
      <c r="B9" s="102" t="s">
        <v>209</v>
      </c>
      <c r="C9" s="102" t="s">
        <v>210</v>
      </c>
      <c r="D9" s="102" t="s">
        <v>211</v>
      </c>
      <c r="E9" s="103" t="s">
        <v>212</v>
      </c>
      <c r="F9" s="103" t="s">
        <v>79</v>
      </c>
      <c r="G9" s="103" t="s">
        <v>25</v>
      </c>
      <c r="H9" s="104">
        <v>3</v>
      </c>
      <c r="I9" s="104">
        <v>3</v>
      </c>
      <c r="J9" s="104">
        <v>4</v>
      </c>
      <c r="K9" s="104">
        <v>4</v>
      </c>
      <c r="L9" s="104">
        <v>4</v>
      </c>
      <c r="M9" s="102">
        <v>4</v>
      </c>
      <c r="N9" s="102">
        <v>4</v>
      </c>
      <c r="O9" s="102" t="s">
        <v>213</v>
      </c>
      <c r="P9" s="105" t="s">
        <v>214</v>
      </c>
      <c r="Q9" s="105" t="s">
        <v>26</v>
      </c>
      <c r="R9" s="102"/>
      <c r="S9" s="99" t="s">
        <v>215</v>
      </c>
      <c r="T9" s="100" t="s">
        <v>65</v>
      </c>
      <c r="U9" s="100"/>
      <c r="V9" s="4" t="str">
        <f>+F9</f>
        <v>ALTA FLORESTA</v>
      </c>
      <c r="W9" s="7"/>
      <c r="X9" s="50"/>
      <c r="Y9" s="6"/>
      <c r="Z9" s="6"/>
    </row>
    <row r="10" spans="1:28" ht="20.25" thickBot="1" x14ac:dyDescent="0.45">
      <c r="A10" s="94">
        <v>46100.720104166663</v>
      </c>
      <c r="B10" s="95" t="s">
        <v>103</v>
      </c>
      <c r="C10" s="95" t="s">
        <v>104</v>
      </c>
      <c r="D10" s="95" t="s">
        <v>105</v>
      </c>
      <c r="E10" s="96" t="s">
        <v>106</v>
      </c>
      <c r="F10" s="96" t="s">
        <v>72</v>
      </c>
      <c r="G10" s="96" t="s">
        <v>27</v>
      </c>
      <c r="H10" s="97">
        <v>5</v>
      </c>
      <c r="I10" s="97">
        <v>5</v>
      </c>
      <c r="J10" s="97">
        <v>5</v>
      </c>
      <c r="K10" s="97">
        <v>5</v>
      </c>
      <c r="L10" s="97">
        <v>5</v>
      </c>
      <c r="M10" s="95">
        <v>5</v>
      </c>
      <c r="N10" s="95">
        <v>5</v>
      </c>
      <c r="O10" s="95" t="s">
        <v>107</v>
      </c>
      <c r="P10" s="98" t="s">
        <v>108</v>
      </c>
      <c r="Q10" s="95" t="s">
        <v>28</v>
      </c>
      <c r="R10" s="95"/>
      <c r="S10" s="106"/>
      <c r="T10" s="100" t="s">
        <v>29</v>
      </c>
      <c r="U10" s="100"/>
      <c r="V10" s="4" t="str">
        <f>+F10</f>
        <v>NOVA BANDEIRANTES</v>
      </c>
      <c r="W10" s="5"/>
      <c r="X10" s="49"/>
      <c r="Y10" s="6"/>
      <c r="Z10" s="6"/>
    </row>
    <row r="11" spans="1:28" ht="26.25" thickBot="1" x14ac:dyDescent="0.45">
      <c r="A11" s="101">
        <v>46100.720891203702</v>
      </c>
      <c r="B11" s="102" t="s">
        <v>109</v>
      </c>
      <c r="C11" s="102" t="s">
        <v>110</v>
      </c>
      <c r="D11" s="102" t="s">
        <v>111</v>
      </c>
      <c r="E11" s="103" t="s">
        <v>112</v>
      </c>
      <c r="F11" s="96" t="s">
        <v>113</v>
      </c>
      <c r="G11" s="103" t="s">
        <v>27</v>
      </c>
      <c r="H11" s="104">
        <v>5</v>
      </c>
      <c r="I11" s="104">
        <v>4</v>
      </c>
      <c r="J11" s="104">
        <v>5</v>
      </c>
      <c r="K11" s="104">
        <v>5</v>
      </c>
      <c r="L11" s="104">
        <v>5</v>
      </c>
      <c r="M11" s="102">
        <v>5</v>
      </c>
      <c r="N11" s="102">
        <v>4</v>
      </c>
      <c r="O11" s="102" t="s">
        <v>114</v>
      </c>
      <c r="P11" s="105" t="s">
        <v>115</v>
      </c>
      <c r="Q11" s="105" t="s">
        <v>28</v>
      </c>
      <c r="R11" s="102"/>
      <c r="S11" s="106" t="s">
        <v>63</v>
      </c>
      <c r="T11" s="100" t="s">
        <v>8</v>
      </c>
      <c r="U11" s="100"/>
      <c r="V11" s="4" t="str">
        <f>+F11</f>
        <v>APIACÁS</v>
      </c>
      <c r="W11" s="7"/>
      <c r="X11" s="50"/>
      <c r="Y11" s="6"/>
      <c r="Z11" s="6"/>
    </row>
    <row r="12" spans="1:28" ht="26.25" thickBot="1" x14ac:dyDescent="0.45">
      <c r="A12" s="94">
        <v>46100.721284722225</v>
      </c>
      <c r="B12" s="95" t="s">
        <v>116</v>
      </c>
      <c r="C12" s="95" t="s">
        <v>117</v>
      </c>
      <c r="D12" s="95" t="s">
        <v>118</v>
      </c>
      <c r="E12" s="96" t="s">
        <v>119</v>
      </c>
      <c r="F12" s="96" t="s">
        <v>113</v>
      </c>
      <c r="G12" s="96" t="s">
        <v>27</v>
      </c>
      <c r="H12" s="97">
        <v>5</v>
      </c>
      <c r="I12" s="97">
        <v>5</v>
      </c>
      <c r="J12" s="97">
        <v>5</v>
      </c>
      <c r="K12" s="97">
        <v>5</v>
      </c>
      <c r="L12" s="97">
        <v>5</v>
      </c>
      <c r="M12" s="95">
        <v>5</v>
      </c>
      <c r="N12" s="95">
        <v>5</v>
      </c>
      <c r="O12" s="95" t="s">
        <v>120</v>
      </c>
      <c r="P12" s="98" t="s">
        <v>121</v>
      </c>
      <c r="Q12" s="98" t="s">
        <v>28</v>
      </c>
      <c r="R12" s="95"/>
      <c r="S12" s="106" t="s">
        <v>64</v>
      </c>
      <c r="T12" s="100" t="s">
        <v>8</v>
      </c>
      <c r="U12" s="100" t="s">
        <v>122</v>
      </c>
      <c r="V12" s="4" t="str">
        <f>+F12</f>
        <v>APIACÁS</v>
      </c>
      <c r="W12" s="5"/>
      <c r="X12" s="49"/>
      <c r="Y12" s="6"/>
      <c r="Z12" s="6"/>
    </row>
    <row r="13" spans="1:28" ht="29.25" thickBot="1" x14ac:dyDescent="0.45">
      <c r="A13" s="101">
        <v>46100.721990740742</v>
      </c>
      <c r="B13" s="102" t="s">
        <v>123</v>
      </c>
      <c r="C13" s="102" t="s">
        <v>124</v>
      </c>
      <c r="D13" s="102" t="s">
        <v>125</v>
      </c>
      <c r="E13" s="103" t="s">
        <v>126</v>
      </c>
      <c r="F13" s="103" t="s">
        <v>127</v>
      </c>
      <c r="G13" s="103" t="s">
        <v>27</v>
      </c>
      <c r="H13" s="104">
        <v>5</v>
      </c>
      <c r="I13" s="104">
        <v>5</v>
      </c>
      <c r="J13" s="104">
        <v>5</v>
      </c>
      <c r="K13" s="104">
        <v>5</v>
      </c>
      <c r="L13" s="104">
        <v>5</v>
      </c>
      <c r="M13" s="102">
        <v>5</v>
      </c>
      <c r="N13" s="102">
        <v>5</v>
      </c>
      <c r="O13" s="102" t="s">
        <v>128</v>
      </c>
      <c r="P13" s="105" t="s">
        <v>129</v>
      </c>
      <c r="Q13" s="105" t="s">
        <v>28</v>
      </c>
      <c r="R13" s="102"/>
      <c r="S13" s="106"/>
      <c r="T13" s="100" t="s">
        <v>7</v>
      </c>
      <c r="U13" s="100" t="s">
        <v>130</v>
      </c>
      <c r="V13" s="4" t="str">
        <f>+F13</f>
        <v>PARANAÍTA</v>
      </c>
      <c r="W13" s="7"/>
      <c r="X13" s="50"/>
      <c r="Y13" s="6"/>
      <c r="Z13" s="6"/>
    </row>
    <row r="14" spans="1:28" ht="20.25" thickBot="1" x14ac:dyDescent="0.45">
      <c r="A14" s="94">
        <v>46100.722442129627</v>
      </c>
      <c r="B14" s="95" t="s">
        <v>131</v>
      </c>
      <c r="C14" s="95" t="s">
        <v>132</v>
      </c>
      <c r="D14" s="95" t="s">
        <v>133</v>
      </c>
      <c r="E14" s="96" t="s">
        <v>134</v>
      </c>
      <c r="F14" s="96" t="s">
        <v>79</v>
      </c>
      <c r="G14" s="96" t="s">
        <v>27</v>
      </c>
      <c r="H14" s="97">
        <v>5</v>
      </c>
      <c r="I14" s="97">
        <v>5</v>
      </c>
      <c r="J14" s="97">
        <v>5</v>
      </c>
      <c r="K14" s="97">
        <v>5</v>
      </c>
      <c r="L14" s="97">
        <v>5</v>
      </c>
      <c r="M14" s="95">
        <v>5</v>
      </c>
      <c r="N14" s="95">
        <v>5</v>
      </c>
      <c r="O14" s="95" t="s">
        <v>135</v>
      </c>
      <c r="P14" s="98" t="s">
        <v>136</v>
      </c>
      <c r="Q14" s="95" t="s">
        <v>28</v>
      </c>
      <c r="R14" s="95"/>
      <c r="S14" s="106"/>
      <c r="T14" s="100" t="s">
        <v>29</v>
      </c>
      <c r="U14" s="100"/>
      <c r="V14" s="4" t="str">
        <f>+F14</f>
        <v>ALTA FLORESTA</v>
      </c>
      <c r="W14" s="5"/>
      <c r="X14" s="49"/>
      <c r="Y14" s="6"/>
      <c r="Z14" s="6"/>
    </row>
    <row r="15" spans="1:28" ht="26.25" thickBot="1" x14ac:dyDescent="0.45">
      <c r="A15" s="101">
        <v>46100.722592592596</v>
      </c>
      <c r="B15" s="102" t="s">
        <v>137</v>
      </c>
      <c r="C15" s="102" t="s">
        <v>138</v>
      </c>
      <c r="D15" s="102" t="s">
        <v>139</v>
      </c>
      <c r="E15" s="103" t="s">
        <v>140</v>
      </c>
      <c r="F15" s="103" t="s">
        <v>79</v>
      </c>
      <c r="G15" s="103" t="s">
        <v>27</v>
      </c>
      <c r="H15" s="104">
        <v>5</v>
      </c>
      <c r="I15" s="104">
        <v>3</v>
      </c>
      <c r="J15" s="104">
        <v>5</v>
      </c>
      <c r="K15" s="104">
        <v>5</v>
      </c>
      <c r="L15" s="104">
        <v>5</v>
      </c>
      <c r="M15" s="102">
        <v>5</v>
      </c>
      <c r="N15" s="102">
        <v>5</v>
      </c>
      <c r="O15" s="102" t="s">
        <v>141</v>
      </c>
      <c r="P15" s="105" t="s">
        <v>142</v>
      </c>
      <c r="Q15" s="102" t="s">
        <v>28</v>
      </c>
      <c r="R15" s="102"/>
      <c r="S15" s="99"/>
      <c r="T15" s="100" t="s">
        <v>29</v>
      </c>
      <c r="U15" s="100"/>
      <c r="V15" s="4" t="str">
        <f>+F15</f>
        <v>ALTA FLORESTA</v>
      </c>
      <c r="W15" s="7"/>
      <c r="X15" s="50"/>
      <c r="Y15" s="6"/>
      <c r="Z15" s="6"/>
    </row>
    <row r="16" spans="1:28" ht="29.25" thickBot="1" x14ac:dyDescent="0.45">
      <c r="A16" s="94">
        <v>46100.722766203704</v>
      </c>
      <c r="B16" s="95" t="s">
        <v>143</v>
      </c>
      <c r="C16" s="95" t="s">
        <v>144</v>
      </c>
      <c r="D16" s="95" t="s">
        <v>145</v>
      </c>
      <c r="E16" s="96" t="s">
        <v>146</v>
      </c>
      <c r="F16" s="96" t="s">
        <v>72</v>
      </c>
      <c r="G16" s="96" t="s">
        <v>27</v>
      </c>
      <c r="H16" s="97">
        <v>5</v>
      </c>
      <c r="I16" s="97">
        <v>5</v>
      </c>
      <c r="J16" s="97">
        <v>5</v>
      </c>
      <c r="K16" s="97">
        <v>5</v>
      </c>
      <c r="L16" s="97">
        <v>5</v>
      </c>
      <c r="M16" s="95">
        <v>5</v>
      </c>
      <c r="N16" s="95">
        <v>5</v>
      </c>
      <c r="O16" s="95" t="s">
        <v>147</v>
      </c>
      <c r="P16" s="98" t="s">
        <v>148</v>
      </c>
      <c r="Q16" s="95" t="s">
        <v>28</v>
      </c>
      <c r="R16" s="95"/>
      <c r="S16" s="106" t="s">
        <v>149</v>
      </c>
      <c r="T16" s="100" t="s">
        <v>62</v>
      </c>
      <c r="U16" s="100" t="s">
        <v>150</v>
      </c>
      <c r="V16" s="4" t="str">
        <f>+F16</f>
        <v>NOVA BANDEIRANTES</v>
      </c>
      <c r="W16" s="55"/>
      <c r="X16" s="50"/>
      <c r="Y16" s="63"/>
      <c r="Z16" s="63"/>
    </row>
    <row r="17" spans="1:30" ht="29.25" thickBot="1" x14ac:dyDescent="0.45">
      <c r="A17" s="101">
        <v>46100.722905092596</v>
      </c>
      <c r="B17" s="102" t="s">
        <v>151</v>
      </c>
      <c r="C17" s="102" t="s">
        <v>152</v>
      </c>
      <c r="D17" s="102" t="s">
        <v>153</v>
      </c>
      <c r="E17" s="103" t="s">
        <v>154</v>
      </c>
      <c r="F17" s="103" t="s">
        <v>127</v>
      </c>
      <c r="G17" s="103" t="s">
        <v>27</v>
      </c>
      <c r="H17" s="104">
        <v>5</v>
      </c>
      <c r="I17" s="104">
        <v>5</v>
      </c>
      <c r="J17" s="104">
        <v>5</v>
      </c>
      <c r="K17" s="104">
        <v>5</v>
      </c>
      <c r="L17" s="104">
        <v>5</v>
      </c>
      <c r="M17" s="102">
        <v>5</v>
      </c>
      <c r="N17" s="102">
        <v>5</v>
      </c>
      <c r="O17" s="102" t="s">
        <v>66</v>
      </c>
      <c r="P17" s="105" t="s">
        <v>67</v>
      </c>
      <c r="Q17" s="105" t="s">
        <v>28</v>
      </c>
      <c r="R17" s="102"/>
      <c r="S17" s="99" t="s">
        <v>155</v>
      </c>
      <c r="T17" s="100" t="s">
        <v>54</v>
      </c>
      <c r="U17" s="100" t="s">
        <v>156</v>
      </c>
      <c r="V17" s="4" t="str">
        <f>+F17</f>
        <v>PARANAÍTA</v>
      </c>
      <c r="W17" s="57"/>
      <c r="X17" s="61"/>
      <c r="Y17" s="63"/>
      <c r="Z17" s="63"/>
    </row>
    <row r="18" spans="1:30" ht="29.25" thickBot="1" x14ac:dyDescent="0.45">
      <c r="A18" s="94">
        <v>46100.722905092596</v>
      </c>
      <c r="B18" s="95" t="s">
        <v>157</v>
      </c>
      <c r="C18" s="95" t="s">
        <v>158</v>
      </c>
      <c r="D18" s="95" t="s">
        <v>159</v>
      </c>
      <c r="E18" s="96" t="s">
        <v>160</v>
      </c>
      <c r="F18" s="96" t="s">
        <v>161</v>
      </c>
      <c r="G18" s="96" t="s">
        <v>27</v>
      </c>
      <c r="H18" s="97">
        <v>4</v>
      </c>
      <c r="I18" s="97">
        <v>5</v>
      </c>
      <c r="J18" s="97">
        <v>5</v>
      </c>
      <c r="K18" s="97">
        <v>5</v>
      </c>
      <c r="L18" s="97">
        <v>5</v>
      </c>
      <c r="M18" s="95">
        <v>5</v>
      </c>
      <c r="N18" s="95">
        <v>5</v>
      </c>
      <c r="O18" s="95" t="s">
        <v>162</v>
      </c>
      <c r="P18" s="98" t="s">
        <v>163</v>
      </c>
      <c r="Q18" s="98" t="s">
        <v>28</v>
      </c>
      <c r="R18" s="95"/>
      <c r="S18" s="106" t="s">
        <v>164</v>
      </c>
      <c r="T18" s="100" t="s">
        <v>54</v>
      </c>
      <c r="U18" s="100" t="s">
        <v>165</v>
      </c>
      <c r="V18" s="4" t="str">
        <f>+F18</f>
        <v>NOVA CANAÃ DO NORTE</v>
      </c>
      <c r="W18" s="58"/>
      <c r="X18" s="61"/>
      <c r="Y18" s="63"/>
      <c r="Z18" s="63"/>
      <c r="AC18"/>
      <c r="AD18"/>
    </row>
    <row r="19" spans="1:30" ht="29.25" thickBot="1" x14ac:dyDescent="0.45">
      <c r="A19" s="101">
        <v>46100.723009259258</v>
      </c>
      <c r="B19" s="102" t="s">
        <v>166</v>
      </c>
      <c r="C19" s="102" t="s">
        <v>167</v>
      </c>
      <c r="D19" s="102" t="s">
        <v>168</v>
      </c>
      <c r="E19" s="103" t="s">
        <v>169</v>
      </c>
      <c r="F19" s="103" t="s">
        <v>100</v>
      </c>
      <c r="G19" s="103" t="s">
        <v>27</v>
      </c>
      <c r="H19" s="104">
        <v>5</v>
      </c>
      <c r="I19" s="104">
        <v>5</v>
      </c>
      <c r="J19" s="104">
        <v>5</v>
      </c>
      <c r="K19" s="104">
        <v>5</v>
      </c>
      <c r="L19" s="104">
        <v>5</v>
      </c>
      <c r="M19" s="102">
        <v>5</v>
      </c>
      <c r="N19" s="102">
        <v>5</v>
      </c>
      <c r="O19" s="102" t="s">
        <v>170</v>
      </c>
      <c r="P19" s="105" t="s">
        <v>171</v>
      </c>
      <c r="Q19" s="105" t="s">
        <v>28</v>
      </c>
      <c r="R19" s="102"/>
      <c r="S19" s="106"/>
      <c r="T19" s="100" t="s">
        <v>54</v>
      </c>
      <c r="U19" s="100"/>
      <c r="V19" s="4" t="str">
        <f>+F19</f>
        <v>NOVA MONTE VERDE</v>
      </c>
      <c r="W19" s="57"/>
      <c r="X19" s="61"/>
      <c r="Y19" s="63"/>
      <c r="Z19" s="63"/>
      <c r="AC19"/>
      <c r="AD19"/>
    </row>
    <row r="20" spans="1:30" ht="29.25" thickBot="1" x14ac:dyDescent="0.45">
      <c r="A20" s="94">
        <v>46100.724189814813</v>
      </c>
      <c r="B20" s="95" t="s">
        <v>172</v>
      </c>
      <c r="C20" s="95" t="s">
        <v>173</v>
      </c>
      <c r="D20" s="95" t="s">
        <v>172</v>
      </c>
      <c r="E20" s="96" t="s">
        <v>174</v>
      </c>
      <c r="F20" s="96" t="s">
        <v>175</v>
      </c>
      <c r="G20" s="96" t="s">
        <v>27</v>
      </c>
      <c r="H20" s="97">
        <v>5</v>
      </c>
      <c r="I20" s="97">
        <v>5</v>
      </c>
      <c r="J20" s="97">
        <v>5</v>
      </c>
      <c r="K20" s="97">
        <v>5</v>
      </c>
      <c r="L20" s="97">
        <v>5</v>
      </c>
      <c r="M20" s="95">
        <v>5</v>
      </c>
      <c r="N20" s="95">
        <v>5</v>
      </c>
      <c r="O20" s="95" t="s">
        <v>176</v>
      </c>
      <c r="P20" s="98" t="s">
        <v>177</v>
      </c>
      <c r="Q20" s="95" t="s">
        <v>28</v>
      </c>
      <c r="R20" s="95"/>
      <c r="S20" s="106"/>
      <c r="T20" s="100" t="s">
        <v>54</v>
      </c>
      <c r="U20" s="100"/>
      <c r="V20" s="4" t="str">
        <f>+F20</f>
        <v>CARLINDA</v>
      </c>
      <c r="W20" s="58"/>
      <c r="X20" s="61"/>
      <c r="Y20" s="63"/>
      <c r="Z20" s="63"/>
      <c r="AC20"/>
      <c r="AD20"/>
    </row>
    <row r="21" spans="1:30" ht="29.25" thickBot="1" x14ac:dyDescent="0.45">
      <c r="A21" s="101">
        <v>46100.724224537036</v>
      </c>
      <c r="B21" s="102" t="s">
        <v>178</v>
      </c>
      <c r="C21" s="102" t="s">
        <v>179</v>
      </c>
      <c r="D21" s="102" t="s">
        <v>180</v>
      </c>
      <c r="E21" s="103" t="s">
        <v>181</v>
      </c>
      <c r="F21" s="103" t="s">
        <v>182</v>
      </c>
      <c r="G21" s="103" t="s">
        <v>27</v>
      </c>
      <c r="H21" s="104">
        <v>5</v>
      </c>
      <c r="I21" s="104">
        <v>5</v>
      </c>
      <c r="J21" s="104">
        <v>3</v>
      </c>
      <c r="K21" s="104">
        <v>5</v>
      </c>
      <c r="L21" s="104">
        <v>3</v>
      </c>
      <c r="M21" s="102">
        <v>5</v>
      </c>
      <c r="N21" s="102">
        <v>5</v>
      </c>
      <c r="O21" s="102" t="s">
        <v>183</v>
      </c>
      <c r="P21" s="105" t="s">
        <v>184</v>
      </c>
      <c r="Q21" s="105" t="s">
        <v>28</v>
      </c>
      <c r="R21" s="102"/>
      <c r="S21" s="106" t="s">
        <v>185</v>
      </c>
      <c r="T21" s="100" t="s">
        <v>8</v>
      </c>
      <c r="U21" s="100" t="s">
        <v>186</v>
      </c>
      <c r="V21" s="4" t="str">
        <f>+F21</f>
        <v>SANTA CRUZ DO XINGU</v>
      </c>
      <c r="W21" s="56"/>
      <c r="X21" s="49"/>
      <c r="Y21" s="108"/>
      <c r="Z21" s="108"/>
    </row>
    <row r="22" spans="1:30" ht="26.25" thickBot="1" x14ac:dyDescent="0.45">
      <c r="A22" s="94">
        <v>46100.726006944446</v>
      </c>
      <c r="B22" s="95" t="s">
        <v>187</v>
      </c>
      <c r="C22" s="95" t="s">
        <v>188</v>
      </c>
      <c r="D22" s="95" t="s">
        <v>189</v>
      </c>
      <c r="E22" s="96" t="s">
        <v>190</v>
      </c>
      <c r="F22" s="96" t="s">
        <v>182</v>
      </c>
      <c r="G22" s="96" t="s">
        <v>27</v>
      </c>
      <c r="H22" s="97">
        <v>5</v>
      </c>
      <c r="I22" s="97">
        <v>5</v>
      </c>
      <c r="J22" s="97">
        <v>4</v>
      </c>
      <c r="K22" s="97">
        <v>5</v>
      </c>
      <c r="L22" s="97">
        <v>5</v>
      </c>
      <c r="M22" s="95">
        <v>5</v>
      </c>
      <c r="N22" s="95">
        <v>5</v>
      </c>
      <c r="O22" s="95" t="s">
        <v>191</v>
      </c>
      <c r="P22" s="98" t="s">
        <v>192</v>
      </c>
      <c r="Q22" s="98" t="s">
        <v>28</v>
      </c>
      <c r="R22" s="95"/>
      <c r="S22" s="106" t="s">
        <v>193</v>
      </c>
      <c r="T22" s="100" t="s">
        <v>6</v>
      </c>
      <c r="U22" s="100"/>
      <c r="V22" s="4" t="str">
        <f>+F22</f>
        <v>SANTA CRUZ DO XINGU</v>
      </c>
      <c r="W22" s="55"/>
      <c r="X22" s="107"/>
      <c r="Y22" s="108"/>
      <c r="Z22" s="108"/>
    </row>
    <row r="23" spans="1:30" ht="20.25" thickBot="1" x14ac:dyDescent="0.45">
      <c r="A23" s="72"/>
      <c r="B23" s="73"/>
      <c r="C23" s="73"/>
      <c r="D23" s="73"/>
      <c r="E23" s="74"/>
      <c r="F23" s="74"/>
      <c r="G23" s="74"/>
      <c r="H23" s="75"/>
      <c r="I23" s="75"/>
      <c r="J23" s="75"/>
      <c r="K23" s="75"/>
      <c r="L23" s="75"/>
      <c r="M23" s="73"/>
      <c r="N23" s="73"/>
      <c r="O23" s="73"/>
      <c r="P23" s="76"/>
      <c r="Q23" s="76"/>
      <c r="R23" s="73"/>
      <c r="S23" s="77"/>
      <c r="T23" s="78"/>
      <c r="U23" s="78"/>
      <c r="V23" s="4">
        <f>+F23</f>
        <v>0</v>
      </c>
      <c r="W23" s="59"/>
      <c r="X23" s="51"/>
      <c r="Y23" s="52"/>
      <c r="Z23" s="52"/>
    </row>
    <row r="24" spans="1:30" ht="20.25" thickBot="1" x14ac:dyDescent="0.45">
      <c r="A24" s="79"/>
      <c r="B24" s="80"/>
      <c r="C24" s="80"/>
      <c r="D24" s="80"/>
      <c r="E24" s="81"/>
      <c r="F24" s="81"/>
      <c r="G24" s="81"/>
      <c r="H24" s="82"/>
      <c r="I24" s="82"/>
      <c r="J24" s="82"/>
      <c r="K24" s="82"/>
      <c r="L24" s="82"/>
      <c r="M24" s="80"/>
      <c r="N24" s="80"/>
      <c r="O24" s="80"/>
      <c r="P24" s="83"/>
      <c r="Q24" s="80"/>
      <c r="R24" s="80"/>
      <c r="S24" s="84"/>
      <c r="T24" s="78"/>
      <c r="U24" s="78"/>
      <c r="V24" s="4">
        <f>+F24</f>
        <v>0</v>
      </c>
      <c r="W24" s="60"/>
      <c r="X24" s="62"/>
      <c r="Y24" s="52"/>
      <c r="Z24" s="52"/>
    </row>
    <row r="25" spans="1:30" ht="20.25" thickBot="1" x14ac:dyDescent="0.45">
      <c r="A25" s="72"/>
      <c r="B25" s="73"/>
      <c r="C25" s="73"/>
      <c r="D25" s="73"/>
      <c r="E25" s="74"/>
      <c r="F25" s="74"/>
      <c r="G25" s="74"/>
      <c r="H25" s="75"/>
      <c r="I25" s="75"/>
      <c r="J25" s="75"/>
      <c r="K25" s="75"/>
      <c r="L25" s="75"/>
      <c r="M25" s="73"/>
      <c r="N25" s="73"/>
      <c r="O25" s="73"/>
      <c r="P25" s="76"/>
      <c r="Q25" s="73"/>
      <c r="R25" s="73"/>
      <c r="S25" s="84"/>
      <c r="T25" s="78"/>
      <c r="U25" s="78"/>
      <c r="V25" s="4">
        <f>+F25</f>
        <v>0</v>
      </c>
      <c r="W25" s="59"/>
      <c r="X25" s="51"/>
      <c r="Y25" s="52"/>
      <c r="Z25" s="52"/>
    </row>
    <row r="26" spans="1:30" ht="20.25" thickBot="1" x14ac:dyDescent="0.45">
      <c r="A26" s="79"/>
      <c r="B26" s="80"/>
      <c r="C26" s="80"/>
      <c r="D26" s="80"/>
      <c r="E26" s="81"/>
      <c r="F26" s="81"/>
      <c r="G26" s="81"/>
      <c r="H26" s="82"/>
      <c r="I26" s="82"/>
      <c r="J26" s="82"/>
      <c r="K26" s="82"/>
      <c r="L26" s="82"/>
      <c r="M26" s="80"/>
      <c r="N26" s="80"/>
      <c r="O26" s="80"/>
      <c r="P26" s="83"/>
      <c r="Q26" s="80"/>
      <c r="R26" s="80"/>
      <c r="S26" s="77"/>
      <c r="T26" s="78"/>
      <c r="U26" s="78"/>
      <c r="V26" s="4">
        <f>+F26</f>
        <v>0</v>
      </c>
      <c r="W26" s="59"/>
      <c r="X26" s="51"/>
      <c r="Y26"/>
      <c r="Z26"/>
    </row>
    <row r="27" spans="1:30" ht="20.25" thickBot="1" x14ac:dyDescent="0.45">
      <c r="A27" s="72"/>
      <c r="B27" s="73"/>
      <c r="C27" s="73"/>
      <c r="D27" s="73"/>
      <c r="E27" s="74"/>
      <c r="F27" s="74"/>
      <c r="G27" s="74"/>
      <c r="H27" s="75"/>
      <c r="I27" s="75"/>
      <c r="J27" s="75"/>
      <c r="K27" s="75"/>
      <c r="L27" s="75"/>
      <c r="M27" s="73"/>
      <c r="N27" s="73"/>
      <c r="O27" s="73"/>
      <c r="P27" s="76"/>
      <c r="Q27" s="76"/>
      <c r="R27" s="73"/>
      <c r="S27" s="77"/>
      <c r="T27" s="78"/>
      <c r="U27" s="78"/>
      <c r="V27" s="6"/>
      <c r="W27" s="6"/>
      <c r="X27" s="52"/>
      <c r="Y27"/>
      <c r="Z27"/>
      <c r="AC27"/>
      <c r="AD27"/>
    </row>
    <row r="28" spans="1:30" ht="20.25" thickBot="1" x14ac:dyDescent="0.45">
      <c r="A28" s="79"/>
      <c r="B28" s="80"/>
      <c r="C28" s="80"/>
      <c r="D28" s="80"/>
      <c r="E28" s="81"/>
      <c r="F28" s="81"/>
      <c r="G28" s="81"/>
      <c r="H28" s="82"/>
      <c r="I28" s="82"/>
      <c r="J28" s="82"/>
      <c r="K28" s="82"/>
      <c r="L28" s="82"/>
      <c r="M28" s="80"/>
      <c r="N28" s="80"/>
      <c r="O28" s="80"/>
      <c r="P28" s="83"/>
      <c r="Q28" s="83"/>
      <c r="R28" s="80"/>
      <c r="S28" s="77"/>
      <c r="T28" s="78"/>
      <c r="U28" s="78"/>
      <c r="V28" s="6"/>
      <c r="W28" s="6"/>
      <c r="X28" s="52"/>
      <c r="Y28"/>
      <c r="Z28"/>
      <c r="AC28"/>
      <c r="AD28"/>
    </row>
    <row r="29" spans="1:30" ht="20.25" thickBot="1" x14ac:dyDescent="0.45">
      <c r="A29" s="72"/>
      <c r="B29" s="73"/>
      <c r="C29" s="73"/>
      <c r="D29" s="73"/>
      <c r="E29" s="74"/>
      <c r="F29" s="74"/>
      <c r="G29" s="74"/>
      <c r="H29" s="75"/>
      <c r="I29" s="75"/>
      <c r="J29" s="75"/>
      <c r="K29" s="75"/>
      <c r="L29" s="75"/>
      <c r="M29" s="73"/>
      <c r="N29" s="73"/>
      <c r="O29" s="73"/>
      <c r="P29" s="76"/>
      <c r="Q29" s="76"/>
      <c r="R29" s="73"/>
      <c r="S29" s="77"/>
      <c r="T29" s="78"/>
      <c r="U29" s="78"/>
      <c r="V29" s="6"/>
      <c r="W29" s="6"/>
      <c r="X29" s="52"/>
      <c r="Y29"/>
      <c r="Z29"/>
      <c r="AC29"/>
      <c r="AD29"/>
    </row>
    <row r="30" spans="1:30" ht="20.25" thickBot="1" x14ac:dyDescent="0.45">
      <c r="A30" s="79"/>
      <c r="B30" s="80"/>
      <c r="C30" s="80"/>
      <c r="D30" s="80"/>
      <c r="E30" s="81"/>
      <c r="F30" s="81"/>
      <c r="G30" s="81"/>
      <c r="H30" s="82"/>
      <c r="I30" s="82"/>
      <c r="J30" s="82"/>
      <c r="K30" s="82"/>
      <c r="L30" s="82"/>
      <c r="M30" s="80"/>
      <c r="N30" s="80"/>
      <c r="O30" s="80"/>
      <c r="P30" s="83"/>
      <c r="Q30" s="83"/>
      <c r="R30" s="80"/>
      <c r="S30" s="77"/>
      <c r="T30" s="78"/>
      <c r="U30" s="78"/>
      <c r="V30" s="6"/>
      <c r="W30" s="6"/>
      <c r="X30" s="52"/>
      <c r="Y30"/>
      <c r="Z30"/>
      <c r="AC30"/>
      <c r="AD30"/>
    </row>
    <row r="31" spans="1:30" ht="20.25" thickBot="1" x14ac:dyDescent="0.45">
      <c r="A31" s="72"/>
      <c r="B31" s="73"/>
      <c r="C31" s="73"/>
      <c r="D31" s="73"/>
      <c r="E31" s="74"/>
      <c r="F31" s="74"/>
      <c r="G31" s="74"/>
      <c r="H31" s="75"/>
      <c r="I31" s="75"/>
      <c r="J31" s="75"/>
      <c r="K31" s="75"/>
      <c r="L31" s="75"/>
      <c r="M31" s="73"/>
      <c r="N31" s="73"/>
      <c r="O31" s="73"/>
      <c r="P31" s="76"/>
      <c r="Q31" s="73"/>
      <c r="R31" s="73"/>
      <c r="S31" s="77"/>
      <c r="T31" s="78"/>
      <c r="U31" s="78"/>
      <c r="V31" s="6"/>
      <c r="W31" s="6"/>
      <c r="X31" s="52"/>
      <c r="Y31"/>
      <c r="Z31"/>
      <c r="AC31"/>
      <c r="AD31"/>
    </row>
    <row r="32" spans="1:30" ht="20.25" thickBot="1" x14ac:dyDescent="0.45">
      <c r="A32" s="79"/>
      <c r="B32" s="80"/>
      <c r="C32" s="80"/>
      <c r="D32" s="80"/>
      <c r="E32" s="81"/>
      <c r="F32" s="81"/>
      <c r="G32" s="81"/>
      <c r="H32" s="82"/>
      <c r="I32" s="82"/>
      <c r="J32" s="82"/>
      <c r="K32" s="82"/>
      <c r="L32" s="82"/>
      <c r="M32" s="80"/>
      <c r="N32" s="80"/>
      <c r="O32" s="80"/>
      <c r="P32" s="83"/>
      <c r="Q32" s="83"/>
      <c r="R32" s="80"/>
      <c r="S32" s="77"/>
      <c r="T32" s="78"/>
      <c r="U32" s="78"/>
      <c r="V32" s="6"/>
      <c r="W32" s="6"/>
      <c r="X32" s="52"/>
      <c r="Y32"/>
      <c r="Z32"/>
      <c r="AC32"/>
      <c r="AD32"/>
    </row>
    <row r="33" spans="1:30" ht="20.25" thickBot="1" x14ac:dyDescent="0.45">
      <c r="A33" s="72"/>
      <c r="B33" s="73"/>
      <c r="C33" s="73"/>
      <c r="D33" s="73"/>
      <c r="E33" s="74"/>
      <c r="F33" s="74"/>
      <c r="G33" s="74"/>
      <c r="H33" s="75"/>
      <c r="I33" s="75"/>
      <c r="J33" s="75"/>
      <c r="K33" s="75"/>
      <c r="L33" s="75"/>
      <c r="M33" s="73"/>
      <c r="N33" s="73"/>
      <c r="O33" s="73"/>
      <c r="P33" s="76"/>
      <c r="Q33" s="76"/>
      <c r="R33" s="73"/>
      <c r="S33" s="77"/>
      <c r="T33" s="78"/>
      <c r="U33" s="78"/>
      <c r="V33" s="6"/>
      <c r="W33" s="6"/>
      <c r="X33" s="52"/>
      <c r="Y33"/>
      <c r="Z33"/>
      <c r="AC33"/>
      <c r="AD33"/>
    </row>
    <row r="34" spans="1:30" ht="20.25" thickBot="1" x14ac:dyDescent="0.45">
      <c r="A34" s="79"/>
      <c r="B34" s="80"/>
      <c r="C34" s="80"/>
      <c r="D34" s="80"/>
      <c r="E34" s="81"/>
      <c r="F34" s="81"/>
      <c r="G34" s="81"/>
      <c r="H34" s="82"/>
      <c r="I34" s="82"/>
      <c r="J34" s="82"/>
      <c r="K34" s="82"/>
      <c r="L34" s="82"/>
      <c r="M34" s="80"/>
      <c r="N34" s="80"/>
      <c r="O34" s="80"/>
      <c r="P34" s="83"/>
      <c r="Q34" s="80"/>
      <c r="R34" s="80"/>
      <c r="S34" s="84"/>
      <c r="T34" s="78"/>
      <c r="U34" s="78"/>
      <c r="V34" s="6"/>
      <c r="W34" s="6"/>
      <c r="X34" s="52"/>
      <c r="Y34"/>
      <c r="Z34"/>
      <c r="AC34"/>
      <c r="AD34"/>
    </row>
    <row r="35" spans="1:30" ht="20.25" thickBot="1" x14ac:dyDescent="0.45">
      <c r="A35" s="72"/>
      <c r="B35" s="73"/>
      <c r="C35" s="73"/>
      <c r="D35" s="73"/>
      <c r="E35" s="74"/>
      <c r="F35" s="74"/>
      <c r="G35" s="74"/>
      <c r="H35" s="75"/>
      <c r="I35" s="75"/>
      <c r="J35" s="75"/>
      <c r="K35" s="75"/>
      <c r="L35" s="75"/>
      <c r="M35" s="75"/>
      <c r="N35" s="75"/>
      <c r="O35" s="73"/>
      <c r="P35" s="73"/>
      <c r="Q35" s="73"/>
      <c r="R35" s="76"/>
      <c r="S35" s="76"/>
      <c r="T35" s="73"/>
      <c r="U35" s="84"/>
      <c r="V35" s="6"/>
      <c r="W35" s="6"/>
      <c r="X35" s="52"/>
      <c r="Y35"/>
      <c r="Z35"/>
      <c r="AA35" s="6"/>
      <c r="AB35" s="6"/>
      <c r="AC35"/>
      <c r="AD35"/>
    </row>
    <row r="36" spans="1:30" ht="20.25" thickBot="1" x14ac:dyDescent="0.45">
      <c r="A36" s="79"/>
      <c r="B36" s="80"/>
      <c r="C36" s="80"/>
      <c r="D36" s="80"/>
      <c r="E36" s="81"/>
      <c r="F36" s="81"/>
      <c r="G36" s="81"/>
      <c r="H36" s="82"/>
      <c r="I36" s="82"/>
      <c r="J36" s="82"/>
      <c r="K36" s="82"/>
      <c r="L36" s="82"/>
      <c r="M36" s="82"/>
      <c r="N36" s="82"/>
      <c r="O36" s="80"/>
      <c r="P36" s="80"/>
      <c r="Q36" s="80"/>
      <c r="R36" s="83"/>
      <c r="S36" s="83"/>
      <c r="T36" s="80"/>
      <c r="U36" s="77"/>
      <c r="V36" s="6"/>
      <c r="W36" s="6"/>
      <c r="X36" s="52"/>
      <c r="Y36"/>
      <c r="Z36"/>
      <c r="AA36" s="6"/>
      <c r="AB36" s="6"/>
      <c r="AC36"/>
      <c r="AD36"/>
    </row>
    <row r="37" spans="1:30" ht="20.25" thickBot="1" x14ac:dyDescent="0.45">
      <c r="A37" s="72"/>
      <c r="B37" s="73"/>
      <c r="C37" s="73"/>
      <c r="D37" s="73"/>
      <c r="E37" s="74"/>
      <c r="F37" s="74"/>
      <c r="G37" s="74"/>
      <c r="H37" s="75"/>
      <c r="I37" s="75"/>
      <c r="J37" s="75"/>
      <c r="K37" s="75"/>
      <c r="L37" s="75"/>
      <c r="M37" s="75"/>
      <c r="N37" s="75"/>
      <c r="O37" s="73"/>
      <c r="P37" s="73"/>
      <c r="Q37" s="73"/>
      <c r="R37" s="76"/>
      <c r="S37" s="76"/>
      <c r="T37" s="73"/>
      <c r="U37" s="77"/>
      <c r="V37" s="6"/>
      <c r="W37" s="6"/>
      <c r="X37" s="52"/>
      <c r="Y37"/>
      <c r="Z37"/>
      <c r="AA37" s="6"/>
      <c r="AB37" s="6"/>
      <c r="AC37"/>
      <c r="AD37"/>
    </row>
    <row r="38" spans="1:30" ht="20.25" thickBot="1" x14ac:dyDescent="0.45">
      <c r="A38" s="79"/>
      <c r="B38" s="80"/>
      <c r="C38" s="80"/>
      <c r="D38" s="80"/>
      <c r="E38" s="81"/>
      <c r="F38" s="81"/>
      <c r="G38" s="81"/>
      <c r="H38" s="82"/>
      <c r="I38" s="82"/>
      <c r="J38" s="82"/>
      <c r="K38" s="82"/>
      <c r="L38" s="82"/>
      <c r="M38" s="82"/>
      <c r="N38" s="82"/>
      <c r="O38" s="80"/>
      <c r="P38" s="80"/>
      <c r="Q38" s="80"/>
      <c r="R38" s="83"/>
      <c r="S38" s="83"/>
      <c r="T38" s="80"/>
      <c r="U38" s="77"/>
      <c r="V38" s="6"/>
      <c r="W38" s="6"/>
      <c r="X38" s="52"/>
      <c r="Y38"/>
      <c r="Z38"/>
      <c r="AA38" s="6"/>
      <c r="AB38" s="6"/>
      <c r="AC38"/>
      <c r="AD38"/>
    </row>
    <row r="39" spans="1:30" ht="20.25" thickBot="1" x14ac:dyDescent="0.45">
      <c r="A39" s="72"/>
      <c r="B39" s="73"/>
      <c r="C39" s="73"/>
      <c r="D39" s="73"/>
      <c r="E39" s="74"/>
      <c r="F39" s="74"/>
      <c r="G39" s="74"/>
      <c r="H39" s="75"/>
      <c r="I39" s="75"/>
      <c r="J39" s="75"/>
      <c r="K39" s="75"/>
      <c r="L39" s="75"/>
      <c r="M39" s="75"/>
      <c r="N39" s="75"/>
      <c r="O39" s="73"/>
      <c r="P39" s="73"/>
      <c r="Q39" s="73"/>
      <c r="R39" s="76"/>
      <c r="S39" s="76"/>
      <c r="T39" s="73"/>
      <c r="U39" s="77"/>
      <c r="V39" s="6"/>
      <c r="W39" s="6"/>
      <c r="X39" s="52"/>
      <c r="Y39"/>
      <c r="Z39"/>
      <c r="AA39" s="6"/>
      <c r="AB39" s="6"/>
      <c r="AC39"/>
      <c r="AD39"/>
    </row>
    <row r="40" spans="1:30" ht="20.25" thickBot="1" x14ac:dyDescent="0.45">
      <c r="A40" s="79"/>
      <c r="B40" s="80"/>
      <c r="C40" s="80"/>
      <c r="D40" s="80"/>
      <c r="E40" s="81"/>
      <c r="F40" s="81"/>
      <c r="G40" s="81"/>
      <c r="H40" s="82"/>
      <c r="I40" s="82"/>
      <c r="J40" s="82"/>
      <c r="K40" s="82"/>
      <c r="L40" s="82"/>
      <c r="M40" s="82"/>
      <c r="N40" s="82"/>
      <c r="O40" s="80"/>
      <c r="P40" s="80"/>
      <c r="Q40" s="80"/>
      <c r="R40" s="83"/>
      <c r="S40" s="83"/>
      <c r="T40" s="80"/>
      <c r="U40" s="84"/>
      <c r="V40" s="6"/>
      <c r="W40" s="6"/>
      <c r="X40" s="52"/>
      <c r="Y40"/>
      <c r="Z40"/>
      <c r="AA40" s="6"/>
      <c r="AB40" s="6"/>
      <c r="AC40"/>
      <c r="AD40"/>
    </row>
    <row r="41" spans="1:30" ht="20.25" thickBot="1" x14ac:dyDescent="0.45">
      <c r="A41" s="72"/>
      <c r="B41" s="73"/>
      <c r="C41" s="73"/>
      <c r="D41" s="73"/>
      <c r="E41" s="74"/>
      <c r="F41" s="74"/>
      <c r="G41" s="74"/>
      <c r="H41" s="75"/>
      <c r="I41" s="75"/>
      <c r="J41" s="75"/>
      <c r="K41" s="75"/>
      <c r="L41" s="75"/>
      <c r="M41" s="75"/>
      <c r="N41" s="75"/>
      <c r="O41" s="73"/>
      <c r="P41" s="73"/>
      <c r="Q41" s="73"/>
      <c r="R41" s="76"/>
      <c r="S41" s="76"/>
      <c r="T41" s="73"/>
      <c r="U41" s="77"/>
      <c r="V41" s="6"/>
      <c r="W41" s="6"/>
      <c r="X41" s="52"/>
      <c r="Y41"/>
      <c r="Z41"/>
      <c r="AA41" s="6"/>
      <c r="AB41" s="6"/>
      <c r="AC41"/>
      <c r="AD41"/>
    </row>
    <row r="42" spans="1:30" ht="20.25" thickBot="1" x14ac:dyDescent="0.45">
      <c r="A42" s="79"/>
      <c r="B42" s="80"/>
      <c r="C42" s="80"/>
      <c r="D42" s="80"/>
      <c r="E42" s="81"/>
      <c r="F42" s="81"/>
      <c r="G42" s="81"/>
      <c r="H42" s="82"/>
      <c r="I42" s="82"/>
      <c r="J42" s="82"/>
      <c r="K42" s="82"/>
      <c r="L42" s="82"/>
      <c r="M42" s="82"/>
      <c r="N42" s="82"/>
      <c r="O42" s="80"/>
      <c r="P42" s="80"/>
      <c r="Q42" s="80"/>
      <c r="R42" s="83"/>
      <c r="S42" s="83"/>
      <c r="T42" s="80"/>
      <c r="U42" s="77"/>
      <c r="V42" s="6"/>
      <c r="W42" s="6"/>
      <c r="X42" s="52"/>
      <c r="Y42"/>
      <c r="Z42"/>
      <c r="AA42" s="6"/>
      <c r="AB42" s="6"/>
      <c r="AC42"/>
      <c r="AD42"/>
    </row>
    <row r="43" spans="1:30" ht="20.25" thickBot="1" x14ac:dyDescent="0.45">
      <c r="A43" s="72"/>
      <c r="B43" s="73"/>
      <c r="C43" s="73"/>
      <c r="D43" s="73"/>
      <c r="E43" s="74"/>
      <c r="F43" s="74"/>
      <c r="G43" s="74"/>
      <c r="H43" s="75"/>
      <c r="I43" s="75"/>
      <c r="J43" s="75"/>
      <c r="K43" s="75"/>
      <c r="L43" s="75"/>
      <c r="M43" s="75"/>
      <c r="N43" s="75"/>
      <c r="O43" s="73"/>
      <c r="P43" s="73"/>
      <c r="Q43" s="73"/>
      <c r="R43" s="76"/>
      <c r="S43" s="73"/>
      <c r="T43" s="73"/>
      <c r="U43" s="84"/>
      <c r="V43" s="6"/>
      <c r="W43" s="6"/>
      <c r="X43" s="52"/>
      <c r="Y43"/>
      <c r="Z43"/>
      <c r="AA43" s="6"/>
      <c r="AB43" s="6"/>
      <c r="AC43"/>
      <c r="AD43"/>
    </row>
    <row r="44" spans="1:30" ht="20.25" thickBot="1" x14ac:dyDescent="0.45">
      <c r="A44" s="79"/>
      <c r="B44" s="80"/>
      <c r="C44" s="80"/>
      <c r="D44" s="80"/>
      <c r="E44" s="81"/>
      <c r="F44" s="81"/>
      <c r="G44" s="81"/>
      <c r="H44" s="82"/>
      <c r="I44" s="82"/>
      <c r="J44" s="82"/>
      <c r="K44" s="82"/>
      <c r="L44" s="82"/>
      <c r="M44" s="82"/>
      <c r="N44" s="82"/>
      <c r="O44" s="80"/>
      <c r="P44" s="80"/>
      <c r="Q44" s="80"/>
      <c r="R44" s="83"/>
      <c r="S44" s="83"/>
      <c r="T44" s="80"/>
      <c r="U44" s="77"/>
      <c r="V44" s="6"/>
      <c r="W44" s="6"/>
      <c r="X44" s="52"/>
      <c r="Y44"/>
      <c r="Z44"/>
      <c r="AA44" s="6"/>
      <c r="AB44" s="6"/>
      <c r="AC44"/>
      <c r="AD44"/>
    </row>
    <row r="45" spans="1:30" ht="20.25" thickBot="1" x14ac:dyDescent="0.45">
      <c r="A45" s="72"/>
      <c r="B45" s="73"/>
      <c r="C45" s="73"/>
      <c r="D45" s="73"/>
      <c r="E45" s="74"/>
      <c r="F45" s="74"/>
      <c r="G45" s="74"/>
      <c r="H45" s="75"/>
      <c r="I45" s="75"/>
      <c r="J45" s="75"/>
      <c r="K45" s="75"/>
      <c r="L45" s="75"/>
      <c r="M45" s="75"/>
      <c r="N45" s="75"/>
      <c r="O45" s="73"/>
      <c r="P45" s="73"/>
      <c r="Q45" s="73"/>
      <c r="R45" s="76"/>
      <c r="S45" s="76"/>
      <c r="T45" s="73"/>
      <c r="U45" s="77"/>
      <c r="V45" s="6"/>
      <c r="W45" s="6"/>
      <c r="X45" s="6"/>
      <c r="Y45" s="6"/>
      <c r="Z45" s="6"/>
      <c r="AA45" s="6"/>
      <c r="AB45" s="6"/>
      <c r="AC45"/>
      <c r="AD45"/>
    </row>
    <row r="46" spans="1:30" ht="20.25" thickBot="1" x14ac:dyDescent="0.45">
      <c r="A46" s="79"/>
      <c r="B46" s="80"/>
      <c r="C46" s="80"/>
      <c r="D46" s="80"/>
      <c r="E46" s="81"/>
      <c r="F46" s="81"/>
      <c r="G46" s="81"/>
      <c r="H46" s="82"/>
      <c r="I46" s="82"/>
      <c r="J46" s="82"/>
      <c r="K46" s="82"/>
      <c r="L46" s="82"/>
      <c r="M46" s="82"/>
      <c r="N46" s="82"/>
      <c r="O46" s="80"/>
      <c r="P46" s="80"/>
      <c r="Q46" s="80"/>
      <c r="R46" s="83"/>
      <c r="S46" s="83"/>
      <c r="T46" s="80"/>
      <c r="U46" s="77"/>
      <c r="V46" s="6"/>
      <c r="W46" s="6"/>
      <c r="X46" s="6"/>
      <c r="Y46" s="6"/>
      <c r="Z46" s="6"/>
      <c r="AA46" s="6"/>
      <c r="AB46" s="6"/>
      <c r="AC46"/>
      <c r="AD46"/>
    </row>
    <row r="47" spans="1:30" ht="20.25" thickBot="1" x14ac:dyDescent="0.45">
      <c r="A47" s="72"/>
      <c r="B47" s="73"/>
      <c r="C47" s="73"/>
      <c r="D47" s="73"/>
      <c r="E47" s="74"/>
      <c r="F47" s="74"/>
      <c r="G47" s="74"/>
      <c r="H47" s="75"/>
      <c r="I47" s="75"/>
      <c r="J47" s="75"/>
      <c r="K47" s="75"/>
      <c r="L47" s="75"/>
      <c r="M47" s="75"/>
      <c r="N47" s="75"/>
      <c r="O47" s="73"/>
      <c r="P47" s="73"/>
      <c r="Q47" s="73"/>
      <c r="R47" s="76"/>
      <c r="S47" s="73"/>
      <c r="T47" s="73"/>
      <c r="U47" s="84"/>
      <c r="V47" s="6"/>
      <c r="W47" s="6"/>
      <c r="X47" s="6"/>
      <c r="Y47" s="6"/>
      <c r="Z47" s="6"/>
      <c r="AA47" s="6"/>
      <c r="AB47" s="6"/>
      <c r="AC47"/>
      <c r="AD47"/>
    </row>
    <row r="48" spans="1:30" ht="20.25" thickBot="1" x14ac:dyDescent="0.45">
      <c r="A48" s="79"/>
      <c r="B48" s="80"/>
      <c r="C48" s="80"/>
      <c r="D48" s="80"/>
      <c r="E48" s="81"/>
      <c r="F48" s="81"/>
      <c r="G48" s="81"/>
      <c r="H48" s="82"/>
      <c r="I48" s="82"/>
      <c r="J48" s="82"/>
      <c r="K48" s="82"/>
      <c r="L48" s="82"/>
      <c r="M48" s="82"/>
      <c r="N48" s="82"/>
      <c r="O48" s="80"/>
      <c r="P48" s="80"/>
      <c r="Q48" s="80"/>
      <c r="R48" s="83"/>
      <c r="S48" s="80"/>
      <c r="T48" s="80"/>
      <c r="U48" s="84"/>
      <c r="V48" s="6"/>
      <c r="W48" s="6"/>
      <c r="X48" s="6"/>
      <c r="Y48" s="6"/>
      <c r="Z48" s="6"/>
      <c r="AA48" s="6"/>
      <c r="AB48" s="6"/>
      <c r="AC48"/>
      <c r="AD48"/>
    </row>
    <row r="49" spans="1:30" ht="20.25" thickBot="1" x14ac:dyDescent="0.45">
      <c r="A49" s="72"/>
      <c r="B49" s="73"/>
      <c r="C49" s="73"/>
      <c r="D49" s="73"/>
      <c r="E49" s="74"/>
      <c r="F49" s="74"/>
      <c r="G49" s="74"/>
      <c r="H49" s="75"/>
      <c r="I49" s="75"/>
      <c r="J49" s="75"/>
      <c r="K49" s="75"/>
      <c r="L49" s="75"/>
      <c r="M49" s="75"/>
      <c r="N49" s="75"/>
      <c r="O49" s="73"/>
      <c r="P49" s="73"/>
      <c r="Q49" s="73"/>
      <c r="R49" s="76"/>
      <c r="S49" s="76"/>
      <c r="T49" s="73"/>
      <c r="U49" s="77"/>
      <c r="V49" s="6"/>
      <c r="W49" s="6"/>
      <c r="X49" s="6"/>
      <c r="Y49" s="6"/>
      <c r="Z49" s="6"/>
      <c r="AA49" s="6"/>
      <c r="AB49" s="6"/>
      <c r="AC49"/>
      <c r="AD49"/>
    </row>
    <row r="50" spans="1:30" ht="20.25" thickBot="1" x14ac:dyDescent="0.45">
      <c r="A50" s="79"/>
      <c r="B50" s="80"/>
      <c r="C50" s="80"/>
      <c r="D50" s="80"/>
      <c r="E50" s="81"/>
      <c r="F50" s="81"/>
      <c r="G50" s="81"/>
      <c r="H50" s="82"/>
      <c r="I50" s="82"/>
      <c r="J50" s="82"/>
      <c r="K50" s="82"/>
      <c r="L50" s="82"/>
      <c r="M50" s="82"/>
      <c r="N50" s="82"/>
      <c r="O50" s="80"/>
      <c r="P50" s="80"/>
      <c r="Q50" s="80"/>
      <c r="R50" s="83"/>
      <c r="S50" s="83"/>
      <c r="T50" s="80"/>
      <c r="U50" s="77"/>
      <c r="V50" s="6"/>
      <c r="W50" s="6"/>
      <c r="X50" s="6"/>
      <c r="Y50" s="6"/>
      <c r="Z50" s="6"/>
      <c r="AA50" s="6"/>
      <c r="AB50" s="6"/>
      <c r="AC50"/>
      <c r="AD50"/>
    </row>
    <row r="51" spans="1:30" ht="20.25" thickBot="1" x14ac:dyDescent="0.45">
      <c r="A51" s="72"/>
      <c r="B51" s="73"/>
      <c r="C51" s="73"/>
      <c r="D51" s="73"/>
      <c r="E51" s="74"/>
      <c r="F51" s="74"/>
      <c r="G51" s="74"/>
      <c r="H51" s="75"/>
      <c r="I51" s="75"/>
      <c r="J51" s="75"/>
      <c r="K51" s="75"/>
      <c r="L51" s="75"/>
      <c r="M51" s="75"/>
      <c r="N51" s="75"/>
      <c r="O51" s="73"/>
      <c r="P51" s="73"/>
      <c r="Q51" s="73"/>
      <c r="R51" s="76"/>
      <c r="S51" s="76"/>
      <c r="T51" s="73"/>
      <c r="U51" s="77"/>
      <c r="V51" s="6"/>
      <c r="W51" s="6"/>
      <c r="X51" s="6"/>
      <c r="Y51" s="6"/>
      <c r="Z51" s="6"/>
      <c r="AA51" s="6"/>
      <c r="AB51" s="6"/>
      <c r="AC51"/>
      <c r="AD51"/>
    </row>
    <row r="52" spans="1:30" ht="20.25" thickBot="1" x14ac:dyDescent="0.45">
      <c r="A52" s="79"/>
      <c r="B52" s="80"/>
      <c r="C52" s="80"/>
      <c r="D52" s="80"/>
      <c r="E52" s="81"/>
      <c r="F52" s="81"/>
      <c r="G52" s="81"/>
      <c r="H52" s="82"/>
      <c r="I52" s="82"/>
      <c r="J52" s="82"/>
      <c r="K52" s="82"/>
      <c r="L52" s="82"/>
      <c r="M52" s="82"/>
      <c r="N52" s="82"/>
      <c r="O52" s="80"/>
      <c r="P52" s="80"/>
      <c r="Q52" s="80"/>
      <c r="R52" s="83"/>
      <c r="S52" s="83"/>
      <c r="T52" s="80"/>
      <c r="U52" s="77"/>
      <c r="V52" s="6"/>
      <c r="W52" s="6"/>
      <c r="X52" s="6"/>
      <c r="Y52" s="6"/>
      <c r="Z52" s="6"/>
      <c r="AA52" s="6"/>
      <c r="AB52" s="6"/>
      <c r="AC52"/>
      <c r="AD52"/>
    </row>
    <row r="53" spans="1:30" ht="20.25" thickBot="1" x14ac:dyDescent="0.45">
      <c r="A53" s="72"/>
      <c r="B53" s="73"/>
      <c r="C53" s="73"/>
      <c r="D53" s="73"/>
      <c r="E53" s="74"/>
      <c r="F53" s="74"/>
      <c r="G53" s="74"/>
      <c r="H53" s="75"/>
      <c r="I53" s="75"/>
      <c r="J53" s="75"/>
      <c r="K53" s="75"/>
      <c r="L53" s="75"/>
      <c r="M53" s="75"/>
      <c r="N53" s="75"/>
      <c r="O53" s="73"/>
      <c r="P53" s="73"/>
      <c r="Q53" s="73"/>
      <c r="R53" s="76"/>
      <c r="S53" s="73"/>
      <c r="T53" s="73"/>
      <c r="U53" s="77"/>
      <c r="V53" s="6"/>
      <c r="W53" s="6"/>
      <c r="X53" s="6"/>
      <c r="Y53" s="6"/>
      <c r="Z53" s="6"/>
      <c r="AA53" s="6"/>
      <c r="AB53" s="6"/>
      <c r="AC53"/>
      <c r="AD53"/>
    </row>
    <row r="54" spans="1:30" ht="20.25" thickBot="1" x14ac:dyDescent="0.45">
      <c r="A54" s="79"/>
      <c r="B54" s="80"/>
      <c r="C54" s="80"/>
      <c r="D54" s="80"/>
      <c r="E54" s="81"/>
      <c r="F54" s="81"/>
      <c r="G54" s="81"/>
      <c r="H54" s="82"/>
      <c r="I54" s="82"/>
      <c r="J54" s="82"/>
      <c r="K54" s="82"/>
      <c r="L54" s="82"/>
      <c r="M54" s="82"/>
      <c r="N54" s="82"/>
      <c r="O54" s="80"/>
      <c r="P54" s="80"/>
      <c r="Q54" s="80"/>
      <c r="R54" s="83"/>
      <c r="S54" s="83"/>
      <c r="T54" s="80"/>
      <c r="U54" s="77"/>
      <c r="V54" s="6"/>
      <c r="W54" s="6"/>
      <c r="X54" s="6"/>
      <c r="Y54" s="6"/>
      <c r="Z54" s="6"/>
      <c r="AA54" s="6"/>
      <c r="AB54" s="6"/>
      <c r="AC54"/>
      <c r="AD54"/>
    </row>
    <row r="55" spans="1:30" ht="20.25" thickBot="1" x14ac:dyDescent="0.45">
      <c r="A55" s="72"/>
      <c r="B55" s="73"/>
      <c r="C55" s="73"/>
      <c r="D55" s="73"/>
      <c r="E55" s="74"/>
      <c r="F55" s="74"/>
      <c r="G55" s="74"/>
      <c r="H55" s="75"/>
      <c r="I55" s="75"/>
      <c r="J55" s="75"/>
      <c r="K55" s="75"/>
      <c r="L55" s="75"/>
      <c r="M55" s="75"/>
      <c r="N55" s="75"/>
      <c r="O55" s="73"/>
      <c r="P55" s="73"/>
      <c r="Q55" s="73"/>
      <c r="R55" s="76"/>
      <c r="S55" s="76"/>
      <c r="T55" s="73"/>
      <c r="U55" s="77"/>
      <c r="V55" s="6"/>
      <c r="W55" s="6"/>
      <c r="X55" s="6"/>
      <c r="Y55" s="6"/>
      <c r="Z55" s="6"/>
      <c r="AA55" s="6"/>
      <c r="AB55" s="6"/>
      <c r="AC55"/>
      <c r="AD55"/>
    </row>
    <row r="56" spans="1:30" ht="20.25" thickBot="1" x14ac:dyDescent="0.45">
      <c r="A56" s="79"/>
      <c r="B56" s="80"/>
      <c r="C56" s="80"/>
      <c r="D56" s="80"/>
      <c r="E56" s="81"/>
      <c r="F56" s="81"/>
      <c r="G56" s="81"/>
      <c r="H56" s="82"/>
      <c r="I56" s="82"/>
      <c r="J56" s="82"/>
      <c r="K56" s="82"/>
      <c r="L56" s="82"/>
      <c r="M56" s="82"/>
      <c r="N56" s="82"/>
      <c r="O56" s="80"/>
      <c r="P56" s="80"/>
      <c r="Q56" s="80"/>
      <c r="R56" s="83"/>
      <c r="S56" s="80"/>
      <c r="T56" s="80"/>
      <c r="U56" s="77"/>
      <c r="V56" s="6"/>
      <c r="W56" s="6"/>
      <c r="X56" s="6"/>
      <c r="Y56" s="6"/>
      <c r="Z56" s="6"/>
      <c r="AA56" s="6"/>
      <c r="AB56" s="6"/>
      <c r="AC56"/>
      <c r="AD56"/>
    </row>
    <row r="57" spans="1:30" ht="20.25" thickBot="1" x14ac:dyDescent="0.45">
      <c r="A57" s="72"/>
      <c r="B57" s="73"/>
      <c r="C57" s="73"/>
      <c r="D57" s="73"/>
      <c r="E57" s="74"/>
      <c r="F57" s="74"/>
      <c r="G57" s="74"/>
      <c r="H57" s="75"/>
      <c r="I57" s="75"/>
      <c r="J57" s="75"/>
      <c r="K57" s="75"/>
      <c r="L57" s="75"/>
      <c r="M57" s="75"/>
      <c r="N57" s="75"/>
      <c r="O57" s="73"/>
      <c r="P57" s="73"/>
      <c r="Q57" s="73"/>
      <c r="R57" s="76"/>
      <c r="S57" s="73"/>
      <c r="T57" s="73"/>
      <c r="U57" s="84"/>
      <c r="V57" s="6"/>
      <c r="W57" s="6"/>
      <c r="X57" s="6"/>
      <c r="Y57" s="6"/>
      <c r="Z57" s="6"/>
      <c r="AA57" s="6"/>
      <c r="AB57" s="6"/>
      <c r="AC57"/>
      <c r="AD57"/>
    </row>
    <row r="58" spans="1:30" ht="20.25" thickBot="1" x14ac:dyDescent="0.45">
      <c r="A58" s="79"/>
      <c r="B58" s="80"/>
      <c r="C58" s="80"/>
      <c r="D58" s="80"/>
      <c r="E58" s="81"/>
      <c r="F58" s="81"/>
      <c r="G58" s="81"/>
      <c r="H58" s="82"/>
      <c r="I58" s="82"/>
      <c r="J58" s="82"/>
      <c r="K58" s="82"/>
      <c r="L58" s="82"/>
      <c r="M58" s="82"/>
      <c r="N58" s="82"/>
      <c r="O58" s="80"/>
      <c r="P58" s="80"/>
      <c r="Q58" s="80"/>
      <c r="R58" s="83"/>
      <c r="S58" s="80"/>
      <c r="T58" s="80"/>
      <c r="U58" s="84"/>
      <c r="V58" s="6"/>
      <c r="W58" s="6"/>
      <c r="X58" s="6"/>
      <c r="Y58" s="6"/>
      <c r="Z58" s="6"/>
      <c r="AA58" s="6"/>
      <c r="AB58" s="6"/>
      <c r="AC58"/>
      <c r="AD58"/>
    </row>
    <row r="59" spans="1:30" ht="20.25" thickBot="1" x14ac:dyDescent="0.45">
      <c r="A59" s="72"/>
      <c r="B59" s="73"/>
      <c r="C59" s="73"/>
      <c r="D59" s="73"/>
      <c r="E59" s="74"/>
      <c r="F59" s="74"/>
      <c r="G59" s="74"/>
      <c r="H59" s="75"/>
      <c r="I59" s="75"/>
      <c r="J59" s="75"/>
      <c r="K59" s="75"/>
      <c r="L59" s="75"/>
      <c r="M59" s="75"/>
      <c r="N59" s="75"/>
      <c r="O59" s="73"/>
      <c r="P59" s="73"/>
      <c r="Q59" s="73"/>
      <c r="R59" s="76"/>
      <c r="S59" s="76"/>
      <c r="T59" s="73"/>
      <c r="U59" s="77"/>
      <c r="V59" s="6"/>
      <c r="W59" s="6"/>
      <c r="X59" s="6"/>
      <c r="Y59" s="6"/>
      <c r="Z59" s="6"/>
      <c r="AA59" s="6"/>
      <c r="AB59" s="6"/>
      <c r="AC59"/>
      <c r="AD59"/>
    </row>
    <row r="60" spans="1:30" ht="20.25" thickBot="1" x14ac:dyDescent="0.45">
      <c r="A60" s="79"/>
      <c r="B60" s="80"/>
      <c r="C60" s="80"/>
      <c r="D60" s="80"/>
      <c r="E60" s="81"/>
      <c r="F60" s="81"/>
      <c r="G60" s="81"/>
      <c r="H60" s="82"/>
      <c r="I60" s="82"/>
      <c r="J60" s="82"/>
      <c r="K60" s="82"/>
      <c r="L60" s="82"/>
      <c r="M60" s="82"/>
      <c r="N60" s="82"/>
      <c r="O60" s="80"/>
      <c r="P60" s="80"/>
      <c r="Q60" s="80"/>
      <c r="R60" s="83"/>
      <c r="S60" s="80"/>
      <c r="T60" s="80"/>
      <c r="U60" s="77"/>
      <c r="V60" s="6"/>
      <c r="W60" s="6"/>
      <c r="X60" s="6"/>
      <c r="Y60" s="6"/>
      <c r="Z60" s="6"/>
      <c r="AA60" s="6"/>
      <c r="AB60" s="6"/>
      <c r="AC60"/>
      <c r="AD60"/>
    </row>
    <row r="61" spans="1:30" ht="20.25" thickBot="1" x14ac:dyDescent="0.45">
      <c r="A61" s="72"/>
      <c r="B61" s="73"/>
      <c r="C61" s="73"/>
      <c r="D61" s="73"/>
      <c r="E61" s="74"/>
      <c r="F61" s="74"/>
      <c r="G61" s="74"/>
      <c r="H61" s="75"/>
      <c r="I61" s="75"/>
      <c r="J61" s="75"/>
      <c r="K61" s="75"/>
      <c r="L61" s="75"/>
      <c r="M61" s="75"/>
      <c r="N61" s="75"/>
      <c r="O61" s="73"/>
      <c r="P61" s="73"/>
      <c r="Q61" s="73"/>
      <c r="R61" s="76"/>
      <c r="S61" s="73"/>
      <c r="T61" s="73"/>
      <c r="U61" s="84"/>
      <c r="V61" s="6"/>
      <c r="W61" s="6"/>
      <c r="X61" s="6"/>
      <c r="Y61" s="6"/>
      <c r="Z61" s="6"/>
      <c r="AA61" s="6"/>
      <c r="AB61" s="6"/>
      <c r="AC61"/>
      <c r="AD61"/>
    </row>
    <row r="62" spans="1:30" ht="20.25" thickBot="1" x14ac:dyDescent="0.45">
      <c r="A62" s="79"/>
      <c r="B62" s="80"/>
      <c r="C62" s="80"/>
      <c r="D62" s="80"/>
      <c r="E62" s="81"/>
      <c r="F62" s="81"/>
      <c r="G62" s="81"/>
      <c r="H62" s="82"/>
      <c r="I62" s="82"/>
      <c r="J62" s="82"/>
      <c r="K62" s="82"/>
      <c r="L62" s="82"/>
      <c r="M62" s="82"/>
      <c r="N62" s="82"/>
      <c r="O62" s="80"/>
      <c r="P62" s="80"/>
      <c r="Q62" s="80"/>
      <c r="R62" s="83"/>
      <c r="S62" s="83"/>
      <c r="T62" s="80"/>
      <c r="U62" s="77"/>
      <c r="V62" s="6"/>
      <c r="W62" s="6"/>
      <c r="X62" s="6"/>
      <c r="Y62" s="6"/>
      <c r="Z62" s="6"/>
      <c r="AA62" s="6"/>
      <c r="AB62" s="6"/>
      <c r="AC62"/>
      <c r="AD62"/>
    </row>
    <row r="63" spans="1:30" ht="20.25" thickBot="1" x14ac:dyDescent="0.45">
      <c r="A63" s="85"/>
      <c r="B63" s="86"/>
      <c r="C63" s="86"/>
      <c r="D63" s="86"/>
      <c r="E63" s="87"/>
      <c r="F63" s="87"/>
      <c r="G63" s="87"/>
      <c r="H63" s="88"/>
      <c r="I63" s="88"/>
      <c r="J63" s="88"/>
      <c r="K63" s="88"/>
      <c r="L63" s="88"/>
      <c r="M63" s="88"/>
      <c r="N63" s="88"/>
      <c r="O63" s="86"/>
      <c r="P63" s="86"/>
      <c r="Q63" s="86"/>
      <c r="R63" s="89"/>
      <c r="S63" s="89"/>
      <c r="T63" s="86"/>
      <c r="U63" s="90"/>
      <c r="V63" s="6"/>
      <c r="W63" s="6"/>
      <c r="X63" s="6"/>
      <c r="Y63" s="6"/>
      <c r="Z63" s="6"/>
      <c r="AA63" s="6"/>
      <c r="AB63" s="6"/>
      <c r="AC63"/>
      <c r="AD63"/>
    </row>
    <row r="64" spans="1:30" ht="20.25" thickBot="1" x14ac:dyDescent="0.45">
      <c r="A64" s="91"/>
      <c r="B64" s="78"/>
      <c r="C64" s="78"/>
      <c r="D64" s="78"/>
      <c r="E64" s="91"/>
      <c r="F64" s="91"/>
      <c r="G64" s="91"/>
      <c r="H64" s="78"/>
      <c r="I64" s="78"/>
      <c r="J64" s="78"/>
      <c r="K64" s="78"/>
      <c r="L64" s="78"/>
      <c r="M64" s="78"/>
      <c r="N64" s="78"/>
      <c r="O64" s="78"/>
      <c r="P64" s="78"/>
      <c r="Q64" s="78"/>
      <c r="R64" s="78"/>
      <c r="S64" s="78"/>
      <c r="T64" s="78"/>
      <c r="U64" s="78"/>
      <c r="V64" s="6"/>
      <c r="W64" s="6"/>
      <c r="X64" s="6"/>
      <c r="Y64" s="6"/>
      <c r="Z64" s="6"/>
      <c r="AA64" s="6"/>
      <c r="AB64" s="6"/>
      <c r="AC64"/>
      <c r="AD64"/>
    </row>
    <row r="65" spans="1:30" ht="20.25" thickBot="1" x14ac:dyDescent="0.45">
      <c r="A65" s="91"/>
      <c r="B65" s="78"/>
      <c r="C65" s="78"/>
      <c r="D65" s="78"/>
      <c r="E65" s="91"/>
      <c r="F65" s="91"/>
      <c r="G65" s="91"/>
      <c r="H65" s="78"/>
      <c r="I65" s="78"/>
      <c r="J65" s="78"/>
      <c r="K65" s="78"/>
      <c r="L65" s="78"/>
      <c r="M65" s="78"/>
      <c r="N65" s="78"/>
      <c r="O65" s="78"/>
      <c r="P65" s="78"/>
      <c r="Q65" s="78"/>
      <c r="R65" s="78"/>
      <c r="S65" s="78"/>
      <c r="T65" s="78"/>
      <c r="U65" s="78"/>
      <c r="V65" s="6"/>
      <c r="W65" s="6"/>
      <c r="X65" s="6"/>
      <c r="Y65" s="6"/>
      <c r="Z65" s="6"/>
      <c r="AA65" s="6"/>
      <c r="AB65" s="6"/>
      <c r="AC65"/>
      <c r="AD65"/>
    </row>
    <row r="66" spans="1:30" ht="20.25" thickBot="1" x14ac:dyDescent="0.45">
      <c r="A66" s="91"/>
      <c r="B66" s="78"/>
      <c r="C66" s="78"/>
      <c r="D66" s="78"/>
      <c r="E66" s="91"/>
      <c r="F66" s="91"/>
      <c r="G66" s="91"/>
      <c r="H66" s="78"/>
      <c r="I66" s="78"/>
      <c r="J66" s="78"/>
      <c r="K66" s="78"/>
      <c r="L66" s="78"/>
      <c r="M66" s="78"/>
      <c r="N66" s="78"/>
      <c r="O66" s="78"/>
      <c r="P66" s="78"/>
      <c r="Q66" s="78"/>
      <c r="R66" s="78"/>
      <c r="S66" s="78"/>
      <c r="T66" s="78"/>
      <c r="U66" s="78"/>
      <c r="V66" s="6"/>
      <c r="W66" s="6"/>
      <c r="X66" s="6"/>
      <c r="Y66" s="6"/>
      <c r="Z66" s="6"/>
      <c r="AA66" s="6"/>
      <c r="AB66" s="6"/>
      <c r="AC66"/>
      <c r="AD66"/>
    </row>
    <row r="67" spans="1:30" ht="20.25" thickBot="1" x14ac:dyDescent="0.45">
      <c r="A67" s="91"/>
      <c r="B67" s="78"/>
      <c r="C67" s="78"/>
      <c r="D67" s="78"/>
      <c r="E67" s="91"/>
      <c r="F67" s="91"/>
      <c r="G67" s="91"/>
      <c r="H67" s="78"/>
      <c r="I67" s="78"/>
      <c r="J67" s="78"/>
      <c r="K67" s="78"/>
      <c r="L67" s="78"/>
      <c r="M67" s="78"/>
      <c r="N67" s="78"/>
      <c r="O67" s="78"/>
      <c r="P67" s="78"/>
      <c r="Q67" s="78"/>
      <c r="R67" s="78"/>
      <c r="S67" s="78"/>
      <c r="T67" s="78"/>
      <c r="U67" s="78"/>
      <c r="V67" s="6"/>
      <c r="W67" s="6"/>
      <c r="X67" s="6"/>
      <c r="Y67" s="6"/>
      <c r="Z67" s="6"/>
      <c r="AA67" s="6"/>
      <c r="AB67" s="6"/>
      <c r="AC67"/>
      <c r="AD67"/>
    </row>
    <row r="68" spans="1:30" ht="20.25" thickBot="1" x14ac:dyDescent="0.45">
      <c r="A68" s="91"/>
      <c r="B68" s="78"/>
      <c r="C68" s="78"/>
      <c r="D68" s="78"/>
      <c r="E68" s="91"/>
      <c r="F68" s="91"/>
      <c r="G68" s="91"/>
      <c r="H68" s="78"/>
      <c r="I68" s="78"/>
      <c r="J68" s="78"/>
      <c r="K68" s="78"/>
      <c r="L68" s="78"/>
      <c r="M68" s="78"/>
      <c r="N68" s="78"/>
      <c r="O68" s="78"/>
      <c r="P68" s="78"/>
      <c r="Q68" s="78"/>
      <c r="R68" s="78"/>
      <c r="S68" s="78"/>
      <c r="T68" s="78"/>
      <c r="U68" s="78"/>
      <c r="V68" s="6"/>
      <c r="W68" s="6"/>
      <c r="X68" s="6"/>
      <c r="Y68" s="6"/>
      <c r="Z68" s="6"/>
      <c r="AA68" s="6"/>
      <c r="AB68" s="6"/>
      <c r="AC68"/>
      <c r="AD68"/>
    </row>
    <row r="69" spans="1:30" ht="20.25" thickBot="1" x14ac:dyDescent="0.45">
      <c r="A69" s="91"/>
      <c r="B69" s="78"/>
      <c r="C69" s="78"/>
      <c r="D69" s="78"/>
      <c r="E69" s="91"/>
      <c r="F69" s="91"/>
      <c r="G69" s="91"/>
      <c r="H69" s="78"/>
      <c r="I69" s="78"/>
      <c r="J69" s="78"/>
      <c r="K69" s="78"/>
      <c r="L69" s="78"/>
      <c r="M69" s="78"/>
      <c r="N69" s="78"/>
      <c r="O69" s="78"/>
      <c r="P69" s="78"/>
      <c r="Q69" s="78"/>
      <c r="R69" s="78"/>
      <c r="S69" s="78"/>
      <c r="T69" s="78"/>
      <c r="U69" s="78"/>
      <c r="V69" s="6"/>
      <c r="W69" s="6"/>
      <c r="X69" s="6"/>
      <c r="Y69" s="6"/>
      <c r="Z69" s="6"/>
      <c r="AA69" s="6"/>
      <c r="AB69" s="6"/>
      <c r="AC69"/>
      <c r="AD69"/>
    </row>
    <row r="70" spans="1:30" ht="20.25" thickBot="1" x14ac:dyDescent="0.45">
      <c r="A70" s="91"/>
      <c r="B70" s="78"/>
      <c r="C70" s="78"/>
      <c r="D70" s="78"/>
      <c r="E70" s="91"/>
      <c r="F70" s="91"/>
      <c r="G70" s="91"/>
      <c r="H70" s="78"/>
      <c r="I70" s="78"/>
      <c r="J70" s="78"/>
      <c r="K70" s="78"/>
      <c r="L70" s="78"/>
      <c r="M70" s="78"/>
      <c r="N70" s="78"/>
      <c r="O70" s="78"/>
      <c r="P70" s="78"/>
      <c r="Q70" s="78"/>
      <c r="R70" s="78"/>
      <c r="S70" s="78"/>
      <c r="T70" s="78"/>
      <c r="U70" s="78"/>
      <c r="V70" s="6"/>
      <c r="W70" s="6"/>
      <c r="X70" s="6"/>
      <c r="Y70" s="6"/>
      <c r="Z70" s="6"/>
      <c r="AA70" s="6"/>
      <c r="AB70" s="6"/>
      <c r="AC70"/>
      <c r="AD70"/>
    </row>
    <row r="71" spans="1:30" ht="20.25" thickBot="1" x14ac:dyDescent="0.45">
      <c r="A71" s="91"/>
      <c r="B71" s="78"/>
      <c r="C71" s="78"/>
      <c r="D71" s="78"/>
      <c r="E71" s="91"/>
      <c r="F71" s="91"/>
      <c r="G71" s="91"/>
      <c r="H71" s="78"/>
      <c r="I71" s="78"/>
      <c r="J71" s="78"/>
      <c r="K71" s="78"/>
      <c r="L71" s="78"/>
      <c r="M71" s="78"/>
      <c r="N71" s="78"/>
      <c r="O71" s="78"/>
      <c r="P71" s="78"/>
      <c r="Q71" s="78"/>
      <c r="R71" s="78"/>
      <c r="S71" s="78"/>
      <c r="T71" s="78"/>
      <c r="U71" s="78"/>
      <c r="V71" s="6"/>
      <c r="W71" s="6"/>
      <c r="X71" s="6"/>
      <c r="Y71" s="6"/>
      <c r="Z71" s="6"/>
      <c r="AA71" s="6"/>
      <c r="AB71" s="6"/>
      <c r="AC71"/>
      <c r="AD71"/>
    </row>
    <row r="72" spans="1:30" ht="20.25" thickBot="1" x14ac:dyDescent="0.45">
      <c r="A72" s="91"/>
      <c r="B72" s="78"/>
      <c r="C72" s="78"/>
      <c r="D72" s="78"/>
      <c r="E72" s="91"/>
      <c r="F72" s="91"/>
      <c r="G72" s="91"/>
      <c r="H72" s="78"/>
      <c r="I72" s="78"/>
      <c r="J72" s="78"/>
      <c r="K72" s="78"/>
      <c r="L72" s="78"/>
      <c r="M72" s="78"/>
      <c r="N72" s="78"/>
      <c r="O72" s="78"/>
      <c r="P72" s="78"/>
      <c r="Q72" s="78"/>
      <c r="R72" s="78"/>
      <c r="S72" s="78"/>
      <c r="T72" s="78"/>
      <c r="U72" s="78"/>
      <c r="V72" s="6"/>
      <c r="W72" s="6"/>
      <c r="X72" s="6"/>
      <c r="Y72" s="6"/>
      <c r="Z72" s="6"/>
      <c r="AA72" s="6"/>
      <c r="AB72" s="6"/>
      <c r="AC72"/>
      <c r="AD72"/>
    </row>
    <row r="73" spans="1:30" ht="20.25" thickBot="1" x14ac:dyDescent="0.45">
      <c r="A73" s="91"/>
      <c r="B73" s="78"/>
      <c r="C73" s="78"/>
      <c r="D73" s="78"/>
      <c r="E73" s="91"/>
      <c r="F73" s="91"/>
      <c r="G73" s="91"/>
      <c r="H73" s="78"/>
      <c r="I73" s="78"/>
      <c r="J73" s="78"/>
      <c r="K73" s="78"/>
      <c r="L73" s="78"/>
      <c r="M73" s="78"/>
      <c r="N73" s="78"/>
      <c r="O73" s="78"/>
      <c r="P73" s="78"/>
      <c r="Q73" s="78"/>
      <c r="R73" s="78"/>
      <c r="S73" s="78"/>
      <c r="T73" s="78"/>
      <c r="U73" s="78"/>
      <c r="V73" s="6"/>
      <c r="W73" s="6"/>
      <c r="X73" s="6"/>
      <c r="Y73" s="6"/>
      <c r="Z73" s="6"/>
      <c r="AA73" s="6"/>
      <c r="AB73" s="6"/>
      <c r="AC73"/>
      <c r="AD73"/>
    </row>
    <row r="74" spans="1:30" ht="20.25" thickBot="1" x14ac:dyDescent="0.45">
      <c r="A74" s="91"/>
      <c r="B74" s="78"/>
      <c r="C74" s="78"/>
      <c r="D74" s="78"/>
      <c r="E74" s="91"/>
      <c r="F74" s="91"/>
      <c r="G74" s="91"/>
      <c r="H74" s="78"/>
      <c r="I74" s="78"/>
      <c r="J74" s="78"/>
      <c r="K74" s="78"/>
      <c r="L74" s="78"/>
      <c r="M74" s="78"/>
      <c r="N74" s="78"/>
      <c r="O74" s="78"/>
      <c r="P74" s="78"/>
      <c r="Q74" s="78"/>
      <c r="R74" s="78"/>
      <c r="S74" s="78"/>
      <c r="T74" s="78"/>
      <c r="U74" s="78"/>
      <c r="V74" s="6"/>
      <c r="W74" s="6"/>
      <c r="X74" s="6"/>
      <c r="Y74" s="6"/>
      <c r="Z74" s="6"/>
      <c r="AA74" s="6"/>
      <c r="AB74" s="6"/>
      <c r="AC74"/>
      <c r="AD74"/>
    </row>
    <row r="75" spans="1:30" ht="20.25" thickBot="1" x14ac:dyDescent="0.45">
      <c r="A75" s="91"/>
      <c r="B75" s="78"/>
      <c r="C75" s="78"/>
      <c r="D75" s="78"/>
      <c r="E75" s="91"/>
      <c r="F75" s="91"/>
      <c r="G75" s="91"/>
      <c r="H75" s="78"/>
      <c r="I75" s="78"/>
      <c r="J75" s="78"/>
      <c r="K75" s="78"/>
      <c r="L75" s="78"/>
      <c r="M75" s="78"/>
      <c r="N75" s="78"/>
      <c r="O75" s="78"/>
      <c r="P75" s="78"/>
      <c r="Q75" s="78"/>
      <c r="R75" s="78"/>
      <c r="S75" s="78"/>
      <c r="T75" s="78"/>
      <c r="U75" s="78"/>
      <c r="V75" s="6"/>
      <c r="W75" s="6"/>
      <c r="X75" s="6"/>
      <c r="Y75" s="6"/>
      <c r="Z75" s="6"/>
      <c r="AA75" s="6"/>
      <c r="AB75" s="6"/>
      <c r="AC75"/>
      <c r="AD75"/>
    </row>
    <row r="76" spans="1:30" ht="20.25" thickBot="1" x14ac:dyDescent="0.45">
      <c r="A76" s="91"/>
      <c r="B76" s="78"/>
      <c r="C76" s="78"/>
      <c r="D76" s="78"/>
      <c r="E76" s="91"/>
      <c r="F76" s="91"/>
      <c r="G76" s="91"/>
      <c r="H76" s="78"/>
      <c r="I76" s="78"/>
      <c r="J76" s="78"/>
      <c r="K76" s="78"/>
      <c r="L76" s="78"/>
      <c r="M76" s="78"/>
      <c r="N76" s="78"/>
      <c r="O76" s="78"/>
      <c r="P76" s="78"/>
      <c r="Q76" s="78"/>
      <c r="R76" s="78"/>
      <c r="S76" s="78"/>
      <c r="T76" s="78"/>
      <c r="U76" s="78"/>
      <c r="V76" s="6"/>
      <c r="W76" s="6"/>
      <c r="X76" s="6"/>
      <c r="Y76" s="6"/>
      <c r="Z76" s="6"/>
      <c r="AA76" s="6"/>
      <c r="AB76" s="6"/>
      <c r="AC76"/>
      <c r="AD76"/>
    </row>
    <row r="77" spans="1:30" ht="20.25" thickBot="1" x14ac:dyDescent="0.45">
      <c r="A77" s="91"/>
      <c r="B77" s="78"/>
      <c r="C77" s="78"/>
      <c r="D77" s="78"/>
      <c r="E77" s="91"/>
      <c r="F77" s="91"/>
      <c r="G77" s="91"/>
      <c r="H77" s="78"/>
      <c r="I77" s="78"/>
      <c r="J77" s="78"/>
      <c r="K77" s="78"/>
      <c r="L77" s="78"/>
      <c r="M77" s="78"/>
      <c r="N77" s="78"/>
      <c r="O77" s="78"/>
      <c r="P77" s="78"/>
      <c r="Q77" s="78"/>
      <c r="R77" s="78"/>
      <c r="S77" s="78"/>
      <c r="T77" s="78"/>
      <c r="U77" s="78"/>
      <c r="V77" s="6"/>
      <c r="W77" s="6"/>
      <c r="X77" s="6"/>
      <c r="Y77" s="6"/>
      <c r="Z77" s="6"/>
      <c r="AA77" s="6"/>
      <c r="AB77" s="6"/>
      <c r="AC77"/>
      <c r="AD77"/>
    </row>
    <row r="78" spans="1:30" ht="20.25" thickBot="1" x14ac:dyDescent="0.45">
      <c r="A78" s="91"/>
      <c r="B78" s="78"/>
      <c r="C78" s="78"/>
      <c r="D78" s="78"/>
      <c r="E78" s="91"/>
      <c r="F78" s="91"/>
      <c r="G78" s="91"/>
      <c r="H78" s="78"/>
      <c r="I78" s="78"/>
      <c r="J78" s="78"/>
      <c r="K78" s="78"/>
      <c r="L78" s="78"/>
      <c r="M78" s="78"/>
      <c r="N78" s="78"/>
      <c r="O78" s="78"/>
      <c r="P78" s="78"/>
      <c r="Q78" s="78"/>
      <c r="R78" s="78"/>
      <c r="S78" s="78"/>
      <c r="T78" s="78"/>
      <c r="U78" s="78"/>
      <c r="V78" s="6"/>
      <c r="W78" s="6"/>
      <c r="X78" s="6"/>
      <c r="Y78" s="6"/>
      <c r="Z78" s="6"/>
      <c r="AA78" s="6"/>
      <c r="AB78" s="6"/>
      <c r="AC78"/>
      <c r="AD78"/>
    </row>
    <row r="79" spans="1:30" ht="20.25" thickBot="1" x14ac:dyDescent="0.45">
      <c r="A79" s="91"/>
      <c r="B79" s="78"/>
      <c r="C79" s="78"/>
      <c r="D79" s="78"/>
      <c r="E79" s="91"/>
      <c r="F79" s="91"/>
      <c r="G79" s="91"/>
      <c r="H79" s="78"/>
      <c r="I79" s="78"/>
      <c r="J79" s="78"/>
      <c r="K79" s="78"/>
      <c r="L79" s="78"/>
      <c r="M79" s="78"/>
      <c r="N79" s="78"/>
      <c r="O79" s="78"/>
      <c r="P79" s="78"/>
      <c r="Q79" s="78"/>
      <c r="R79" s="78"/>
      <c r="S79" s="78"/>
      <c r="T79" s="78"/>
      <c r="U79" s="78"/>
      <c r="V79" s="6"/>
      <c r="W79" s="6"/>
      <c r="X79" s="6"/>
      <c r="Y79" s="6"/>
      <c r="Z79" s="6"/>
      <c r="AA79" s="6"/>
      <c r="AB79" s="6"/>
      <c r="AC79"/>
      <c r="AD79"/>
    </row>
    <row r="80" spans="1:30" ht="20.25" thickBot="1" x14ac:dyDescent="0.45">
      <c r="A80" s="91"/>
      <c r="B80" s="78"/>
      <c r="C80" s="78"/>
      <c r="D80" s="78"/>
      <c r="E80" s="91"/>
      <c r="F80" s="91"/>
      <c r="G80" s="91"/>
      <c r="H80" s="78"/>
      <c r="I80" s="78"/>
      <c r="J80" s="78"/>
      <c r="K80" s="78"/>
      <c r="L80" s="78"/>
      <c r="M80" s="78"/>
      <c r="N80" s="78"/>
      <c r="O80" s="78"/>
      <c r="P80" s="78"/>
      <c r="Q80" s="78"/>
      <c r="R80" s="78"/>
      <c r="S80" s="78"/>
      <c r="T80" s="78"/>
      <c r="U80" s="78"/>
      <c r="V80" s="6"/>
      <c r="W80" s="6"/>
      <c r="X80" s="6"/>
      <c r="Y80" s="6"/>
      <c r="Z80" s="6"/>
      <c r="AA80" s="6"/>
      <c r="AB80" s="6"/>
      <c r="AC80"/>
      <c r="AD80"/>
    </row>
    <row r="81" spans="1:30" ht="20.25" thickBot="1" x14ac:dyDescent="0.45">
      <c r="A81" s="91"/>
      <c r="B81" s="78"/>
      <c r="C81" s="78"/>
      <c r="D81" s="78"/>
      <c r="E81" s="91"/>
      <c r="F81" s="91"/>
      <c r="G81" s="91"/>
      <c r="H81" s="78"/>
      <c r="I81" s="78"/>
      <c r="J81" s="78"/>
      <c r="K81" s="78"/>
      <c r="L81" s="78"/>
      <c r="M81" s="78"/>
      <c r="N81" s="78"/>
      <c r="O81" s="78"/>
      <c r="P81" s="78"/>
      <c r="Q81" s="78"/>
      <c r="R81" s="78"/>
      <c r="S81" s="78"/>
      <c r="T81" s="78"/>
      <c r="U81" s="78"/>
      <c r="V81" s="6"/>
      <c r="W81" s="6"/>
      <c r="X81" s="6"/>
      <c r="Y81" s="6"/>
      <c r="Z81" s="6"/>
      <c r="AA81" s="6"/>
      <c r="AB81" s="6"/>
      <c r="AC81"/>
      <c r="AD81"/>
    </row>
    <row r="82" spans="1:30" ht="20.25" thickBot="1" x14ac:dyDescent="0.45">
      <c r="A82" s="91"/>
      <c r="B82" s="78"/>
      <c r="C82" s="78"/>
      <c r="D82" s="78"/>
      <c r="E82" s="91"/>
      <c r="F82" s="91"/>
      <c r="G82" s="91"/>
      <c r="H82" s="78"/>
      <c r="I82" s="78"/>
      <c r="J82" s="78"/>
      <c r="K82" s="78"/>
      <c r="L82" s="78"/>
      <c r="M82" s="78"/>
      <c r="N82" s="78"/>
      <c r="O82" s="78"/>
      <c r="P82" s="78"/>
      <c r="Q82" s="78"/>
      <c r="R82" s="78"/>
      <c r="S82" s="78"/>
      <c r="T82" s="78"/>
      <c r="U82" s="78"/>
      <c r="V82" s="6"/>
      <c r="W82" s="6"/>
      <c r="X82" s="6"/>
      <c r="Y82" s="6"/>
      <c r="Z82" s="6"/>
      <c r="AA82" s="6"/>
      <c r="AB82" s="6"/>
      <c r="AC82"/>
      <c r="AD82"/>
    </row>
    <row r="83" spans="1:30" ht="20.25" thickBot="1" x14ac:dyDescent="0.45">
      <c r="A83" s="91"/>
      <c r="B83" s="78"/>
      <c r="C83" s="78"/>
      <c r="D83" s="78"/>
      <c r="E83" s="91"/>
      <c r="F83" s="91"/>
      <c r="G83" s="91"/>
      <c r="H83" s="78"/>
      <c r="I83" s="78"/>
      <c r="J83" s="78"/>
      <c r="K83" s="78"/>
      <c r="L83" s="78"/>
      <c r="M83" s="78"/>
      <c r="N83" s="78"/>
      <c r="O83" s="78"/>
      <c r="P83" s="78"/>
      <c r="Q83" s="78"/>
      <c r="R83" s="78"/>
      <c r="S83" s="78"/>
      <c r="T83" s="78"/>
      <c r="U83" s="78"/>
      <c r="V83" s="6"/>
      <c r="W83" s="6"/>
      <c r="X83" s="6"/>
      <c r="Y83" s="6"/>
      <c r="Z83" s="6"/>
      <c r="AA83" s="6"/>
      <c r="AB83" s="6"/>
      <c r="AC83"/>
      <c r="AD83"/>
    </row>
    <row r="84" spans="1:30" ht="20.25" thickBot="1" x14ac:dyDescent="0.45">
      <c r="A84" s="91"/>
      <c r="B84" s="78"/>
      <c r="C84" s="78"/>
      <c r="D84" s="78"/>
      <c r="E84" s="91"/>
      <c r="F84" s="91"/>
      <c r="G84" s="91"/>
      <c r="H84" s="78"/>
      <c r="I84" s="78"/>
      <c r="J84" s="78"/>
      <c r="K84" s="78"/>
      <c r="L84" s="78"/>
      <c r="M84" s="78"/>
      <c r="N84" s="78"/>
      <c r="O84" s="78"/>
      <c r="P84" s="78"/>
      <c r="Q84" s="78"/>
      <c r="R84" s="78"/>
      <c r="S84" s="78"/>
      <c r="T84" s="78"/>
      <c r="U84" s="78"/>
      <c r="V84" s="6"/>
      <c r="W84" s="6"/>
      <c r="X84" s="6"/>
      <c r="Y84" s="6"/>
      <c r="Z84" s="6"/>
      <c r="AA84" s="6"/>
      <c r="AB84" s="6"/>
      <c r="AC84"/>
      <c r="AD84"/>
    </row>
    <row r="85" spans="1:30" ht="20.25" thickBot="1" x14ac:dyDescent="0.45">
      <c r="A85" s="91"/>
      <c r="B85" s="78"/>
      <c r="C85" s="78"/>
      <c r="D85" s="78"/>
      <c r="E85" s="91"/>
      <c r="F85" s="91"/>
      <c r="G85" s="91"/>
      <c r="H85" s="78"/>
      <c r="I85" s="78"/>
      <c r="J85" s="78"/>
      <c r="K85" s="78"/>
      <c r="L85" s="78"/>
      <c r="M85" s="78"/>
      <c r="N85" s="78"/>
      <c r="O85" s="78"/>
      <c r="P85" s="78"/>
      <c r="Q85" s="78"/>
      <c r="R85" s="78"/>
      <c r="S85" s="78"/>
      <c r="T85" s="78"/>
      <c r="U85" s="78"/>
      <c r="V85" s="6"/>
      <c r="W85" s="6"/>
      <c r="X85" s="6"/>
      <c r="Y85" s="6"/>
      <c r="Z85" s="6"/>
      <c r="AA85" s="6"/>
      <c r="AB85" s="6"/>
      <c r="AC85"/>
      <c r="AD85"/>
    </row>
    <row r="86" spans="1:30" ht="20.25" thickBot="1" x14ac:dyDescent="0.45">
      <c r="A86" s="91"/>
      <c r="B86" s="78"/>
      <c r="C86" s="78"/>
      <c r="D86" s="78"/>
      <c r="E86" s="91"/>
      <c r="F86" s="91"/>
      <c r="G86" s="91"/>
      <c r="H86" s="78"/>
      <c r="I86" s="78"/>
      <c r="J86" s="78"/>
      <c r="K86" s="78"/>
      <c r="L86" s="78"/>
      <c r="M86" s="78"/>
      <c r="N86" s="78"/>
      <c r="O86" s="78"/>
      <c r="P86" s="78"/>
      <c r="Q86" s="78"/>
      <c r="R86" s="78"/>
      <c r="S86" s="78"/>
      <c r="T86" s="78"/>
      <c r="U86" s="78"/>
      <c r="V86" s="6"/>
      <c r="W86" s="6"/>
      <c r="X86" s="6"/>
      <c r="Y86" s="6"/>
      <c r="Z86" s="6"/>
      <c r="AA86" s="6"/>
      <c r="AB86" s="6"/>
      <c r="AC86"/>
      <c r="AD86"/>
    </row>
    <row r="87" spans="1:30" ht="20.25" thickBot="1" x14ac:dyDescent="0.45">
      <c r="A87" s="91"/>
      <c r="B87" s="78"/>
      <c r="C87" s="78"/>
      <c r="D87" s="78"/>
      <c r="E87" s="91"/>
      <c r="F87" s="91"/>
      <c r="G87" s="91"/>
      <c r="H87" s="78"/>
      <c r="I87" s="78"/>
      <c r="J87" s="78"/>
      <c r="K87" s="78"/>
      <c r="L87" s="78"/>
      <c r="M87" s="78"/>
      <c r="N87" s="78"/>
      <c r="O87" s="78"/>
      <c r="P87" s="78"/>
      <c r="Q87" s="78"/>
      <c r="R87" s="78"/>
      <c r="S87" s="78"/>
      <c r="T87" s="78"/>
      <c r="U87" s="78"/>
      <c r="V87" s="6"/>
      <c r="W87" s="6"/>
      <c r="X87" s="6"/>
      <c r="Y87" s="6"/>
      <c r="Z87" s="6"/>
      <c r="AA87" s="6"/>
      <c r="AB87" s="6"/>
      <c r="AC87"/>
      <c r="AD87"/>
    </row>
    <row r="88" spans="1:30" ht="20.25" thickBot="1" x14ac:dyDescent="0.45">
      <c r="A88" s="91"/>
      <c r="B88" s="78"/>
      <c r="C88" s="78"/>
      <c r="D88" s="78"/>
      <c r="E88" s="91"/>
      <c r="F88" s="91"/>
      <c r="G88" s="91"/>
      <c r="H88" s="78"/>
      <c r="I88" s="78"/>
      <c r="J88" s="78"/>
      <c r="K88" s="78"/>
      <c r="L88" s="78"/>
      <c r="M88" s="78"/>
      <c r="N88" s="78"/>
      <c r="O88" s="78"/>
      <c r="P88" s="78"/>
      <c r="Q88" s="78"/>
      <c r="R88" s="78"/>
      <c r="S88" s="78"/>
      <c r="T88" s="78"/>
      <c r="U88" s="78"/>
      <c r="V88" s="6"/>
      <c r="W88" s="6"/>
      <c r="X88" s="6"/>
      <c r="Y88" s="6"/>
      <c r="Z88" s="6"/>
      <c r="AA88" s="6"/>
      <c r="AB88" s="6"/>
      <c r="AC88"/>
      <c r="AD88"/>
    </row>
    <row r="89" spans="1:30" ht="20.25" thickBot="1" x14ac:dyDescent="0.45">
      <c r="A89" s="91"/>
      <c r="B89" s="78"/>
      <c r="C89" s="78"/>
      <c r="D89" s="78"/>
      <c r="E89" s="91"/>
      <c r="F89" s="91"/>
      <c r="G89" s="91"/>
      <c r="H89" s="78"/>
      <c r="I89" s="78"/>
      <c r="J89" s="78"/>
      <c r="K89" s="78"/>
      <c r="L89" s="78"/>
      <c r="M89" s="78"/>
      <c r="N89" s="78"/>
      <c r="O89" s="78"/>
      <c r="P89" s="78"/>
      <c r="Q89" s="78"/>
      <c r="R89" s="78"/>
      <c r="S89" s="78"/>
      <c r="T89" s="78"/>
      <c r="U89" s="78"/>
      <c r="V89" s="6"/>
      <c r="W89" s="6"/>
      <c r="X89" s="6"/>
      <c r="Y89" s="6"/>
      <c r="Z89" s="6"/>
      <c r="AA89" s="6"/>
      <c r="AB89" s="6"/>
      <c r="AC89"/>
      <c r="AD89"/>
    </row>
    <row r="90" spans="1:30" ht="20.25" thickBot="1" x14ac:dyDescent="0.45">
      <c r="A90" s="91"/>
      <c r="B90" s="78"/>
      <c r="C90" s="78"/>
      <c r="D90" s="78"/>
      <c r="E90" s="91"/>
      <c r="F90" s="91"/>
      <c r="G90" s="91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78"/>
      <c r="T90" s="78"/>
      <c r="U90" s="78"/>
      <c r="V90" s="6"/>
      <c r="W90" s="6"/>
      <c r="X90" s="6"/>
      <c r="Y90" s="6"/>
      <c r="Z90" s="6"/>
      <c r="AA90" s="6"/>
      <c r="AB90" s="6"/>
      <c r="AC90"/>
      <c r="AD90"/>
    </row>
    <row r="91" spans="1:30" ht="20.25" thickBot="1" x14ac:dyDescent="0.45">
      <c r="A91" s="91"/>
      <c r="B91" s="78"/>
      <c r="C91" s="78"/>
      <c r="D91" s="78"/>
      <c r="E91" s="91"/>
      <c r="F91" s="91"/>
      <c r="G91" s="91"/>
      <c r="H91" s="78"/>
      <c r="I91" s="78"/>
      <c r="J91" s="78"/>
      <c r="K91" s="78"/>
      <c r="L91" s="78"/>
      <c r="M91" s="78"/>
      <c r="N91" s="78"/>
      <c r="O91" s="78"/>
      <c r="P91" s="78"/>
      <c r="Q91" s="78"/>
      <c r="R91" s="78"/>
      <c r="S91" s="78"/>
      <c r="T91" s="78"/>
      <c r="U91" s="78"/>
      <c r="V91" s="6"/>
      <c r="W91" s="6"/>
      <c r="X91" s="6"/>
      <c r="Y91" s="6"/>
      <c r="Z91" s="6"/>
      <c r="AA91" s="6"/>
      <c r="AB91" s="6"/>
      <c r="AC91"/>
      <c r="AD91"/>
    </row>
    <row r="92" spans="1:30" ht="20.25" thickBot="1" x14ac:dyDescent="0.45">
      <c r="A92" s="91"/>
      <c r="B92" s="78"/>
      <c r="C92" s="78"/>
      <c r="D92" s="78"/>
      <c r="E92" s="91"/>
      <c r="F92" s="91"/>
      <c r="G92" s="91"/>
      <c r="H92" s="78"/>
      <c r="I92" s="78"/>
      <c r="J92" s="78"/>
      <c r="K92" s="78"/>
      <c r="L92" s="78"/>
      <c r="M92" s="78"/>
      <c r="N92" s="78"/>
      <c r="O92" s="78"/>
      <c r="P92" s="78"/>
      <c r="Q92" s="78"/>
      <c r="R92" s="78"/>
      <c r="S92" s="78"/>
      <c r="T92" s="78"/>
      <c r="U92" s="78"/>
      <c r="V92" s="6"/>
      <c r="W92" s="6"/>
      <c r="X92" s="6"/>
      <c r="Y92" s="6"/>
      <c r="Z92" s="6"/>
      <c r="AA92" s="6"/>
      <c r="AB92" s="6"/>
      <c r="AC92"/>
      <c r="AD92"/>
    </row>
    <row r="93" spans="1:30" ht="20.25" thickBot="1" x14ac:dyDescent="0.45">
      <c r="A93" s="91"/>
      <c r="B93" s="78"/>
      <c r="C93" s="78"/>
      <c r="D93" s="78"/>
      <c r="E93" s="91"/>
      <c r="F93" s="91"/>
      <c r="G93" s="91"/>
      <c r="H93" s="78"/>
      <c r="I93" s="78"/>
      <c r="J93" s="78"/>
      <c r="K93" s="78"/>
      <c r="L93" s="78"/>
      <c r="M93" s="78"/>
      <c r="N93" s="78"/>
      <c r="O93" s="78"/>
      <c r="P93" s="78"/>
      <c r="Q93" s="78"/>
      <c r="R93" s="78"/>
      <c r="S93" s="78"/>
      <c r="T93" s="78"/>
      <c r="U93" s="78"/>
      <c r="V93" s="6"/>
      <c r="W93" s="6"/>
      <c r="X93" s="6"/>
      <c r="Y93" s="6"/>
      <c r="Z93" s="6"/>
      <c r="AA93" s="6"/>
      <c r="AB93" s="6"/>
      <c r="AC93"/>
      <c r="AD93"/>
    </row>
    <row r="94" spans="1:30" ht="20.25" thickBot="1" x14ac:dyDescent="0.45">
      <c r="A94" s="91"/>
      <c r="B94" s="78"/>
      <c r="C94" s="78"/>
      <c r="D94" s="78"/>
      <c r="E94" s="91"/>
      <c r="F94" s="91"/>
      <c r="G94" s="91"/>
      <c r="H94" s="78"/>
      <c r="I94" s="78"/>
      <c r="J94" s="78"/>
      <c r="K94" s="78"/>
      <c r="L94" s="78"/>
      <c r="M94" s="78"/>
      <c r="N94" s="78"/>
      <c r="O94" s="78"/>
      <c r="P94" s="78"/>
      <c r="Q94" s="78"/>
      <c r="R94" s="78"/>
      <c r="S94" s="78"/>
      <c r="T94" s="78"/>
      <c r="U94" s="78"/>
      <c r="V94" s="6"/>
      <c r="W94" s="6"/>
      <c r="X94" s="6"/>
      <c r="Y94" s="6"/>
      <c r="Z94" s="6"/>
      <c r="AA94" s="6"/>
      <c r="AB94" s="6"/>
      <c r="AC94"/>
      <c r="AD94"/>
    </row>
    <row r="95" spans="1:30" ht="20.25" thickBot="1" x14ac:dyDescent="0.45">
      <c r="A95" s="91"/>
      <c r="B95" s="78"/>
      <c r="C95" s="78"/>
      <c r="D95" s="78"/>
      <c r="E95" s="91"/>
      <c r="F95" s="91"/>
      <c r="G95" s="91"/>
      <c r="H95" s="78"/>
      <c r="I95" s="78"/>
      <c r="J95" s="78"/>
      <c r="K95" s="78"/>
      <c r="L95" s="78"/>
      <c r="M95" s="78"/>
      <c r="N95" s="78"/>
      <c r="O95" s="78"/>
      <c r="P95" s="78"/>
      <c r="Q95" s="78"/>
      <c r="R95" s="78"/>
      <c r="S95" s="78"/>
      <c r="T95" s="78"/>
      <c r="U95" s="78"/>
      <c r="V95" s="6"/>
      <c r="W95" s="6"/>
      <c r="X95" s="6"/>
      <c r="Y95" s="6"/>
      <c r="Z95" s="6"/>
      <c r="AA95" s="6"/>
      <c r="AB95" s="6"/>
      <c r="AC95"/>
      <c r="AD95"/>
    </row>
    <row r="96" spans="1:30" ht="20.25" thickBot="1" x14ac:dyDescent="0.45">
      <c r="A96" s="91"/>
      <c r="B96" s="78"/>
      <c r="C96" s="78"/>
      <c r="D96" s="78"/>
      <c r="E96" s="91"/>
      <c r="F96" s="91"/>
      <c r="G96" s="91"/>
      <c r="H96" s="78"/>
      <c r="I96" s="78"/>
      <c r="J96" s="78"/>
      <c r="K96" s="78"/>
      <c r="L96" s="78"/>
      <c r="M96" s="78"/>
      <c r="N96" s="78"/>
      <c r="O96" s="78"/>
      <c r="P96" s="78"/>
      <c r="Q96" s="78"/>
      <c r="R96" s="78"/>
      <c r="S96" s="78"/>
      <c r="T96" s="78"/>
      <c r="U96" s="78"/>
      <c r="V96" s="6"/>
      <c r="W96" s="6"/>
      <c r="X96" s="6"/>
      <c r="Y96" s="6"/>
      <c r="Z96" s="6"/>
      <c r="AA96" s="6"/>
      <c r="AB96" s="6"/>
      <c r="AC96"/>
      <c r="AD96"/>
    </row>
    <row r="97" spans="1:30" ht="20.25" thickBot="1" x14ac:dyDescent="0.45">
      <c r="A97" s="91"/>
      <c r="B97" s="78"/>
      <c r="C97" s="78"/>
      <c r="D97" s="78"/>
      <c r="E97" s="91"/>
      <c r="F97" s="91"/>
      <c r="G97" s="91"/>
      <c r="H97" s="78"/>
      <c r="I97" s="78"/>
      <c r="J97" s="78"/>
      <c r="K97" s="78"/>
      <c r="L97" s="78"/>
      <c r="M97" s="78"/>
      <c r="N97" s="78"/>
      <c r="O97" s="78"/>
      <c r="P97" s="78"/>
      <c r="Q97" s="78"/>
      <c r="R97" s="78"/>
      <c r="S97" s="78"/>
      <c r="T97" s="78"/>
      <c r="U97" s="78"/>
      <c r="V97" s="6"/>
      <c r="W97" s="6"/>
      <c r="X97" s="6"/>
      <c r="Y97" s="6"/>
      <c r="Z97" s="6"/>
      <c r="AA97" s="6"/>
      <c r="AB97" s="6"/>
      <c r="AC97"/>
      <c r="AD97"/>
    </row>
    <row r="98" spans="1:30" ht="20.25" thickBot="1" x14ac:dyDescent="0.45">
      <c r="A98" s="91"/>
      <c r="B98" s="78"/>
      <c r="C98" s="78"/>
      <c r="D98" s="78"/>
      <c r="E98" s="91"/>
      <c r="F98" s="91"/>
      <c r="G98" s="91"/>
      <c r="H98" s="78"/>
      <c r="I98" s="78"/>
      <c r="J98" s="78"/>
      <c r="K98" s="78"/>
      <c r="L98" s="78"/>
      <c r="M98" s="78"/>
      <c r="N98" s="78"/>
      <c r="O98" s="78"/>
      <c r="P98" s="78"/>
      <c r="Q98" s="78"/>
      <c r="R98" s="78"/>
      <c r="S98" s="78"/>
      <c r="T98" s="78"/>
      <c r="U98" s="78"/>
      <c r="V98" s="6"/>
      <c r="W98" s="6"/>
      <c r="X98" s="6"/>
      <c r="Y98" s="6"/>
      <c r="Z98" s="6"/>
      <c r="AA98" s="6"/>
      <c r="AB98" s="6"/>
      <c r="AC98"/>
      <c r="AD98"/>
    </row>
    <row r="99" spans="1:30" ht="20.25" thickBot="1" x14ac:dyDescent="0.45">
      <c r="A99" s="91"/>
      <c r="B99" s="78"/>
      <c r="C99" s="78"/>
      <c r="D99" s="78"/>
      <c r="E99" s="91"/>
      <c r="F99" s="91"/>
      <c r="G99" s="91"/>
      <c r="H99" s="78"/>
      <c r="I99" s="78"/>
      <c r="J99" s="78"/>
      <c r="K99" s="78"/>
      <c r="L99" s="78"/>
      <c r="M99" s="78"/>
      <c r="N99" s="78"/>
      <c r="O99" s="78"/>
      <c r="P99" s="78"/>
      <c r="Q99" s="78"/>
      <c r="R99" s="78"/>
      <c r="S99" s="78"/>
      <c r="T99" s="78"/>
      <c r="U99" s="78"/>
      <c r="V99" s="6"/>
      <c r="W99" s="6"/>
      <c r="X99" s="6"/>
      <c r="Y99" s="6"/>
      <c r="Z99" s="6"/>
      <c r="AA99" s="6"/>
      <c r="AB99" s="6"/>
      <c r="AC99"/>
      <c r="AD99"/>
    </row>
    <row r="100" spans="1:30" ht="20.25" thickBot="1" x14ac:dyDescent="0.45">
      <c r="A100" s="91"/>
      <c r="B100" s="78"/>
      <c r="C100" s="78"/>
      <c r="D100" s="78"/>
      <c r="E100" s="91"/>
      <c r="F100" s="91"/>
      <c r="G100" s="91"/>
      <c r="H100" s="78"/>
      <c r="I100" s="78"/>
      <c r="J100" s="78"/>
      <c r="K100" s="78"/>
      <c r="L100" s="78"/>
      <c r="M100" s="78"/>
      <c r="N100" s="78"/>
      <c r="O100" s="78"/>
      <c r="P100" s="78"/>
      <c r="Q100" s="78"/>
      <c r="R100" s="78"/>
      <c r="S100" s="78"/>
      <c r="T100" s="78"/>
      <c r="U100" s="78"/>
      <c r="V100" s="6"/>
      <c r="W100" s="6"/>
      <c r="X100" s="6"/>
      <c r="Y100" s="6"/>
      <c r="Z100" s="6"/>
      <c r="AA100" s="6"/>
      <c r="AB100" s="6"/>
      <c r="AC100"/>
      <c r="AD100"/>
    </row>
    <row r="101" spans="1:30" ht="20.25" thickBot="1" x14ac:dyDescent="0.45">
      <c r="A101" s="91"/>
      <c r="B101" s="78"/>
      <c r="C101" s="78"/>
      <c r="D101" s="78"/>
      <c r="E101" s="91"/>
      <c r="F101" s="91"/>
      <c r="G101" s="91"/>
      <c r="H101" s="78"/>
      <c r="I101" s="78"/>
      <c r="J101" s="78"/>
      <c r="K101" s="78"/>
      <c r="L101" s="78"/>
      <c r="M101" s="78"/>
      <c r="N101" s="78"/>
      <c r="O101" s="78"/>
      <c r="P101" s="78"/>
      <c r="Q101" s="78"/>
      <c r="R101" s="78"/>
      <c r="S101" s="78"/>
      <c r="T101" s="78"/>
      <c r="U101" s="78"/>
      <c r="V101" s="6"/>
      <c r="W101" s="6"/>
      <c r="X101" s="6"/>
      <c r="Y101" s="6"/>
      <c r="Z101" s="6"/>
      <c r="AA101" s="6"/>
      <c r="AB101" s="6"/>
      <c r="AC101"/>
      <c r="AD101"/>
    </row>
    <row r="102" spans="1:30" ht="20.25" thickBot="1" x14ac:dyDescent="0.45">
      <c r="A102" s="91"/>
      <c r="B102" s="78"/>
      <c r="C102" s="78"/>
      <c r="D102" s="78"/>
      <c r="E102" s="91"/>
      <c r="F102" s="91"/>
      <c r="G102" s="91"/>
      <c r="H102" s="78"/>
      <c r="I102" s="78"/>
      <c r="J102" s="78"/>
      <c r="K102" s="78"/>
      <c r="L102" s="78"/>
      <c r="M102" s="78"/>
      <c r="N102" s="78"/>
      <c r="O102" s="78"/>
      <c r="P102" s="78"/>
      <c r="Q102" s="78"/>
      <c r="R102" s="78"/>
      <c r="S102" s="78"/>
      <c r="T102" s="78"/>
      <c r="U102" s="78"/>
      <c r="V102" s="6"/>
      <c r="W102" s="6"/>
      <c r="X102" s="6"/>
      <c r="Y102" s="6"/>
      <c r="Z102" s="6"/>
      <c r="AA102" s="6"/>
      <c r="AB102" s="6"/>
      <c r="AC102"/>
      <c r="AD102"/>
    </row>
    <row r="103" spans="1:30" ht="20.25" thickBot="1" x14ac:dyDescent="0.45">
      <c r="A103" s="91"/>
      <c r="B103" s="78"/>
      <c r="C103" s="78"/>
      <c r="D103" s="78"/>
      <c r="E103" s="91"/>
      <c r="F103" s="91"/>
      <c r="G103" s="91"/>
      <c r="H103" s="78"/>
      <c r="I103" s="78"/>
      <c r="J103" s="78"/>
      <c r="K103" s="78"/>
      <c r="L103" s="78"/>
      <c r="M103" s="78"/>
      <c r="N103" s="78"/>
      <c r="O103" s="78"/>
      <c r="P103" s="78"/>
      <c r="Q103" s="78"/>
      <c r="R103" s="78"/>
      <c r="S103" s="78"/>
      <c r="T103" s="78"/>
      <c r="U103" s="78"/>
      <c r="V103" s="6"/>
      <c r="W103" s="6"/>
      <c r="X103" s="6"/>
      <c r="Y103" s="6"/>
      <c r="Z103" s="6"/>
      <c r="AA103" s="6"/>
      <c r="AB103" s="6"/>
      <c r="AC103"/>
      <c r="AD103"/>
    </row>
    <row r="104" spans="1:30" ht="20.25" thickBot="1" x14ac:dyDescent="0.45">
      <c r="A104" s="91"/>
      <c r="B104" s="78"/>
      <c r="C104" s="78"/>
      <c r="D104" s="78"/>
      <c r="E104" s="91"/>
      <c r="F104" s="91"/>
      <c r="G104" s="91"/>
      <c r="H104" s="78"/>
      <c r="I104" s="78"/>
      <c r="J104" s="78"/>
      <c r="K104" s="78"/>
      <c r="L104" s="78"/>
      <c r="M104" s="78"/>
      <c r="N104" s="78"/>
      <c r="O104" s="78"/>
      <c r="P104" s="78"/>
      <c r="Q104" s="78"/>
      <c r="R104" s="78"/>
      <c r="S104" s="78"/>
      <c r="T104" s="78"/>
      <c r="U104" s="78"/>
      <c r="V104" s="6"/>
      <c r="W104" s="6"/>
      <c r="X104" s="6"/>
      <c r="Y104" s="6"/>
      <c r="Z104" s="6"/>
      <c r="AA104" s="6"/>
      <c r="AB104" s="6"/>
      <c r="AC104"/>
      <c r="AD104"/>
    </row>
    <row r="105" spans="1:30" ht="20.25" thickBot="1" x14ac:dyDescent="0.45">
      <c r="A105" s="91"/>
      <c r="B105" s="78"/>
      <c r="C105" s="78"/>
      <c r="D105" s="78"/>
      <c r="E105" s="91"/>
      <c r="F105" s="91"/>
      <c r="G105" s="91"/>
      <c r="H105" s="78"/>
      <c r="I105" s="78"/>
      <c r="J105" s="78"/>
      <c r="K105" s="78"/>
      <c r="L105" s="78"/>
      <c r="M105" s="78"/>
      <c r="N105" s="78"/>
      <c r="O105" s="78"/>
      <c r="P105" s="78"/>
      <c r="Q105" s="78"/>
      <c r="R105" s="78"/>
      <c r="S105" s="78"/>
      <c r="T105" s="78"/>
      <c r="U105" s="78"/>
      <c r="V105" s="6"/>
      <c r="W105" s="6"/>
      <c r="X105" s="6"/>
      <c r="Y105" s="6"/>
      <c r="Z105" s="6"/>
      <c r="AA105" s="6"/>
      <c r="AB105" s="6"/>
      <c r="AC105"/>
      <c r="AD105"/>
    </row>
    <row r="106" spans="1:30" ht="20.25" thickBot="1" x14ac:dyDescent="0.45">
      <c r="A106" s="91"/>
      <c r="B106" s="78"/>
      <c r="C106" s="78"/>
      <c r="D106" s="78"/>
      <c r="E106" s="91"/>
      <c r="F106" s="91"/>
      <c r="G106" s="91"/>
      <c r="H106" s="78"/>
      <c r="I106" s="78"/>
      <c r="J106" s="78"/>
      <c r="K106" s="78"/>
      <c r="L106" s="78"/>
      <c r="M106" s="78"/>
      <c r="N106" s="78"/>
      <c r="O106" s="78"/>
      <c r="P106" s="78"/>
      <c r="Q106" s="78"/>
      <c r="R106" s="78"/>
      <c r="S106" s="78"/>
      <c r="T106" s="78"/>
      <c r="U106" s="78"/>
      <c r="V106" s="6"/>
      <c r="W106" s="6"/>
      <c r="X106" s="6"/>
      <c r="Y106" s="6"/>
      <c r="Z106" s="6"/>
      <c r="AA106" s="6"/>
      <c r="AB106" s="6"/>
      <c r="AC106"/>
      <c r="AD106"/>
    </row>
    <row r="107" spans="1:30" ht="20.25" thickBot="1" x14ac:dyDescent="0.45">
      <c r="A107" s="91"/>
      <c r="B107" s="78"/>
      <c r="C107" s="78"/>
      <c r="D107" s="78"/>
      <c r="E107" s="91"/>
      <c r="F107" s="91"/>
      <c r="G107" s="91"/>
      <c r="H107" s="78"/>
      <c r="I107" s="78"/>
      <c r="J107" s="78"/>
      <c r="K107" s="78"/>
      <c r="L107" s="78"/>
      <c r="M107" s="78"/>
      <c r="N107" s="78"/>
      <c r="O107" s="78"/>
      <c r="P107" s="78"/>
      <c r="Q107" s="78"/>
      <c r="R107" s="78"/>
      <c r="S107" s="78"/>
      <c r="T107" s="78"/>
      <c r="U107" s="78"/>
      <c r="V107" s="6"/>
      <c r="W107" s="6"/>
      <c r="X107" s="6"/>
      <c r="Y107" s="6"/>
      <c r="Z107" s="6"/>
      <c r="AA107" s="6"/>
      <c r="AB107" s="6"/>
      <c r="AC107"/>
      <c r="AD107"/>
    </row>
    <row r="108" spans="1:30" ht="20.25" thickBot="1" x14ac:dyDescent="0.45">
      <c r="A108" s="91"/>
      <c r="B108" s="78"/>
      <c r="C108" s="78"/>
      <c r="D108" s="78"/>
      <c r="E108" s="91"/>
      <c r="F108" s="91"/>
      <c r="G108" s="91"/>
      <c r="H108" s="78"/>
      <c r="I108" s="78"/>
      <c r="J108" s="78"/>
      <c r="K108" s="78"/>
      <c r="L108" s="78"/>
      <c r="M108" s="78"/>
      <c r="N108" s="78"/>
      <c r="O108" s="78"/>
      <c r="P108" s="78"/>
      <c r="Q108" s="78"/>
      <c r="R108" s="78"/>
      <c r="S108" s="78"/>
      <c r="T108" s="78"/>
      <c r="U108" s="78"/>
      <c r="V108" s="6"/>
      <c r="W108" s="6"/>
      <c r="X108" s="6"/>
      <c r="Y108" s="6"/>
      <c r="Z108" s="6"/>
      <c r="AA108" s="6"/>
      <c r="AB108" s="6"/>
      <c r="AC108"/>
      <c r="AD108"/>
    </row>
    <row r="109" spans="1:30" ht="20.25" thickBot="1" x14ac:dyDescent="0.45">
      <c r="A109" s="91"/>
      <c r="B109" s="78"/>
      <c r="C109" s="78"/>
      <c r="D109" s="78"/>
      <c r="E109" s="91"/>
      <c r="F109" s="91"/>
      <c r="G109" s="91"/>
      <c r="H109" s="78"/>
      <c r="I109" s="78"/>
      <c r="J109" s="78"/>
      <c r="K109" s="78"/>
      <c r="L109" s="78"/>
      <c r="M109" s="78"/>
      <c r="N109" s="78"/>
      <c r="O109" s="78"/>
      <c r="P109" s="78"/>
      <c r="Q109" s="78"/>
      <c r="R109" s="78"/>
      <c r="S109" s="78"/>
      <c r="T109" s="78"/>
      <c r="U109" s="78"/>
      <c r="V109" s="6"/>
      <c r="W109" s="6"/>
      <c r="X109" s="6"/>
      <c r="Y109" s="6"/>
      <c r="Z109" s="6"/>
      <c r="AA109" s="6"/>
      <c r="AB109" s="6"/>
      <c r="AC109"/>
      <c r="AD109"/>
    </row>
    <row r="110" spans="1:30" ht="20.25" thickBot="1" x14ac:dyDescent="0.45">
      <c r="A110" s="91"/>
      <c r="B110" s="78"/>
      <c r="C110" s="78"/>
      <c r="D110" s="78"/>
      <c r="E110" s="91"/>
      <c r="F110" s="91"/>
      <c r="G110" s="91"/>
      <c r="H110" s="78"/>
      <c r="I110" s="78"/>
      <c r="J110" s="78"/>
      <c r="K110" s="78"/>
      <c r="L110" s="78"/>
      <c r="M110" s="78"/>
      <c r="N110" s="78"/>
      <c r="O110" s="78"/>
      <c r="P110" s="78"/>
      <c r="Q110" s="78"/>
      <c r="R110" s="78"/>
      <c r="S110" s="78"/>
      <c r="T110" s="78"/>
      <c r="U110" s="78"/>
      <c r="V110" s="6"/>
      <c r="W110" s="6"/>
      <c r="X110" s="6"/>
      <c r="Y110" s="6"/>
      <c r="Z110" s="6"/>
      <c r="AA110" s="6"/>
      <c r="AB110" s="6"/>
      <c r="AC110"/>
      <c r="AD110"/>
    </row>
    <row r="111" spans="1:30" ht="20.25" thickBot="1" x14ac:dyDescent="0.45">
      <c r="A111" s="91"/>
      <c r="B111" s="78"/>
      <c r="C111" s="78"/>
      <c r="D111" s="78"/>
      <c r="E111" s="91"/>
      <c r="F111" s="91"/>
      <c r="G111" s="91"/>
      <c r="H111" s="78"/>
      <c r="I111" s="78"/>
      <c r="J111" s="78"/>
      <c r="K111" s="78"/>
      <c r="L111" s="78"/>
      <c r="M111" s="78"/>
      <c r="N111" s="78"/>
      <c r="O111" s="78"/>
      <c r="P111" s="78"/>
      <c r="Q111" s="78"/>
      <c r="R111" s="78"/>
      <c r="S111" s="78"/>
      <c r="T111" s="78"/>
      <c r="U111" s="78"/>
      <c r="V111" s="6"/>
      <c r="W111" s="6"/>
      <c r="X111" s="6"/>
      <c r="Y111" s="6"/>
      <c r="Z111" s="6"/>
      <c r="AA111" s="6"/>
      <c r="AB111" s="6"/>
      <c r="AC111"/>
      <c r="AD111"/>
    </row>
    <row r="112" spans="1:30" ht="20.25" thickBot="1" x14ac:dyDescent="0.45">
      <c r="A112" s="91"/>
      <c r="B112" s="78"/>
      <c r="C112" s="78"/>
      <c r="D112" s="78"/>
      <c r="E112" s="91"/>
      <c r="F112" s="91"/>
      <c r="G112" s="91"/>
      <c r="H112" s="78"/>
      <c r="I112" s="78"/>
      <c r="J112" s="78"/>
      <c r="K112" s="78"/>
      <c r="L112" s="78"/>
      <c r="M112" s="78"/>
      <c r="N112" s="78"/>
      <c r="O112" s="78"/>
      <c r="P112" s="78"/>
      <c r="Q112" s="78"/>
      <c r="R112" s="78"/>
      <c r="S112" s="78"/>
      <c r="T112" s="78"/>
      <c r="U112" s="78"/>
      <c r="V112" s="6"/>
      <c r="W112" s="6"/>
      <c r="X112" s="6"/>
      <c r="Y112" s="6"/>
      <c r="Z112" s="6"/>
      <c r="AA112" s="6"/>
      <c r="AB112" s="6"/>
      <c r="AC112"/>
      <c r="AD112"/>
    </row>
    <row r="113" spans="1:30" ht="20.25" thickBot="1" x14ac:dyDescent="0.45">
      <c r="A113" s="91"/>
      <c r="B113" s="78"/>
      <c r="C113" s="78"/>
      <c r="D113" s="78"/>
      <c r="E113" s="91"/>
      <c r="F113" s="91"/>
      <c r="G113" s="91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6"/>
      <c r="W113" s="6"/>
      <c r="X113" s="6"/>
      <c r="Y113" s="6"/>
      <c r="Z113" s="6"/>
      <c r="AA113" s="6"/>
      <c r="AB113" s="6"/>
      <c r="AC113"/>
      <c r="AD113"/>
    </row>
    <row r="114" spans="1:30" ht="20.25" thickBot="1" x14ac:dyDescent="0.45">
      <c r="A114" s="91"/>
      <c r="B114" s="78"/>
      <c r="C114" s="78"/>
      <c r="D114" s="78"/>
      <c r="E114" s="91"/>
      <c r="F114" s="91"/>
      <c r="G114" s="91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6"/>
      <c r="W114" s="6"/>
      <c r="X114" s="6"/>
      <c r="Y114" s="6"/>
      <c r="Z114" s="6"/>
      <c r="AA114" s="6"/>
      <c r="AB114" s="6"/>
      <c r="AC114"/>
      <c r="AD114"/>
    </row>
    <row r="115" spans="1:30" ht="20.25" thickBot="1" x14ac:dyDescent="0.45">
      <c r="A115" s="91"/>
      <c r="B115" s="78"/>
      <c r="C115" s="78"/>
      <c r="D115" s="78"/>
      <c r="E115" s="91"/>
      <c r="F115" s="91"/>
      <c r="G115" s="91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6"/>
      <c r="W115" s="6"/>
      <c r="X115" s="6"/>
      <c r="Y115" s="6"/>
      <c r="Z115" s="6"/>
      <c r="AA115" s="6"/>
      <c r="AB115" s="6"/>
      <c r="AC115"/>
      <c r="AD115"/>
    </row>
    <row r="116" spans="1:30" ht="20.25" thickBot="1" x14ac:dyDescent="0.45">
      <c r="A116" s="91"/>
      <c r="B116" s="78"/>
      <c r="C116" s="78"/>
      <c r="D116" s="78"/>
      <c r="E116" s="91"/>
      <c r="F116" s="91"/>
      <c r="G116" s="91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6"/>
      <c r="W116" s="6"/>
      <c r="X116" s="6"/>
      <c r="Y116" s="6"/>
      <c r="Z116" s="6"/>
      <c r="AA116" s="6"/>
      <c r="AB116" s="6"/>
      <c r="AC116"/>
      <c r="AD116"/>
    </row>
    <row r="117" spans="1:30" ht="20.25" thickBot="1" x14ac:dyDescent="0.45">
      <c r="A117" s="91"/>
      <c r="B117" s="78"/>
      <c r="C117" s="78"/>
      <c r="D117" s="78"/>
      <c r="E117" s="91"/>
      <c r="F117" s="91"/>
      <c r="G117" s="91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6"/>
      <c r="W117" s="6"/>
      <c r="X117" s="6"/>
      <c r="Y117" s="6"/>
      <c r="Z117" s="6"/>
      <c r="AA117" s="6"/>
      <c r="AB117" s="6"/>
      <c r="AC117"/>
      <c r="AD117"/>
    </row>
    <row r="118" spans="1:30" ht="20.25" thickBot="1" x14ac:dyDescent="0.45">
      <c r="A118" s="91"/>
      <c r="B118" s="78"/>
      <c r="C118" s="78"/>
      <c r="D118" s="78"/>
      <c r="E118" s="91"/>
      <c r="F118" s="91"/>
      <c r="G118" s="91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6"/>
      <c r="W118" s="6"/>
      <c r="X118" s="6"/>
      <c r="Y118" s="6"/>
      <c r="Z118" s="6"/>
      <c r="AA118" s="6"/>
      <c r="AB118" s="6"/>
      <c r="AC118"/>
      <c r="AD118"/>
    </row>
    <row r="119" spans="1:30" ht="20.25" thickBot="1" x14ac:dyDescent="0.45">
      <c r="A119" s="91"/>
      <c r="B119" s="78"/>
      <c r="C119" s="78"/>
      <c r="D119" s="78"/>
      <c r="E119" s="91"/>
      <c r="F119" s="91"/>
      <c r="G119" s="91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6"/>
      <c r="W119" s="6"/>
      <c r="X119" s="6"/>
      <c r="Y119" s="6"/>
      <c r="Z119" s="6"/>
      <c r="AA119" s="6"/>
      <c r="AB119" s="6"/>
      <c r="AC119"/>
      <c r="AD119"/>
    </row>
    <row r="120" spans="1:30" ht="20.25" thickBot="1" x14ac:dyDescent="0.45">
      <c r="A120" s="91"/>
      <c r="B120" s="78"/>
      <c r="C120" s="78"/>
      <c r="D120" s="78"/>
      <c r="E120" s="91"/>
      <c r="F120" s="91"/>
      <c r="G120" s="91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6"/>
      <c r="W120" s="6"/>
      <c r="X120" s="6"/>
      <c r="Y120" s="6"/>
      <c r="Z120" s="6"/>
      <c r="AA120" s="6"/>
      <c r="AB120" s="6"/>
      <c r="AC120"/>
      <c r="AD120"/>
    </row>
    <row r="121" spans="1:30" ht="20.25" thickBot="1" x14ac:dyDescent="0.45">
      <c r="A121" s="91"/>
      <c r="B121" s="78"/>
      <c r="C121" s="78"/>
      <c r="D121" s="78"/>
      <c r="E121" s="91"/>
      <c r="F121" s="91"/>
      <c r="G121" s="91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6"/>
      <c r="W121" s="6"/>
      <c r="X121" s="6"/>
      <c r="Y121" s="6"/>
      <c r="Z121" s="6"/>
      <c r="AA121" s="6"/>
      <c r="AB121" s="6"/>
      <c r="AC121"/>
      <c r="AD121"/>
    </row>
    <row r="122" spans="1:30" ht="20.25" thickBot="1" x14ac:dyDescent="0.45">
      <c r="A122" s="91"/>
      <c r="B122" s="78"/>
      <c r="C122" s="78"/>
      <c r="D122" s="78"/>
      <c r="E122" s="91"/>
      <c r="F122" s="91"/>
      <c r="G122" s="91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6"/>
      <c r="W122" s="6"/>
      <c r="X122" s="6"/>
      <c r="Y122" s="6"/>
      <c r="Z122" s="6"/>
      <c r="AA122" s="6"/>
      <c r="AB122" s="6"/>
      <c r="AC122"/>
      <c r="AD122"/>
    </row>
    <row r="123" spans="1:30" ht="20.25" thickBot="1" x14ac:dyDescent="0.45">
      <c r="A123" s="91"/>
      <c r="B123" s="78"/>
      <c r="C123" s="78"/>
      <c r="D123" s="78"/>
      <c r="E123" s="91"/>
      <c r="F123" s="91"/>
      <c r="G123" s="91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6"/>
      <c r="W123" s="6"/>
      <c r="X123" s="6"/>
      <c r="Y123" s="6"/>
      <c r="Z123" s="6"/>
      <c r="AA123" s="6"/>
      <c r="AB123" s="6"/>
      <c r="AC123"/>
      <c r="AD123"/>
    </row>
    <row r="124" spans="1:30" ht="20.25" thickBot="1" x14ac:dyDescent="0.45">
      <c r="A124" s="91"/>
      <c r="B124" s="78"/>
      <c r="C124" s="78"/>
      <c r="D124" s="78"/>
      <c r="E124" s="91"/>
      <c r="F124" s="91"/>
      <c r="G124" s="91"/>
      <c r="H124" s="78"/>
      <c r="I124" s="78"/>
      <c r="J124" s="78"/>
      <c r="K124" s="78"/>
      <c r="L124" s="78"/>
      <c r="M124" s="78"/>
      <c r="N124" s="78"/>
      <c r="O124" s="78"/>
      <c r="P124" s="78"/>
      <c r="Q124" s="78"/>
      <c r="R124" s="78"/>
      <c r="S124" s="78"/>
      <c r="T124" s="78"/>
      <c r="U124" s="78"/>
      <c r="V124" s="6"/>
      <c r="W124" s="6"/>
      <c r="X124" s="6"/>
      <c r="Y124" s="6"/>
      <c r="Z124" s="6"/>
      <c r="AA124" s="6"/>
      <c r="AB124" s="6"/>
      <c r="AC124"/>
      <c r="AD124"/>
    </row>
    <row r="125" spans="1:30" ht="20.25" thickBot="1" x14ac:dyDescent="0.45">
      <c r="A125" s="91"/>
      <c r="B125" s="78"/>
      <c r="C125" s="78"/>
      <c r="D125" s="78"/>
      <c r="E125" s="91"/>
      <c r="F125" s="91"/>
      <c r="G125" s="91"/>
      <c r="H125" s="78"/>
      <c r="I125" s="78"/>
      <c r="J125" s="78"/>
      <c r="K125" s="78"/>
      <c r="L125" s="78"/>
      <c r="M125" s="78"/>
      <c r="N125" s="78"/>
      <c r="O125" s="78"/>
      <c r="P125" s="78"/>
      <c r="Q125" s="78"/>
      <c r="R125" s="78"/>
      <c r="S125" s="78"/>
      <c r="T125" s="78"/>
      <c r="U125" s="78"/>
      <c r="V125" s="6"/>
      <c r="W125" s="6"/>
      <c r="X125" s="6"/>
      <c r="Y125" s="6"/>
      <c r="Z125" s="6"/>
      <c r="AA125" s="6"/>
      <c r="AB125" s="6"/>
      <c r="AC125"/>
      <c r="AD125"/>
    </row>
    <row r="126" spans="1:30" ht="20.25" thickBot="1" x14ac:dyDescent="0.45">
      <c r="A126" s="91"/>
      <c r="B126" s="78"/>
      <c r="C126" s="78"/>
      <c r="D126" s="78"/>
      <c r="E126" s="91"/>
      <c r="F126" s="91"/>
      <c r="G126" s="91"/>
      <c r="H126" s="78"/>
      <c r="I126" s="78"/>
      <c r="J126" s="78"/>
      <c r="K126" s="78"/>
      <c r="L126" s="78"/>
      <c r="M126" s="78"/>
      <c r="N126" s="78"/>
      <c r="O126" s="78"/>
      <c r="P126" s="78"/>
      <c r="Q126" s="78"/>
      <c r="R126" s="78"/>
      <c r="S126" s="78"/>
      <c r="T126" s="78"/>
      <c r="U126" s="78"/>
      <c r="V126" s="6"/>
      <c r="W126" s="6"/>
      <c r="X126" s="6"/>
      <c r="Y126" s="6"/>
      <c r="Z126" s="6"/>
      <c r="AA126" s="6"/>
      <c r="AB126" s="6"/>
      <c r="AC126"/>
      <c r="AD126"/>
    </row>
    <row r="127" spans="1:30" ht="20.25" thickBot="1" x14ac:dyDescent="0.45">
      <c r="A127" s="91"/>
      <c r="B127" s="78"/>
      <c r="C127" s="78"/>
      <c r="D127" s="78"/>
      <c r="E127" s="91"/>
      <c r="F127" s="91"/>
      <c r="G127" s="91"/>
      <c r="H127" s="78"/>
      <c r="I127" s="78"/>
      <c r="J127" s="78"/>
      <c r="K127" s="78"/>
      <c r="L127" s="78"/>
      <c r="M127" s="78"/>
      <c r="N127" s="78"/>
      <c r="O127" s="78"/>
      <c r="P127" s="78"/>
      <c r="Q127" s="78"/>
      <c r="R127" s="78"/>
      <c r="S127" s="78"/>
      <c r="T127" s="78"/>
      <c r="U127" s="78"/>
      <c r="V127" s="6"/>
      <c r="W127" s="6"/>
      <c r="X127" s="6"/>
      <c r="Y127" s="6"/>
      <c r="Z127" s="6"/>
      <c r="AA127" s="6"/>
      <c r="AB127" s="6"/>
      <c r="AC127"/>
      <c r="AD127"/>
    </row>
    <row r="128" spans="1:30" ht="20.25" thickBot="1" x14ac:dyDescent="0.45">
      <c r="A128" s="91"/>
      <c r="B128" s="78"/>
      <c r="C128" s="78"/>
      <c r="D128" s="78"/>
      <c r="E128" s="91"/>
      <c r="F128" s="91"/>
      <c r="G128" s="91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6"/>
      <c r="W128" s="6"/>
      <c r="X128" s="6"/>
      <c r="Y128" s="6"/>
      <c r="Z128" s="6"/>
      <c r="AA128" s="6"/>
      <c r="AB128" s="6"/>
      <c r="AC128"/>
      <c r="AD128"/>
    </row>
    <row r="129" spans="1:30" ht="20.25" thickBot="1" x14ac:dyDescent="0.45">
      <c r="A129" s="91"/>
      <c r="B129" s="78"/>
      <c r="C129" s="78"/>
      <c r="D129" s="78"/>
      <c r="E129" s="91"/>
      <c r="F129" s="91"/>
      <c r="G129" s="91"/>
      <c r="H129" s="78"/>
      <c r="I129" s="78"/>
      <c r="J129" s="78"/>
      <c r="K129" s="78"/>
      <c r="L129" s="78"/>
      <c r="M129" s="78"/>
      <c r="N129" s="78"/>
      <c r="O129" s="78"/>
      <c r="P129" s="78"/>
      <c r="Q129" s="78"/>
      <c r="R129" s="78"/>
      <c r="S129" s="78"/>
      <c r="T129" s="78"/>
      <c r="U129" s="78"/>
      <c r="V129" s="6"/>
      <c r="W129" s="6"/>
      <c r="X129" s="6"/>
      <c r="Y129" s="6"/>
      <c r="Z129" s="6"/>
      <c r="AA129" s="6"/>
      <c r="AB129" s="6"/>
      <c r="AC129"/>
      <c r="AD129"/>
    </row>
    <row r="130" spans="1:30" ht="20.25" thickBot="1" x14ac:dyDescent="0.45">
      <c r="A130" s="91"/>
      <c r="B130" s="78"/>
      <c r="C130" s="78"/>
      <c r="D130" s="78"/>
      <c r="E130" s="91"/>
      <c r="F130" s="91"/>
      <c r="G130" s="91"/>
      <c r="H130" s="78"/>
      <c r="I130" s="78"/>
      <c r="J130" s="78"/>
      <c r="K130" s="78"/>
      <c r="L130" s="78"/>
      <c r="M130" s="78"/>
      <c r="N130" s="78"/>
      <c r="O130" s="78"/>
      <c r="P130" s="78"/>
      <c r="Q130" s="78"/>
      <c r="R130" s="78"/>
      <c r="S130" s="78"/>
      <c r="T130" s="78"/>
      <c r="U130" s="78"/>
      <c r="V130" s="6"/>
      <c r="W130" s="6"/>
      <c r="X130" s="6"/>
      <c r="Y130" s="6"/>
      <c r="Z130" s="6"/>
      <c r="AA130" s="6"/>
      <c r="AB130" s="6"/>
      <c r="AC130"/>
      <c r="AD130"/>
    </row>
    <row r="131" spans="1:30" ht="20.25" thickBot="1" x14ac:dyDescent="0.45">
      <c r="A131" s="91"/>
      <c r="B131" s="78"/>
      <c r="C131" s="78"/>
      <c r="D131" s="78"/>
      <c r="E131" s="91"/>
      <c r="F131" s="91"/>
      <c r="G131" s="91"/>
      <c r="H131" s="78"/>
      <c r="I131" s="78"/>
      <c r="J131" s="78"/>
      <c r="K131" s="78"/>
      <c r="L131" s="78"/>
      <c r="M131" s="78"/>
      <c r="N131" s="78"/>
      <c r="O131" s="78"/>
      <c r="P131" s="78"/>
      <c r="Q131" s="78"/>
      <c r="R131" s="78"/>
      <c r="S131" s="78"/>
      <c r="T131" s="78"/>
      <c r="U131" s="78"/>
      <c r="V131" s="6"/>
      <c r="W131" s="6"/>
      <c r="X131" s="6"/>
      <c r="Y131" s="6"/>
      <c r="Z131" s="6"/>
      <c r="AA131" s="6"/>
      <c r="AB131" s="6"/>
      <c r="AC131"/>
      <c r="AD131"/>
    </row>
    <row r="132" spans="1:30" ht="20.25" thickBot="1" x14ac:dyDescent="0.45">
      <c r="A132" s="91"/>
      <c r="B132" s="78"/>
      <c r="C132" s="78"/>
      <c r="D132" s="78"/>
      <c r="E132" s="91"/>
      <c r="F132" s="91"/>
      <c r="G132" s="91"/>
      <c r="H132" s="78"/>
      <c r="I132" s="78"/>
      <c r="J132" s="78"/>
      <c r="K132" s="78"/>
      <c r="L132" s="78"/>
      <c r="M132" s="78"/>
      <c r="N132" s="78"/>
      <c r="O132" s="78"/>
      <c r="P132" s="78"/>
      <c r="Q132" s="78"/>
      <c r="R132" s="78"/>
      <c r="S132" s="78"/>
      <c r="T132" s="78"/>
      <c r="U132" s="78"/>
      <c r="V132" s="6"/>
      <c r="W132" s="6"/>
      <c r="X132" s="6"/>
      <c r="Y132" s="6"/>
      <c r="Z132" s="6"/>
      <c r="AA132" s="6"/>
      <c r="AB132" s="6"/>
      <c r="AC132"/>
      <c r="AD132"/>
    </row>
    <row r="133" spans="1:30" ht="20.25" thickBot="1" x14ac:dyDescent="0.45">
      <c r="A133" s="91"/>
      <c r="B133" s="78"/>
      <c r="C133" s="78"/>
      <c r="D133" s="78"/>
      <c r="E133" s="91"/>
      <c r="F133" s="91"/>
      <c r="G133" s="91"/>
      <c r="H133" s="78"/>
      <c r="I133" s="78"/>
      <c r="J133" s="78"/>
      <c r="K133" s="78"/>
      <c r="L133" s="78"/>
      <c r="M133" s="78"/>
      <c r="N133" s="78"/>
      <c r="O133" s="78"/>
      <c r="P133" s="78"/>
      <c r="Q133" s="78"/>
      <c r="R133" s="78"/>
      <c r="S133" s="78"/>
      <c r="T133" s="78"/>
      <c r="U133" s="78"/>
      <c r="V133" s="6"/>
      <c r="W133" s="6"/>
      <c r="X133" s="6"/>
      <c r="Y133" s="6"/>
      <c r="Z133" s="6"/>
      <c r="AA133" s="6"/>
      <c r="AB133" s="6"/>
      <c r="AC133"/>
      <c r="AD133"/>
    </row>
    <row r="134" spans="1:30" ht="20.25" thickBot="1" x14ac:dyDescent="0.45">
      <c r="A134" s="91"/>
      <c r="B134" s="78"/>
      <c r="C134" s="78"/>
      <c r="D134" s="78"/>
      <c r="E134" s="91"/>
      <c r="F134" s="91"/>
      <c r="G134" s="91"/>
      <c r="H134" s="78"/>
      <c r="I134" s="78"/>
      <c r="J134" s="78"/>
      <c r="K134" s="78"/>
      <c r="L134" s="78"/>
      <c r="M134" s="78"/>
      <c r="N134" s="78"/>
      <c r="O134" s="78"/>
      <c r="P134" s="78"/>
      <c r="Q134" s="78"/>
      <c r="R134" s="78"/>
      <c r="S134" s="78"/>
      <c r="T134" s="78"/>
      <c r="U134" s="78"/>
      <c r="V134" s="6"/>
      <c r="W134" s="6"/>
      <c r="X134" s="6"/>
      <c r="Y134" s="6"/>
      <c r="Z134" s="6"/>
      <c r="AA134" s="6"/>
      <c r="AB134" s="6"/>
      <c r="AC134"/>
      <c r="AD134"/>
    </row>
    <row r="135" spans="1:30" ht="20.25" thickBot="1" x14ac:dyDescent="0.45">
      <c r="A135" s="91"/>
      <c r="B135" s="78"/>
      <c r="C135" s="78"/>
      <c r="D135" s="78"/>
      <c r="E135" s="91"/>
      <c r="F135" s="91"/>
      <c r="G135" s="91"/>
      <c r="H135" s="78"/>
      <c r="I135" s="78"/>
      <c r="J135" s="78"/>
      <c r="K135" s="78"/>
      <c r="L135" s="78"/>
      <c r="M135" s="78"/>
      <c r="N135" s="78"/>
      <c r="O135" s="78"/>
      <c r="P135" s="78"/>
      <c r="Q135" s="78"/>
      <c r="R135" s="78"/>
      <c r="S135" s="78"/>
      <c r="T135" s="78"/>
      <c r="U135" s="78"/>
      <c r="V135" s="6"/>
      <c r="W135" s="6"/>
      <c r="X135" s="6"/>
      <c r="Y135" s="6"/>
      <c r="Z135" s="6"/>
      <c r="AA135" s="6"/>
      <c r="AB135" s="6"/>
      <c r="AC135"/>
      <c r="AD135"/>
    </row>
    <row r="136" spans="1:30" ht="20.25" thickBot="1" x14ac:dyDescent="0.45">
      <c r="A136" s="91"/>
      <c r="B136" s="78"/>
      <c r="C136" s="78"/>
      <c r="D136" s="78"/>
      <c r="E136" s="91"/>
      <c r="F136" s="91"/>
      <c r="G136" s="91"/>
      <c r="H136" s="78"/>
      <c r="I136" s="78"/>
      <c r="J136" s="78"/>
      <c r="K136" s="78"/>
      <c r="L136" s="78"/>
      <c r="M136" s="78"/>
      <c r="N136" s="78"/>
      <c r="O136" s="78"/>
      <c r="P136" s="78"/>
      <c r="Q136" s="78"/>
      <c r="R136" s="78"/>
      <c r="S136" s="78"/>
      <c r="T136" s="78"/>
      <c r="U136" s="78"/>
      <c r="V136" s="6"/>
      <c r="W136" s="6"/>
      <c r="X136" s="6"/>
      <c r="Y136" s="6"/>
      <c r="Z136" s="6"/>
      <c r="AA136" s="6"/>
      <c r="AB136" s="6"/>
      <c r="AC136"/>
      <c r="AD136"/>
    </row>
    <row r="137" spans="1:30" ht="20.25" thickBot="1" x14ac:dyDescent="0.45">
      <c r="A137" s="91"/>
      <c r="B137" s="78"/>
      <c r="C137" s="78"/>
      <c r="D137" s="78"/>
      <c r="E137" s="91"/>
      <c r="F137" s="91"/>
      <c r="G137" s="91"/>
      <c r="H137" s="78"/>
      <c r="I137" s="78"/>
      <c r="J137" s="78"/>
      <c r="K137" s="78"/>
      <c r="L137" s="78"/>
      <c r="M137" s="78"/>
      <c r="N137" s="78"/>
      <c r="O137" s="78"/>
      <c r="P137" s="78"/>
      <c r="Q137" s="78"/>
      <c r="R137" s="78"/>
      <c r="S137" s="78"/>
      <c r="T137" s="78"/>
      <c r="U137" s="78"/>
      <c r="V137" s="6"/>
      <c r="W137" s="6"/>
      <c r="X137" s="6"/>
      <c r="Y137" s="6"/>
      <c r="Z137" s="6"/>
      <c r="AA137" s="6"/>
      <c r="AB137" s="6"/>
      <c r="AC137"/>
      <c r="AD137"/>
    </row>
    <row r="138" spans="1:30" ht="20.25" thickBot="1" x14ac:dyDescent="0.45">
      <c r="A138" s="91"/>
      <c r="B138" s="78"/>
      <c r="C138" s="78"/>
      <c r="D138" s="78"/>
      <c r="E138" s="91"/>
      <c r="F138" s="91"/>
      <c r="G138" s="91"/>
      <c r="H138" s="78"/>
      <c r="I138" s="78"/>
      <c r="J138" s="78"/>
      <c r="K138" s="78"/>
      <c r="L138" s="78"/>
      <c r="M138" s="78"/>
      <c r="N138" s="78"/>
      <c r="O138" s="78"/>
      <c r="P138" s="78"/>
      <c r="Q138" s="78"/>
      <c r="R138" s="78"/>
      <c r="S138" s="78"/>
      <c r="T138" s="78"/>
      <c r="U138" s="78"/>
      <c r="V138" s="6"/>
      <c r="W138" s="6"/>
      <c r="X138" s="6"/>
      <c r="Y138" s="6"/>
      <c r="Z138" s="6"/>
      <c r="AA138" s="6"/>
      <c r="AB138" s="6"/>
      <c r="AC138"/>
      <c r="AD138"/>
    </row>
    <row r="139" spans="1:30" ht="20.25" thickBot="1" x14ac:dyDescent="0.45">
      <c r="A139" s="91"/>
      <c r="B139" s="78"/>
      <c r="C139" s="78"/>
      <c r="D139" s="78"/>
      <c r="E139" s="91"/>
      <c r="F139" s="91"/>
      <c r="G139" s="91"/>
      <c r="H139" s="78"/>
      <c r="I139" s="78"/>
      <c r="J139" s="78"/>
      <c r="K139" s="78"/>
      <c r="L139" s="78"/>
      <c r="M139" s="78"/>
      <c r="N139" s="78"/>
      <c r="O139" s="78"/>
      <c r="P139" s="78"/>
      <c r="Q139" s="78"/>
      <c r="R139" s="78"/>
      <c r="S139" s="78"/>
      <c r="T139" s="78"/>
      <c r="U139" s="78"/>
      <c r="V139" s="6"/>
      <c r="W139" s="6"/>
      <c r="X139" s="6"/>
      <c r="Y139" s="6"/>
      <c r="Z139" s="6"/>
      <c r="AA139" s="6"/>
      <c r="AB139" s="6"/>
      <c r="AC139"/>
      <c r="AD139"/>
    </row>
    <row r="140" spans="1:30" ht="20.25" thickBot="1" x14ac:dyDescent="0.45">
      <c r="A140" s="91"/>
      <c r="B140" s="78"/>
      <c r="C140" s="78"/>
      <c r="D140" s="78"/>
      <c r="E140" s="91"/>
      <c r="F140" s="91"/>
      <c r="G140" s="91"/>
      <c r="H140" s="78"/>
      <c r="I140" s="78"/>
      <c r="J140" s="78"/>
      <c r="K140" s="78"/>
      <c r="L140" s="78"/>
      <c r="M140" s="78"/>
      <c r="N140" s="78"/>
      <c r="O140" s="78"/>
      <c r="P140" s="78"/>
      <c r="Q140" s="78"/>
      <c r="R140" s="78"/>
      <c r="S140" s="78"/>
      <c r="T140" s="78"/>
      <c r="U140" s="78"/>
      <c r="V140" s="6"/>
      <c r="W140" s="6"/>
      <c r="X140" s="6"/>
      <c r="Y140" s="6"/>
      <c r="Z140" s="6"/>
      <c r="AA140" s="6"/>
      <c r="AB140" s="6"/>
      <c r="AC140"/>
      <c r="AD140"/>
    </row>
    <row r="141" spans="1:30" ht="20.25" thickBot="1" x14ac:dyDescent="0.45">
      <c r="A141" s="91"/>
      <c r="B141" s="78"/>
      <c r="C141" s="78"/>
      <c r="D141" s="78"/>
      <c r="E141" s="91"/>
      <c r="F141" s="91"/>
      <c r="G141" s="91"/>
      <c r="H141" s="78"/>
      <c r="I141" s="78"/>
      <c r="J141" s="78"/>
      <c r="K141" s="78"/>
      <c r="L141" s="78"/>
      <c r="M141" s="78"/>
      <c r="N141" s="78"/>
      <c r="O141" s="78"/>
      <c r="P141" s="78"/>
      <c r="Q141" s="78"/>
      <c r="R141" s="78"/>
      <c r="S141" s="78"/>
      <c r="T141" s="78"/>
      <c r="U141" s="78"/>
      <c r="V141" s="6"/>
      <c r="W141" s="6"/>
      <c r="X141" s="6"/>
      <c r="Y141" s="6"/>
      <c r="Z141" s="6"/>
      <c r="AA141" s="6"/>
      <c r="AB141" s="6"/>
      <c r="AC141"/>
      <c r="AD141"/>
    </row>
    <row r="142" spans="1:30" ht="20.25" thickBot="1" x14ac:dyDescent="0.45">
      <c r="A142" s="91"/>
      <c r="B142" s="78"/>
      <c r="C142" s="78"/>
      <c r="D142" s="78"/>
      <c r="E142" s="91"/>
      <c r="F142" s="91"/>
      <c r="G142" s="91"/>
      <c r="H142" s="78"/>
      <c r="I142" s="78"/>
      <c r="J142" s="78"/>
      <c r="K142" s="78"/>
      <c r="L142" s="78"/>
      <c r="M142" s="78"/>
      <c r="N142" s="78"/>
      <c r="O142" s="78"/>
      <c r="P142" s="78"/>
      <c r="Q142" s="78"/>
      <c r="R142" s="78"/>
      <c r="S142" s="78"/>
      <c r="T142" s="78"/>
      <c r="U142" s="78"/>
      <c r="V142" s="6"/>
      <c r="W142" s="6"/>
      <c r="X142" s="6"/>
      <c r="Y142" s="6"/>
      <c r="Z142" s="6"/>
      <c r="AA142" s="6"/>
      <c r="AB142" s="6"/>
      <c r="AC142"/>
      <c r="AD142"/>
    </row>
    <row r="143" spans="1:30" ht="20.25" thickBot="1" x14ac:dyDescent="0.45">
      <c r="A143" s="91"/>
      <c r="B143" s="78"/>
      <c r="C143" s="78"/>
      <c r="D143" s="78"/>
      <c r="E143" s="91"/>
      <c r="F143" s="91"/>
      <c r="G143" s="91"/>
      <c r="H143" s="78"/>
      <c r="I143" s="78"/>
      <c r="J143" s="78"/>
      <c r="K143" s="78"/>
      <c r="L143" s="78"/>
      <c r="M143" s="78"/>
      <c r="N143" s="78"/>
      <c r="O143" s="78"/>
      <c r="P143" s="78"/>
      <c r="Q143" s="78"/>
      <c r="R143" s="78"/>
      <c r="S143" s="78"/>
      <c r="T143" s="78"/>
      <c r="U143" s="78"/>
      <c r="V143" s="6"/>
      <c r="W143" s="6"/>
      <c r="X143" s="6"/>
      <c r="Y143" s="6"/>
      <c r="Z143" s="6"/>
      <c r="AA143" s="6"/>
      <c r="AB143" s="6"/>
      <c r="AC143"/>
      <c r="AD143"/>
    </row>
    <row r="144" spans="1:30" ht="20.25" thickBot="1" x14ac:dyDescent="0.45">
      <c r="A144" s="91"/>
      <c r="B144" s="78"/>
      <c r="C144" s="78"/>
      <c r="D144" s="78"/>
      <c r="E144" s="91"/>
      <c r="F144" s="91"/>
      <c r="G144" s="91"/>
      <c r="H144" s="78"/>
      <c r="I144" s="78"/>
      <c r="J144" s="78"/>
      <c r="K144" s="78"/>
      <c r="L144" s="78"/>
      <c r="M144" s="78"/>
      <c r="N144" s="78"/>
      <c r="O144" s="78"/>
      <c r="P144" s="78"/>
      <c r="Q144" s="78"/>
      <c r="R144" s="78"/>
      <c r="S144" s="78"/>
      <c r="T144" s="78"/>
      <c r="U144" s="78"/>
      <c r="V144" s="6"/>
      <c r="W144" s="6"/>
      <c r="X144" s="6"/>
      <c r="Y144" s="6"/>
      <c r="Z144" s="6"/>
      <c r="AA144" s="6"/>
      <c r="AB144" s="6"/>
      <c r="AC144"/>
      <c r="AD144"/>
    </row>
    <row r="145" spans="1:30" ht="20.25" thickBot="1" x14ac:dyDescent="0.45">
      <c r="A145" s="91"/>
      <c r="B145" s="78"/>
      <c r="C145" s="78"/>
      <c r="D145" s="78"/>
      <c r="E145" s="91"/>
      <c r="F145" s="91"/>
      <c r="G145" s="91"/>
      <c r="H145" s="78"/>
      <c r="I145" s="78"/>
      <c r="J145" s="78"/>
      <c r="K145" s="78"/>
      <c r="L145" s="78"/>
      <c r="M145" s="78"/>
      <c r="N145" s="78"/>
      <c r="O145" s="78"/>
      <c r="P145" s="78"/>
      <c r="Q145" s="78"/>
      <c r="R145" s="78"/>
      <c r="S145" s="78"/>
      <c r="T145" s="78"/>
      <c r="U145" s="78"/>
      <c r="V145" s="6"/>
      <c r="W145" s="6"/>
      <c r="X145" s="6"/>
      <c r="Y145" s="6"/>
      <c r="Z145" s="6"/>
      <c r="AA145" s="6"/>
      <c r="AB145" s="6"/>
      <c r="AC145"/>
      <c r="AD145"/>
    </row>
    <row r="146" spans="1:30" ht="20.25" thickBot="1" x14ac:dyDescent="0.45">
      <c r="A146" s="91"/>
      <c r="B146" s="78"/>
      <c r="C146" s="78"/>
      <c r="D146" s="78"/>
      <c r="E146" s="91"/>
      <c r="F146" s="91"/>
      <c r="G146" s="91"/>
      <c r="H146" s="78"/>
      <c r="I146" s="78"/>
      <c r="J146" s="78"/>
      <c r="K146" s="78"/>
      <c r="L146" s="78"/>
      <c r="M146" s="78"/>
      <c r="N146" s="78"/>
      <c r="O146" s="78"/>
      <c r="P146" s="78"/>
      <c r="Q146" s="78"/>
      <c r="R146" s="78"/>
      <c r="S146" s="78"/>
      <c r="T146" s="78"/>
      <c r="U146" s="78"/>
      <c r="V146" s="6"/>
      <c r="W146" s="6"/>
      <c r="X146" s="6"/>
      <c r="Y146" s="6"/>
      <c r="Z146" s="6"/>
      <c r="AA146" s="6"/>
      <c r="AB146" s="6"/>
      <c r="AC146"/>
      <c r="AD146"/>
    </row>
    <row r="147" spans="1:30" ht="20.25" thickBot="1" x14ac:dyDescent="0.45">
      <c r="A147" s="91"/>
      <c r="B147" s="78"/>
      <c r="C147" s="78"/>
      <c r="D147" s="78"/>
      <c r="E147" s="91"/>
      <c r="F147" s="91"/>
      <c r="G147" s="91"/>
      <c r="H147" s="78"/>
      <c r="I147" s="78"/>
      <c r="J147" s="78"/>
      <c r="K147" s="78"/>
      <c r="L147" s="78"/>
      <c r="M147" s="78"/>
      <c r="N147" s="78"/>
      <c r="O147" s="78"/>
      <c r="P147" s="78"/>
      <c r="Q147" s="78"/>
      <c r="R147" s="78"/>
      <c r="S147" s="78"/>
      <c r="T147" s="78"/>
      <c r="U147" s="78"/>
      <c r="V147" s="6"/>
      <c r="W147" s="6"/>
      <c r="X147" s="6"/>
      <c r="Y147" s="6"/>
      <c r="Z147" s="6"/>
      <c r="AA147" s="6"/>
      <c r="AB147" s="6"/>
      <c r="AC147"/>
      <c r="AD147"/>
    </row>
    <row r="148" spans="1:30" ht="20.25" thickBot="1" x14ac:dyDescent="0.45">
      <c r="A148" s="91"/>
      <c r="B148" s="78"/>
      <c r="C148" s="78"/>
      <c r="D148" s="78"/>
      <c r="E148" s="91"/>
      <c r="F148" s="91"/>
      <c r="G148" s="91"/>
      <c r="H148" s="78"/>
      <c r="I148" s="78"/>
      <c r="J148" s="78"/>
      <c r="K148" s="78"/>
      <c r="L148" s="78"/>
      <c r="M148" s="78"/>
      <c r="N148" s="78"/>
      <c r="O148" s="78"/>
      <c r="P148" s="78"/>
      <c r="Q148" s="78"/>
      <c r="R148" s="78"/>
      <c r="S148" s="78"/>
      <c r="T148" s="78"/>
      <c r="U148" s="78"/>
      <c r="V148" s="6"/>
      <c r="W148" s="6"/>
      <c r="X148" s="6"/>
      <c r="Y148" s="6"/>
      <c r="Z148" s="6"/>
      <c r="AA148" s="6"/>
      <c r="AB148" s="6"/>
      <c r="AC148"/>
      <c r="AD148"/>
    </row>
    <row r="149" spans="1:30" ht="20.25" thickBot="1" x14ac:dyDescent="0.45">
      <c r="A149" s="91"/>
      <c r="B149" s="78"/>
      <c r="C149" s="78"/>
      <c r="D149" s="78"/>
      <c r="E149" s="91"/>
      <c r="F149" s="91"/>
      <c r="G149" s="91"/>
      <c r="H149" s="78"/>
      <c r="I149" s="78"/>
      <c r="J149" s="78"/>
      <c r="K149" s="78"/>
      <c r="L149" s="78"/>
      <c r="M149" s="78"/>
      <c r="N149" s="78"/>
      <c r="O149" s="78"/>
      <c r="P149" s="78"/>
      <c r="Q149" s="78"/>
      <c r="R149" s="78"/>
      <c r="S149" s="78"/>
      <c r="T149" s="78"/>
      <c r="U149" s="78"/>
      <c r="V149" s="6"/>
      <c r="W149" s="6"/>
      <c r="X149" s="6"/>
      <c r="Y149" s="6"/>
      <c r="Z149" s="6"/>
      <c r="AA149" s="6"/>
      <c r="AB149" s="6"/>
      <c r="AC149"/>
      <c r="AD149"/>
    </row>
    <row r="150" spans="1:30" ht="20.25" thickBot="1" x14ac:dyDescent="0.45">
      <c r="A150" s="91"/>
      <c r="B150" s="78"/>
      <c r="C150" s="78"/>
      <c r="D150" s="78"/>
      <c r="E150" s="91"/>
      <c r="F150" s="91"/>
      <c r="G150" s="91"/>
      <c r="H150" s="78"/>
      <c r="I150" s="78"/>
      <c r="J150" s="78"/>
      <c r="K150" s="78"/>
      <c r="L150" s="78"/>
      <c r="M150" s="78"/>
      <c r="N150" s="78"/>
      <c r="O150" s="78"/>
      <c r="P150" s="78"/>
      <c r="Q150" s="78"/>
      <c r="R150" s="78"/>
      <c r="S150" s="78"/>
      <c r="T150" s="78"/>
      <c r="U150" s="78"/>
      <c r="V150" s="6"/>
      <c r="W150" s="6"/>
      <c r="X150" s="6"/>
      <c r="Y150" s="6"/>
      <c r="Z150" s="6"/>
      <c r="AA150" s="6"/>
      <c r="AB150" s="6"/>
      <c r="AC150"/>
      <c r="AD150"/>
    </row>
    <row r="151" spans="1:30" ht="20.25" thickBot="1" x14ac:dyDescent="0.45">
      <c r="A151" s="91"/>
      <c r="B151" s="78"/>
      <c r="C151" s="78"/>
      <c r="D151" s="78"/>
      <c r="E151" s="91"/>
      <c r="F151" s="91"/>
      <c r="G151" s="91"/>
      <c r="H151" s="78"/>
      <c r="I151" s="78"/>
      <c r="J151" s="78"/>
      <c r="K151" s="78"/>
      <c r="L151" s="78"/>
      <c r="M151" s="78"/>
      <c r="N151" s="78"/>
      <c r="O151" s="78"/>
      <c r="P151" s="78"/>
      <c r="Q151" s="78"/>
      <c r="R151" s="78"/>
      <c r="S151" s="78"/>
      <c r="T151" s="78"/>
      <c r="U151" s="78"/>
      <c r="V151" s="6"/>
      <c r="W151" s="6"/>
      <c r="X151" s="6"/>
      <c r="Y151" s="6"/>
      <c r="Z151" s="6"/>
      <c r="AA151" s="6"/>
      <c r="AB151" s="6"/>
      <c r="AC151"/>
      <c r="AD151"/>
    </row>
    <row r="152" spans="1:30" ht="20.25" thickBot="1" x14ac:dyDescent="0.45">
      <c r="A152" s="91"/>
      <c r="B152" s="78"/>
      <c r="C152" s="78"/>
      <c r="D152" s="78"/>
      <c r="E152" s="91"/>
      <c r="F152" s="91"/>
      <c r="G152" s="91"/>
      <c r="H152" s="78"/>
      <c r="I152" s="78"/>
      <c r="J152" s="78"/>
      <c r="K152" s="78"/>
      <c r="L152" s="78"/>
      <c r="M152" s="78"/>
      <c r="N152" s="78"/>
      <c r="O152" s="78"/>
      <c r="P152" s="78"/>
      <c r="Q152" s="78"/>
      <c r="R152" s="78"/>
      <c r="S152" s="78"/>
      <c r="T152" s="78"/>
      <c r="U152" s="78"/>
      <c r="V152" s="6"/>
      <c r="W152" s="6"/>
      <c r="X152" s="6"/>
      <c r="Y152" s="6"/>
      <c r="Z152" s="6"/>
      <c r="AA152" s="6"/>
      <c r="AB152" s="6"/>
      <c r="AC152"/>
      <c r="AD152"/>
    </row>
    <row r="153" spans="1:30" ht="20.25" thickBot="1" x14ac:dyDescent="0.45">
      <c r="A153" s="91"/>
      <c r="B153" s="78"/>
      <c r="C153" s="78"/>
      <c r="D153" s="78"/>
      <c r="E153" s="91"/>
      <c r="F153" s="91"/>
      <c r="G153" s="91"/>
      <c r="H153" s="78"/>
      <c r="I153" s="78"/>
      <c r="J153" s="78"/>
      <c r="K153" s="78"/>
      <c r="L153" s="78"/>
      <c r="M153" s="78"/>
      <c r="N153" s="78"/>
      <c r="O153" s="78"/>
      <c r="P153" s="78"/>
      <c r="Q153" s="78"/>
      <c r="R153" s="78"/>
      <c r="S153" s="78"/>
      <c r="T153" s="78"/>
      <c r="U153" s="78"/>
      <c r="V153" s="6"/>
      <c r="W153" s="6"/>
      <c r="X153" s="6"/>
      <c r="Y153" s="6"/>
      <c r="Z153" s="6"/>
      <c r="AA153" s="6"/>
      <c r="AB153" s="6"/>
      <c r="AC153"/>
      <c r="AD153"/>
    </row>
    <row r="154" spans="1:30" ht="20.25" thickBot="1" x14ac:dyDescent="0.45">
      <c r="A154" s="91"/>
      <c r="B154" s="78"/>
      <c r="C154" s="78"/>
      <c r="D154" s="78"/>
      <c r="E154" s="91"/>
      <c r="F154" s="91"/>
      <c r="G154" s="91"/>
      <c r="H154" s="78"/>
      <c r="I154" s="78"/>
      <c r="J154" s="78"/>
      <c r="K154" s="78"/>
      <c r="L154" s="78"/>
      <c r="M154" s="78"/>
      <c r="N154" s="78"/>
      <c r="O154" s="78"/>
      <c r="P154" s="78"/>
      <c r="Q154" s="78"/>
      <c r="R154" s="78"/>
      <c r="S154" s="78"/>
      <c r="T154" s="78"/>
      <c r="U154" s="78"/>
      <c r="V154" s="6"/>
      <c r="W154" s="6"/>
      <c r="X154" s="6"/>
      <c r="Y154" s="6"/>
      <c r="Z154" s="6"/>
      <c r="AA154" s="6"/>
      <c r="AB154" s="6"/>
      <c r="AC154"/>
      <c r="AD154"/>
    </row>
    <row r="155" spans="1:30" ht="20.25" thickBot="1" x14ac:dyDescent="0.45">
      <c r="A155" s="91"/>
      <c r="B155" s="78"/>
      <c r="C155" s="78"/>
      <c r="D155" s="78"/>
      <c r="E155" s="91"/>
      <c r="F155" s="91"/>
      <c r="G155" s="91"/>
      <c r="H155" s="78"/>
      <c r="I155" s="78"/>
      <c r="J155" s="78"/>
      <c r="K155" s="78"/>
      <c r="L155" s="78"/>
      <c r="M155" s="78"/>
      <c r="N155" s="78"/>
      <c r="O155" s="78"/>
      <c r="P155" s="78"/>
      <c r="Q155" s="78"/>
      <c r="R155" s="78"/>
      <c r="S155" s="78"/>
      <c r="T155" s="78"/>
      <c r="U155" s="78"/>
      <c r="V155" s="6"/>
      <c r="W155" s="6"/>
      <c r="X155" s="6"/>
      <c r="Y155" s="6"/>
      <c r="Z155" s="6"/>
      <c r="AA155" s="6"/>
      <c r="AB155" s="6"/>
      <c r="AC155"/>
      <c r="AD155"/>
    </row>
    <row r="156" spans="1:30" ht="20.25" thickBot="1" x14ac:dyDescent="0.45">
      <c r="A156" s="91"/>
      <c r="B156" s="78"/>
      <c r="C156" s="78"/>
      <c r="D156" s="78"/>
      <c r="E156" s="91"/>
      <c r="F156" s="91"/>
      <c r="G156" s="91"/>
      <c r="H156" s="78"/>
      <c r="I156" s="78"/>
      <c r="J156" s="78"/>
      <c r="K156" s="78"/>
      <c r="L156" s="78"/>
      <c r="M156" s="78"/>
      <c r="N156" s="78"/>
      <c r="O156" s="78"/>
      <c r="P156" s="78"/>
      <c r="Q156" s="78"/>
      <c r="R156" s="78"/>
      <c r="S156" s="78"/>
      <c r="T156" s="78"/>
      <c r="U156" s="78"/>
      <c r="V156" s="6"/>
      <c r="W156" s="6"/>
      <c r="X156" s="6"/>
      <c r="Y156" s="6"/>
      <c r="Z156" s="6"/>
      <c r="AA156" s="6"/>
      <c r="AB156" s="6"/>
      <c r="AC156"/>
      <c r="AD156"/>
    </row>
    <row r="157" spans="1:30" ht="20.25" thickBot="1" x14ac:dyDescent="0.45">
      <c r="A157" s="91"/>
      <c r="B157" s="78"/>
      <c r="C157" s="78"/>
      <c r="D157" s="78"/>
      <c r="E157" s="91"/>
      <c r="F157" s="91"/>
      <c r="G157" s="91"/>
      <c r="H157" s="78"/>
      <c r="I157" s="78"/>
      <c r="J157" s="78"/>
      <c r="K157" s="78"/>
      <c r="L157" s="78"/>
      <c r="M157" s="78"/>
      <c r="N157" s="78"/>
      <c r="O157" s="78"/>
      <c r="P157" s="78"/>
      <c r="Q157" s="78"/>
      <c r="R157" s="78"/>
      <c r="S157" s="78"/>
      <c r="T157" s="78"/>
      <c r="U157" s="78"/>
      <c r="V157" s="6"/>
      <c r="W157" s="6"/>
      <c r="X157" s="6"/>
      <c r="Y157" s="6"/>
      <c r="Z157" s="6"/>
      <c r="AA157" s="6"/>
      <c r="AB157" s="6"/>
      <c r="AC157"/>
      <c r="AD157"/>
    </row>
    <row r="158" spans="1:30" ht="20.25" thickBot="1" x14ac:dyDescent="0.45">
      <c r="A158" s="91"/>
      <c r="B158" s="78"/>
      <c r="C158" s="78"/>
      <c r="D158" s="78"/>
      <c r="E158" s="91"/>
      <c r="F158" s="91"/>
      <c r="G158" s="91"/>
      <c r="H158" s="78"/>
      <c r="I158" s="78"/>
      <c r="J158" s="78"/>
      <c r="K158" s="78"/>
      <c r="L158" s="78"/>
      <c r="M158" s="78"/>
      <c r="N158" s="78"/>
      <c r="O158" s="78"/>
      <c r="P158" s="78"/>
      <c r="Q158" s="78"/>
      <c r="R158" s="78"/>
      <c r="S158" s="78"/>
      <c r="T158" s="78"/>
      <c r="U158" s="78"/>
      <c r="V158" s="6"/>
      <c r="W158" s="6"/>
      <c r="X158" s="6"/>
      <c r="Y158" s="6"/>
      <c r="Z158" s="6"/>
      <c r="AA158" s="6"/>
      <c r="AB158" s="6"/>
      <c r="AC158"/>
      <c r="AD158"/>
    </row>
    <row r="159" spans="1:30" ht="20.25" thickBot="1" x14ac:dyDescent="0.45">
      <c r="A159" s="91"/>
      <c r="B159" s="78"/>
      <c r="C159" s="78"/>
      <c r="D159" s="78"/>
      <c r="E159" s="91"/>
      <c r="F159" s="91"/>
      <c r="G159" s="91"/>
      <c r="H159" s="78"/>
      <c r="I159" s="78"/>
      <c r="J159" s="78"/>
      <c r="K159" s="78"/>
      <c r="L159" s="78"/>
      <c r="M159" s="78"/>
      <c r="N159" s="78"/>
      <c r="O159" s="78"/>
      <c r="P159" s="78"/>
      <c r="Q159" s="78"/>
      <c r="R159" s="78"/>
      <c r="S159" s="78"/>
      <c r="T159" s="78"/>
      <c r="U159" s="78"/>
      <c r="V159" s="6"/>
      <c r="W159" s="6"/>
      <c r="X159" s="6"/>
      <c r="Y159" s="6"/>
      <c r="Z159" s="6"/>
      <c r="AA159" s="6"/>
      <c r="AB159" s="6"/>
      <c r="AC159"/>
      <c r="AD159"/>
    </row>
    <row r="160" spans="1:30" ht="20.25" thickBot="1" x14ac:dyDescent="0.45">
      <c r="A160" s="91"/>
      <c r="B160" s="78"/>
      <c r="C160" s="78"/>
      <c r="D160" s="78"/>
      <c r="E160" s="91"/>
      <c r="F160" s="91"/>
      <c r="G160" s="91"/>
      <c r="H160" s="78"/>
      <c r="I160" s="78"/>
      <c r="J160" s="78"/>
      <c r="K160" s="78"/>
      <c r="L160" s="78"/>
      <c r="M160" s="78"/>
      <c r="N160" s="78"/>
      <c r="O160" s="78"/>
      <c r="P160" s="78"/>
      <c r="Q160" s="78"/>
      <c r="R160" s="78"/>
      <c r="S160" s="78"/>
      <c r="T160" s="78"/>
      <c r="U160" s="78"/>
      <c r="V160" s="6"/>
      <c r="W160" s="6"/>
      <c r="X160" s="6"/>
      <c r="Y160" s="6"/>
      <c r="Z160" s="6"/>
      <c r="AA160" s="6"/>
      <c r="AB160" s="6"/>
      <c r="AC160"/>
      <c r="AD160"/>
    </row>
    <row r="161" spans="1:30" ht="20.25" thickBot="1" x14ac:dyDescent="0.45">
      <c r="A161" s="91"/>
      <c r="B161" s="78"/>
      <c r="C161" s="78"/>
      <c r="D161" s="78"/>
      <c r="E161" s="91"/>
      <c r="F161" s="91"/>
      <c r="G161" s="91"/>
      <c r="H161" s="78"/>
      <c r="I161" s="78"/>
      <c r="J161" s="78"/>
      <c r="K161" s="78"/>
      <c r="L161" s="78"/>
      <c r="M161" s="78"/>
      <c r="N161" s="78"/>
      <c r="O161" s="78"/>
      <c r="P161" s="78"/>
      <c r="Q161" s="78"/>
      <c r="R161" s="78"/>
      <c r="S161" s="78"/>
      <c r="T161" s="78"/>
      <c r="U161" s="78"/>
      <c r="V161" s="6"/>
      <c r="W161" s="6"/>
      <c r="X161" s="6"/>
      <c r="Y161" s="6"/>
      <c r="Z161" s="6"/>
      <c r="AA161" s="6"/>
      <c r="AB161" s="6"/>
      <c r="AC161"/>
      <c r="AD161"/>
    </row>
    <row r="162" spans="1:30" ht="20.25" thickBot="1" x14ac:dyDescent="0.45">
      <c r="A162" s="91"/>
      <c r="B162" s="78"/>
      <c r="C162" s="78"/>
      <c r="D162" s="78"/>
      <c r="E162" s="91"/>
      <c r="F162" s="91"/>
      <c r="G162" s="91"/>
      <c r="H162" s="78"/>
      <c r="I162" s="78"/>
      <c r="J162" s="78"/>
      <c r="K162" s="78"/>
      <c r="L162" s="78"/>
      <c r="M162" s="78"/>
      <c r="N162" s="78"/>
      <c r="O162" s="78"/>
      <c r="P162" s="78"/>
      <c r="Q162" s="78"/>
      <c r="R162" s="78"/>
      <c r="S162" s="78"/>
      <c r="T162" s="78"/>
      <c r="U162" s="78"/>
      <c r="V162" s="6"/>
      <c r="W162" s="6"/>
      <c r="X162" s="6"/>
      <c r="Y162" s="6"/>
      <c r="Z162" s="6"/>
      <c r="AA162" s="6"/>
      <c r="AB162" s="6"/>
      <c r="AC162"/>
      <c r="AD162"/>
    </row>
    <row r="163" spans="1:30" ht="20.25" thickBot="1" x14ac:dyDescent="0.45">
      <c r="A163" s="91"/>
      <c r="B163" s="78"/>
      <c r="C163" s="78"/>
      <c r="D163" s="78"/>
      <c r="E163" s="91"/>
      <c r="F163" s="91"/>
      <c r="G163" s="91"/>
      <c r="H163" s="78"/>
      <c r="I163" s="78"/>
      <c r="J163" s="78"/>
      <c r="K163" s="78"/>
      <c r="L163" s="78"/>
      <c r="M163" s="78"/>
      <c r="N163" s="78"/>
      <c r="O163" s="78"/>
      <c r="P163" s="78"/>
      <c r="Q163" s="78"/>
      <c r="R163" s="78"/>
      <c r="S163" s="78"/>
      <c r="T163" s="78"/>
      <c r="U163" s="78"/>
      <c r="V163" s="6"/>
      <c r="W163" s="6"/>
      <c r="X163" s="6"/>
      <c r="AA163" s="6"/>
      <c r="AB163" s="6"/>
      <c r="AC163"/>
      <c r="AD163"/>
    </row>
  </sheetData>
  <sortState xmlns:xlrd2="http://schemas.microsoft.com/office/spreadsheetml/2017/richdata2" ref="A2:AD163">
    <sortCondition ref="G2:G163"/>
  </sortState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9F429-551A-4B25-AED3-095E1F9A25B8}">
  <dimension ref="A1:E44"/>
  <sheetViews>
    <sheetView workbookViewId="0">
      <selection activeCell="E4" sqref="E4"/>
    </sheetView>
  </sheetViews>
  <sheetFormatPr defaultColWidth="9" defaultRowHeight="19.5" x14ac:dyDescent="0.4"/>
  <cols>
    <col min="1" max="1" width="11.5" style="46" bestFit="1" customWidth="1"/>
    <col min="2" max="2" width="12.25" style="46" customWidth="1"/>
    <col min="3" max="3" width="13.125" style="46" customWidth="1"/>
    <col min="4" max="4" width="30.375" style="11" customWidth="1"/>
    <col min="5" max="5" width="32.625" style="11" customWidth="1"/>
    <col min="6" max="16384" width="9" style="11"/>
  </cols>
  <sheetData>
    <row r="1" spans="1:5" ht="25.5" x14ac:dyDescent="0.4">
      <c r="A1" s="40" t="s">
        <v>55</v>
      </c>
      <c r="B1" s="40" t="s">
        <v>12</v>
      </c>
      <c r="C1" s="40" t="s">
        <v>13</v>
      </c>
      <c r="D1" s="40" t="s">
        <v>21</v>
      </c>
      <c r="E1" s="40" t="s">
        <v>22</v>
      </c>
    </row>
    <row r="2" spans="1:5" ht="25.5" x14ac:dyDescent="0.4">
      <c r="A2" s="47">
        <v>5214861</v>
      </c>
      <c r="B2" s="47" t="s">
        <v>56</v>
      </c>
      <c r="C2" s="47" t="s">
        <v>25</v>
      </c>
      <c r="D2" s="48" t="s">
        <v>57</v>
      </c>
      <c r="E2" s="48" t="s">
        <v>58</v>
      </c>
    </row>
    <row r="3" spans="1:5" x14ac:dyDescent="0.4">
      <c r="A3" s="47"/>
      <c r="B3" s="47"/>
      <c r="C3" s="47"/>
      <c r="D3" s="48"/>
      <c r="E3" s="48"/>
    </row>
    <row r="4" spans="1:5" x14ac:dyDescent="0.4">
      <c r="A4" s="47"/>
      <c r="B4" s="47"/>
      <c r="C4" s="47"/>
      <c r="D4" s="48"/>
      <c r="E4" s="48"/>
    </row>
    <row r="5" spans="1:5" x14ac:dyDescent="0.4">
      <c r="A5" s="47"/>
      <c r="B5" s="47"/>
      <c r="C5" s="47"/>
      <c r="D5" s="48"/>
      <c r="E5" s="48"/>
    </row>
    <row r="6" spans="1:5" x14ac:dyDescent="0.4">
      <c r="A6" s="47"/>
      <c r="B6" s="47"/>
      <c r="C6" s="47"/>
      <c r="D6" s="48"/>
      <c r="E6" s="48"/>
    </row>
    <row r="7" spans="1:5" x14ac:dyDescent="0.4">
      <c r="A7" s="47"/>
      <c r="B7" s="47"/>
      <c r="C7" s="47"/>
      <c r="D7" s="48"/>
      <c r="E7" s="48"/>
    </row>
    <row r="8" spans="1:5" x14ac:dyDescent="0.4">
      <c r="A8" s="47"/>
      <c r="B8" s="47"/>
      <c r="C8" s="47"/>
      <c r="D8" s="48"/>
      <c r="E8" s="48"/>
    </row>
    <row r="9" spans="1:5" x14ac:dyDescent="0.4">
      <c r="A9" s="47"/>
      <c r="B9" s="47"/>
      <c r="C9" s="47"/>
      <c r="D9" s="48"/>
      <c r="E9" s="48"/>
    </row>
    <row r="10" spans="1:5" x14ac:dyDescent="0.4">
      <c r="A10" s="47"/>
      <c r="B10" s="47"/>
      <c r="C10" s="47"/>
      <c r="D10" s="48"/>
      <c r="E10" s="48"/>
    </row>
    <row r="11" spans="1:5" x14ac:dyDescent="0.4">
      <c r="A11" s="47"/>
      <c r="B11" s="47"/>
      <c r="C11" s="47"/>
      <c r="D11" s="48"/>
      <c r="E11" s="48"/>
    </row>
    <row r="12" spans="1:5" x14ac:dyDescent="0.4">
      <c r="A12" s="47"/>
      <c r="B12" s="47"/>
      <c r="C12" s="47"/>
      <c r="D12" s="48"/>
      <c r="E12" s="48"/>
    </row>
    <row r="13" spans="1:5" x14ac:dyDescent="0.4">
      <c r="A13" s="47"/>
      <c r="B13" s="47"/>
      <c r="C13" s="47"/>
      <c r="D13" s="48"/>
      <c r="E13" s="48"/>
    </row>
    <row r="14" spans="1:5" x14ac:dyDescent="0.4">
      <c r="A14" s="47"/>
      <c r="B14" s="47"/>
      <c r="C14" s="47"/>
      <c r="D14" s="48"/>
      <c r="E14" s="48"/>
    </row>
    <row r="15" spans="1:5" x14ac:dyDescent="0.4">
      <c r="A15" s="47"/>
      <c r="B15" s="47"/>
      <c r="C15" s="47"/>
      <c r="D15" s="48"/>
      <c r="E15" s="48"/>
    </row>
    <row r="16" spans="1:5" x14ac:dyDescent="0.4">
      <c r="A16" s="47"/>
      <c r="B16" s="47"/>
      <c r="C16" s="47"/>
      <c r="D16" s="48"/>
      <c r="E16" s="48"/>
    </row>
    <row r="17" spans="1:5" x14ac:dyDescent="0.4">
      <c r="A17" s="47"/>
      <c r="B17" s="47"/>
      <c r="C17" s="47"/>
      <c r="D17" s="48"/>
      <c r="E17" s="48"/>
    </row>
    <row r="18" spans="1:5" x14ac:dyDescent="0.4">
      <c r="A18" s="47"/>
      <c r="B18" s="47"/>
      <c r="C18" s="47"/>
      <c r="D18" s="48"/>
      <c r="E18" s="48"/>
    </row>
    <row r="19" spans="1:5" x14ac:dyDescent="0.4">
      <c r="A19" s="47"/>
      <c r="B19" s="47"/>
      <c r="C19" s="47"/>
      <c r="D19" s="48"/>
      <c r="E19" s="48"/>
    </row>
    <row r="20" spans="1:5" x14ac:dyDescent="0.4">
      <c r="A20" s="47"/>
      <c r="B20" s="47"/>
      <c r="C20" s="47"/>
      <c r="D20" s="48"/>
      <c r="E20" s="48"/>
    </row>
    <row r="21" spans="1:5" x14ac:dyDescent="0.4">
      <c r="A21" s="47"/>
      <c r="B21" s="47"/>
      <c r="C21" s="47"/>
      <c r="D21" s="48"/>
      <c r="E21" s="48"/>
    </row>
    <row r="22" spans="1:5" x14ac:dyDescent="0.4">
      <c r="A22" s="47"/>
      <c r="B22" s="47"/>
      <c r="C22" s="47"/>
      <c r="D22" s="48"/>
      <c r="E22" s="48"/>
    </row>
    <row r="23" spans="1:5" x14ac:dyDescent="0.4">
      <c r="A23" s="47"/>
      <c r="B23" s="47"/>
      <c r="C23" s="47"/>
      <c r="D23" s="48"/>
      <c r="E23" s="48"/>
    </row>
    <row r="24" spans="1:5" x14ac:dyDescent="0.4">
      <c r="A24" s="47"/>
      <c r="B24" s="47"/>
      <c r="C24" s="47"/>
      <c r="D24" s="48"/>
      <c r="E24" s="48"/>
    </row>
    <row r="25" spans="1:5" x14ac:dyDescent="0.4">
      <c r="A25" s="47"/>
      <c r="B25" s="47"/>
      <c r="C25" s="47"/>
      <c r="D25" s="48"/>
      <c r="E25" s="48"/>
    </row>
    <row r="26" spans="1:5" x14ac:dyDescent="0.4">
      <c r="A26" s="47"/>
      <c r="B26" s="47"/>
      <c r="C26" s="47"/>
      <c r="D26" s="48"/>
      <c r="E26" s="48"/>
    </row>
    <row r="27" spans="1:5" x14ac:dyDescent="0.4">
      <c r="A27" s="47"/>
      <c r="B27" s="47"/>
      <c r="C27" s="47"/>
      <c r="D27" s="48"/>
      <c r="E27" s="48"/>
    </row>
    <row r="28" spans="1:5" x14ac:dyDescent="0.4">
      <c r="A28" s="47"/>
      <c r="B28" s="47"/>
      <c r="C28" s="47"/>
      <c r="D28" s="48"/>
      <c r="E28" s="48"/>
    </row>
    <row r="29" spans="1:5" x14ac:dyDescent="0.4">
      <c r="A29" s="47"/>
      <c r="B29" s="47"/>
      <c r="C29" s="47"/>
      <c r="D29" s="48"/>
      <c r="E29" s="48"/>
    </row>
    <row r="30" spans="1:5" x14ac:dyDescent="0.4">
      <c r="A30" s="47"/>
      <c r="B30" s="47"/>
      <c r="C30" s="47"/>
      <c r="D30" s="48"/>
      <c r="E30" s="48"/>
    </row>
    <row r="31" spans="1:5" x14ac:dyDescent="0.4">
      <c r="A31" s="47"/>
      <c r="B31" s="47"/>
      <c r="C31" s="47"/>
      <c r="D31" s="48"/>
      <c r="E31" s="48"/>
    </row>
    <row r="32" spans="1:5" x14ac:dyDescent="0.4">
      <c r="A32" s="47"/>
      <c r="B32" s="47"/>
      <c r="C32" s="47"/>
      <c r="D32" s="48"/>
      <c r="E32" s="48"/>
    </row>
    <row r="33" spans="1:5" x14ac:dyDescent="0.4">
      <c r="A33" s="47"/>
      <c r="B33" s="47"/>
      <c r="C33" s="47"/>
      <c r="D33" s="48"/>
      <c r="E33" s="48"/>
    </row>
    <row r="34" spans="1:5" x14ac:dyDescent="0.4">
      <c r="A34" s="47"/>
      <c r="B34" s="47"/>
      <c r="C34" s="47"/>
      <c r="D34" s="48"/>
      <c r="E34" s="48"/>
    </row>
    <row r="35" spans="1:5" x14ac:dyDescent="0.4">
      <c r="A35" s="47"/>
      <c r="B35" s="47"/>
      <c r="C35" s="47"/>
      <c r="D35" s="48"/>
      <c r="E35" s="48"/>
    </row>
    <row r="36" spans="1:5" x14ac:dyDescent="0.4">
      <c r="A36" s="47"/>
      <c r="B36" s="47"/>
      <c r="C36" s="47"/>
      <c r="D36" s="48"/>
      <c r="E36" s="48"/>
    </row>
    <row r="37" spans="1:5" x14ac:dyDescent="0.4">
      <c r="A37" s="47"/>
      <c r="B37" s="47"/>
      <c r="C37" s="47"/>
      <c r="D37" s="48"/>
      <c r="E37" s="48"/>
    </row>
    <row r="38" spans="1:5" x14ac:dyDescent="0.4">
      <c r="A38" s="47"/>
      <c r="B38" s="47"/>
      <c r="C38" s="47"/>
      <c r="D38" s="48"/>
      <c r="E38" s="48"/>
    </row>
    <row r="39" spans="1:5" x14ac:dyDescent="0.4">
      <c r="A39" s="47"/>
      <c r="B39" s="47"/>
      <c r="C39" s="47"/>
      <c r="D39" s="48"/>
      <c r="E39" s="48"/>
    </row>
    <row r="40" spans="1:5" x14ac:dyDescent="0.4">
      <c r="A40" s="47"/>
      <c r="B40" s="47"/>
      <c r="C40" s="47"/>
      <c r="D40" s="48"/>
      <c r="E40" s="48"/>
    </row>
    <row r="41" spans="1:5" x14ac:dyDescent="0.4">
      <c r="A41" s="47"/>
      <c r="B41" s="47"/>
      <c r="C41" s="47"/>
      <c r="D41" s="48"/>
      <c r="E41" s="48"/>
    </row>
    <row r="42" spans="1:5" x14ac:dyDescent="0.4">
      <c r="A42" s="47"/>
      <c r="B42" s="47"/>
      <c r="C42" s="47"/>
      <c r="D42" s="48"/>
      <c r="E42" s="48"/>
    </row>
    <row r="43" spans="1:5" x14ac:dyDescent="0.4">
      <c r="A43" s="47"/>
      <c r="B43" s="47"/>
      <c r="C43" s="47"/>
      <c r="D43" s="48"/>
      <c r="E43" s="48"/>
    </row>
    <row r="44" spans="1:5" x14ac:dyDescent="0.4">
      <c r="A44" s="47"/>
      <c r="B44" s="47"/>
      <c r="C44" s="47"/>
      <c r="D44" s="48"/>
      <c r="E44" s="48"/>
    </row>
  </sheetData>
  <sortState xmlns:xlrd2="http://schemas.microsoft.com/office/spreadsheetml/2017/richdata2" ref="A2:E22">
    <sortCondition ref="A2:A22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90895-64D8-4CA2-B190-BAAC5565042C}">
  <dimension ref="A1:R85"/>
  <sheetViews>
    <sheetView zoomScale="70" zoomScaleNormal="70" workbookViewId="0">
      <selection activeCell="B2" sqref="B2:B8"/>
    </sheetView>
  </sheetViews>
  <sheetFormatPr defaultColWidth="9" defaultRowHeight="19.5" x14ac:dyDescent="0.4"/>
  <cols>
    <col min="1" max="1" width="26.5" style="14" bestFit="1" customWidth="1"/>
    <col min="2" max="2" width="20.375" style="14" customWidth="1"/>
    <col min="3" max="3" width="7.875" style="15" bestFit="1" customWidth="1"/>
    <col min="4" max="4" width="8.875" style="15" customWidth="1"/>
    <col min="5" max="8" width="7.25" style="15" bestFit="1" customWidth="1"/>
    <col min="9" max="9" width="10.375" style="15" bestFit="1" customWidth="1"/>
    <col min="10" max="11" width="23.25" style="1" customWidth="1"/>
    <col min="12" max="12" width="9" style="1"/>
    <col min="13" max="13" width="26.375" style="1" bestFit="1" customWidth="1"/>
    <col min="14" max="18" width="9.375" style="2" customWidth="1"/>
    <col min="19" max="16384" width="9" style="1"/>
  </cols>
  <sheetData>
    <row r="1" spans="1:18" ht="66.75" customHeight="1" x14ac:dyDescent="0.4">
      <c r="A1" s="12" t="s">
        <v>30</v>
      </c>
      <c r="B1" s="12" t="s">
        <v>31</v>
      </c>
      <c r="C1" s="13" t="s">
        <v>32</v>
      </c>
      <c r="D1" s="13" t="s">
        <v>33</v>
      </c>
      <c r="E1" s="13" t="s">
        <v>34</v>
      </c>
      <c r="F1" s="13" t="s">
        <v>35</v>
      </c>
      <c r="G1" s="13" t="s">
        <v>36</v>
      </c>
      <c r="H1" s="13" t="s">
        <v>37</v>
      </c>
      <c r="I1" s="12" t="s">
        <v>38</v>
      </c>
    </row>
    <row r="2" spans="1:18" x14ac:dyDescent="0.4">
      <c r="A2" s="14" t="str">
        <f>+Dados!V2</f>
        <v>NOVA BANDEIRANTES</v>
      </c>
      <c r="B2" s="14" t="str">
        <f>+Dados!G2</f>
        <v>CACS-FUNDEB</v>
      </c>
      <c r="C2" s="14">
        <f>+Dados!H2</f>
        <v>5</v>
      </c>
      <c r="D2" s="14">
        <f>+Dados!I2</f>
        <v>5</v>
      </c>
      <c r="E2" s="14">
        <f>+Dados!J2</f>
        <v>5</v>
      </c>
      <c r="F2" s="14">
        <f>+Dados!K2</f>
        <v>5</v>
      </c>
      <c r="G2" s="14">
        <f>+Dados!L2</f>
        <v>5</v>
      </c>
      <c r="H2" s="14">
        <f>+Dados!M2</f>
        <v>5</v>
      </c>
      <c r="I2" s="14">
        <f>+Dados!N2</f>
        <v>5</v>
      </c>
      <c r="N2" s="2" t="s">
        <v>2</v>
      </c>
      <c r="O2" s="2" t="s">
        <v>42</v>
      </c>
      <c r="P2" s="2" t="s">
        <v>41</v>
      </c>
      <c r="Q2" s="2" t="s">
        <v>40</v>
      </c>
      <c r="R2" s="2" t="s">
        <v>39</v>
      </c>
    </row>
    <row r="3" spans="1:18" x14ac:dyDescent="0.4">
      <c r="A3" s="14" t="str">
        <f>+Dados!V3</f>
        <v>ALTA FLORESTA</v>
      </c>
      <c r="B3" s="14" t="str">
        <f>+Dados!G3</f>
        <v>CACS-FUNDEB</v>
      </c>
      <c r="C3" s="14">
        <f>+Dados!H3</f>
        <v>5</v>
      </c>
      <c r="D3" s="14">
        <f>+Dados!I3</f>
        <v>4</v>
      </c>
      <c r="E3" s="14">
        <f>+Dados!J3</f>
        <v>5</v>
      </c>
      <c r="F3" s="14">
        <f>+Dados!K3</f>
        <v>5</v>
      </c>
      <c r="G3" s="14">
        <f>+Dados!L3</f>
        <v>5</v>
      </c>
      <c r="H3" s="14">
        <f>+Dados!M3</f>
        <v>3</v>
      </c>
      <c r="I3" s="14">
        <f>+Dados!N3</f>
        <v>5</v>
      </c>
      <c r="N3" s="14">
        <v>1</v>
      </c>
      <c r="O3" s="14">
        <v>2</v>
      </c>
      <c r="P3" s="14">
        <v>3</v>
      </c>
      <c r="Q3" s="14">
        <v>4</v>
      </c>
      <c r="R3" s="14">
        <v>5</v>
      </c>
    </row>
    <row r="4" spans="1:18" x14ac:dyDescent="0.4">
      <c r="A4" s="14" t="str">
        <f>+Dados!V4</f>
        <v>ALTA FLORESTA</v>
      </c>
      <c r="B4" s="14" t="str">
        <f>+Dados!G4</f>
        <v>CACS-FUNDEB</v>
      </c>
      <c r="C4" s="14">
        <f>+Dados!H4</f>
        <v>4</v>
      </c>
      <c r="D4" s="14">
        <f>+Dados!I4</f>
        <v>3</v>
      </c>
      <c r="E4" s="14">
        <f>+Dados!J4</f>
        <v>5</v>
      </c>
      <c r="F4" s="14">
        <f>+Dados!K4</f>
        <v>5</v>
      </c>
      <c r="G4" s="14">
        <f>+Dados!L4</f>
        <v>4</v>
      </c>
      <c r="H4" s="14">
        <f>+Dados!M4</f>
        <v>5</v>
      </c>
      <c r="I4" s="14">
        <f>+Dados!N4</f>
        <v>5</v>
      </c>
    </row>
    <row r="5" spans="1:18" x14ac:dyDescent="0.4">
      <c r="A5" s="14" t="str">
        <f>+Dados!V5</f>
        <v>ALTA FLORESTA</v>
      </c>
      <c r="B5" s="14" t="str">
        <f>+Dados!G5</f>
        <v>CACS-FUNDEB</v>
      </c>
      <c r="C5" s="14">
        <f>+Dados!H5</f>
        <v>4</v>
      </c>
      <c r="D5" s="14">
        <f>+Dados!I5</f>
        <v>4</v>
      </c>
      <c r="E5" s="14">
        <f>+Dados!J5</f>
        <v>4</v>
      </c>
      <c r="F5" s="14">
        <f>+Dados!K5</f>
        <v>4</v>
      </c>
      <c r="G5" s="14">
        <f>+Dados!L5</f>
        <v>4</v>
      </c>
      <c r="H5" s="14">
        <f>+Dados!M5</f>
        <v>4</v>
      </c>
      <c r="I5" s="14">
        <f>+Dados!N5</f>
        <v>4</v>
      </c>
      <c r="N5" s="2" t="str">
        <f>+_xlfn.CONCAT(N3," - ",N2)</f>
        <v>1 - Ruim</v>
      </c>
      <c r="O5" s="2" t="str">
        <f t="shared" ref="O5:R5" si="0">+_xlfn.CONCAT(O3," - ",O2)</f>
        <v>2 -  Regular</v>
      </c>
      <c r="P5" s="2" t="str">
        <f t="shared" si="0"/>
        <v>3 -  Neutro</v>
      </c>
      <c r="Q5" s="2" t="str">
        <f t="shared" si="0"/>
        <v>4 -  Muito Bom</v>
      </c>
      <c r="R5" s="2" t="str">
        <f t="shared" si="0"/>
        <v>5 - Excelente</v>
      </c>
    </row>
    <row r="6" spans="1:18" x14ac:dyDescent="0.4">
      <c r="A6" s="14" t="str">
        <f>+Dados!V6</f>
        <v>NOVA MONTE VERDE</v>
      </c>
      <c r="B6" s="14" t="str">
        <f>+Dados!G6</f>
        <v>CACS-FUNDEB</v>
      </c>
      <c r="C6" s="14">
        <f>+Dados!H6</f>
        <v>5</v>
      </c>
      <c r="D6" s="14">
        <f>+Dados!I6</f>
        <v>4</v>
      </c>
      <c r="E6" s="14">
        <f>+Dados!J6</f>
        <v>5</v>
      </c>
      <c r="F6" s="14">
        <f>+Dados!K6</f>
        <v>5</v>
      </c>
      <c r="G6" s="14">
        <f>+Dados!L6</f>
        <v>5</v>
      </c>
      <c r="H6" s="14">
        <f>+Dados!M6</f>
        <v>5</v>
      </c>
      <c r="I6" s="14">
        <f>+Dados!N6</f>
        <v>5</v>
      </c>
      <c r="M6" s="1" t="s">
        <v>32</v>
      </c>
      <c r="N6" s="16">
        <f>COUNTIF(C$2:C$72,$N3)/COUNT(C$2:C$72)</f>
        <v>0</v>
      </c>
      <c r="O6" s="16">
        <f t="shared" ref="O6:O12" si="1">COUNTIF(C$2:C$72,$O3)/COUNT(C$2:C$72)</f>
        <v>0</v>
      </c>
      <c r="P6" s="16">
        <f>COUNTIF(C$2:C$72,$P3)/COUNT(C$2:C$72)</f>
        <v>9.5238095238095233E-2</v>
      </c>
      <c r="Q6" s="16">
        <f>COUNTIF(C$2:C$72,$Q3)/COUNT(C$2:C$72)</f>
        <v>0.14285714285714285</v>
      </c>
      <c r="R6" s="16">
        <f>COUNTIF(C$2:C$72,$R3)/COUNT(C$2:C$72)</f>
        <v>0.76190476190476186</v>
      </c>
    </row>
    <row r="7" spans="1:18" x14ac:dyDescent="0.4">
      <c r="A7" s="14" t="str">
        <f>+Dados!V7</f>
        <v>NOVA MONTE VERDE</v>
      </c>
      <c r="B7" s="14" t="str">
        <f>+Dados!G7</f>
        <v>CACS-FUNDEB</v>
      </c>
      <c r="C7" s="14">
        <f>+Dados!H7</f>
        <v>3</v>
      </c>
      <c r="D7" s="14">
        <f>+Dados!I7</f>
        <v>3</v>
      </c>
      <c r="E7" s="14">
        <f>+Dados!J7</f>
        <v>3</v>
      </c>
      <c r="F7" s="14">
        <f>+Dados!K7</f>
        <v>3</v>
      </c>
      <c r="G7" s="14">
        <f>+Dados!L7</f>
        <v>3</v>
      </c>
      <c r="H7" s="14">
        <f>+Dados!M7</f>
        <v>3</v>
      </c>
      <c r="I7" s="14">
        <f>+Dados!N7</f>
        <v>3</v>
      </c>
      <c r="M7" s="1" t="s">
        <v>33</v>
      </c>
      <c r="N7" s="16">
        <f>COUNTIF(D$2:D$72,$N3)/COUNT(D$2:D$72)</f>
        <v>0</v>
      </c>
      <c r="O7" s="16">
        <f t="shared" si="1"/>
        <v>0</v>
      </c>
      <c r="P7" s="16">
        <f>COUNTIF(D$2:D$72,$P3)/COUNT(D$2:D$72)</f>
        <v>0.19047619047619047</v>
      </c>
      <c r="Q7" s="16">
        <f>COUNTIF(D$2:D$72,$Q3)/COUNT(D$2:D$72)</f>
        <v>0.19047619047619047</v>
      </c>
      <c r="R7" s="16">
        <f>COUNTIF(D$2:D$72,$R3)/COUNT(D$2:D$72)</f>
        <v>0.61904761904761907</v>
      </c>
    </row>
    <row r="8" spans="1:18" x14ac:dyDescent="0.4">
      <c r="A8" s="14" t="str">
        <f>+Dados!V8</f>
        <v>ALTA FLORESTA</v>
      </c>
      <c r="B8" s="14" t="str">
        <f>+Dados!G8</f>
        <v>CACS-FUNDEB</v>
      </c>
      <c r="C8" s="14">
        <f>+Dados!H8</f>
        <v>5</v>
      </c>
      <c r="D8" s="14">
        <f>+Dados!I8</f>
        <v>5</v>
      </c>
      <c r="E8" s="14">
        <f>+Dados!J8</f>
        <v>5</v>
      </c>
      <c r="F8" s="14">
        <f>+Dados!K8</f>
        <v>5</v>
      </c>
      <c r="G8" s="14">
        <f>+Dados!L8</f>
        <v>5</v>
      </c>
      <c r="H8" s="14">
        <f>+Dados!M8</f>
        <v>5</v>
      </c>
      <c r="I8" s="14">
        <f>+Dados!N8</f>
        <v>5</v>
      </c>
      <c r="M8" s="1" t="s">
        <v>34</v>
      </c>
      <c r="N8" s="16">
        <f>COUNTIF(E$2:E$72,$N3)/COUNT(E$2:E$72)</f>
        <v>0</v>
      </c>
      <c r="O8" s="16">
        <f t="shared" si="1"/>
        <v>0</v>
      </c>
      <c r="P8" s="16">
        <f>COUNTIF(E$2:E$72,$P3)/COUNT(E$2:E$72)</f>
        <v>9.5238095238095233E-2</v>
      </c>
      <c r="Q8" s="16">
        <f>COUNTIF(E$2:E$72,$Q3)/COUNT(E$2:E$72)</f>
        <v>0.14285714285714285</v>
      </c>
      <c r="R8" s="16">
        <f>COUNTIF(E$2:E$72,$R3)/COUNT(E$2:E$72)</f>
        <v>0.76190476190476186</v>
      </c>
    </row>
    <row r="9" spans="1:18" x14ac:dyDescent="0.4">
      <c r="A9" s="14" t="str">
        <f>+Dados!V9</f>
        <v>ALTA FLORESTA</v>
      </c>
      <c r="B9" s="14" t="str">
        <f>+Dados!G9</f>
        <v>CACS-FUNDEB</v>
      </c>
      <c r="C9" s="14">
        <f>+Dados!H9</f>
        <v>3</v>
      </c>
      <c r="D9" s="14">
        <f>+Dados!I9</f>
        <v>3</v>
      </c>
      <c r="E9" s="14">
        <f>+Dados!J9</f>
        <v>4</v>
      </c>
      <c r="F9" s="14">
        <f>+Dados!K9</f>
        <v>4</v>
      </c>
      <c r="G9" s="14">
        <f>+Dados!L9</f>
        <v>4</v>
      </c>
      <c r="H9" s="14">
        <f>+Dados!M9</f>
        <v>4</v>
      </c>
      <c r="I9" s="14">
        <f>+Dados!N9</f>
        <v>4</v>
      </c>
      <c r="M9" s="1" t="s">
        <v>35</v>
      </c>
      <c r="N9" s="16">
        <f>COUNTIF(F$2:F$72,$N3)/COUNT(F$2:F$72)</f>
        <v>0</v>
      </c>
      <c r="O9" s="16">
        <f t="shared" si="1"/>
        <v>0</v>
      </c>
      <c r="P9" s="16">
        <f>COUNTIF(F$2:F$72,$P3)/COUNT(F$2:F$72)</f>
        <v>4.7619047619047616E-2</v>
      </c>
      <c r="Q9" s="16">
        <f>COUNTIF(F$2:F$72,$Q3)/COUNT(F$2:F$72)</f>
        <v>9.5238095238095233E-2</v>
      </c>
      <c r="R9" s="16">
        <f>COUNTIF(F$2:F$72,$R3)/COUNT(F$2:F$72)</f>
        <v>0.8571428571428571</v>
      </c>
    </row>
    <row r="10" spans="1:18" x14ac:dyDescent="0.4">
      <c r="A10" s="14" t="str">
        <f>+Dados!V10</f>
        <v>NOVA BANDEIRANTES</v>
      </c>
      <c r="B10" s="14" t="str">
        <f>+Dados!G10</f>
        <v>Gestão municipal</v>
      </c>
      <c r="C10" s="14">
        <f>+Dados!H10</f>
        <v>5</v>
      </c>
      <c r="D10" s="14">
        <f>+Dados!I10</f>
        <v>5</v>
      </c>
      <c r="E10" s="14">
        <f>+Dados!J10</f>
        <v>5</v>
      </c>
      <c r="F10" s="14">
        <f>+Dados!K10</f>
        <v>5</v>
      </c>
      <c r="G10" s="14">
        <f>+Dados!L10</f>
        <v>5</v>
      </c>
      <c r="H10" s="14">
        <f>+Dados!M10</f>
        <v>5</v>
      </c>
      <c r="I10" s="14">
        <f>+Dados!N10</f>
        <v>5</v>
      </c>
      <c r="M10" s="1" t="s">
        <v>36</v>
      </c>
      <c r="N10" s="16">
        <f>COUNTIF(G$2:G$72,$N3)/COUNT(G$2:G$72)</f>
        <v>0</v>
      </c>
      <c r="O10" s="16">
        <f t="shared" si="1"/>
        <v>0</v>
      </c>
      <c r="P10" s="16">
        <f>COUNTIF(G$2:G$72,$P3)/COUNT(G$2:G$72)</f>
        <v>9.5238095238095233E-2</v>
      </c>
      <c r="Q10" s="16">
        <f>COUNTIF(G$2:G$72,$Q3)/COUNT(G$2:G$72)</f>
        <v>0.14285714285714285</v>
      </c>
      <c r="R10" s="16">
        <f>COUNTIF(G$2:G$72,$R3)/COUNT(G$2:G$72)</f>
        <v>0.76190476190476186</v>
      </c>
    </row>
    <row r="11" spans="1:18" x14ac:dyDescent="0.4">
      <c r="A11" s="14" t="str">
        <f>+Dados!V11</f>
        <v>APIACÁS</v>
      </c>
      <c r="B11" s="14" t="str">
        <f>+Dados!G11</f>
        <v>Gestão municipal</v>
      </c>
      <c r="C11" s="14">
        <f>+Dados!H11</f>
        <v>5</v>
      </c>
      <c r="D11" s="14">
        <f>+Dados!I11</f>
        <v>4</v>
      </c>
      <c r="E11" s="14">
        <f>+Dados!J11</f>
        <v>5</v>
      </c>
      <c r="F11" s="14">
        <f>+Dados!K11</f>
        <v>5</v>
      </c>
      <c r="G11" s="14">
        <f>+Dados!L11</f>
        <v>5</v>
      </c>
      <c r="H11" s="14">
        <f>+Dados!M11</f>
        <v>5</v>
      </c>
      <c r="I11" s="14">
        <f>+Dados!N11</f>
        <v>4</v>
      </c>
      <c r="M11" s="1" t="s">
        <v>37</v>
      </c>
      <c r="N11" s="16">
        <f>COUNTIF(H$2:H$72,$N3)/COUNT(H$2:H$72)</f>
        <v>0</v>
      </c>
      <c r="O11" s="16">
        <f t="shared" si="1"/>
        <v>0</v>
      </c>
      <c r="P11" s="16">
        <f>COUNTIF(H$2:H$72,$P3)/COUNT(H$2:H$72)</f>
        <v>9.5238095238095233E-2</v>
      </c>
      <c r="Q11" s="16">
        <f>COUNTIF(H$2:H$72,$Q3)/COUNT(H$2:H$72)</f>
        <v>9.5238095238095233E-2</v>
      </c>
      <c r="R11" s="16">
        <f>COUNTIF(H$2:H$72,$R3)/COUNT(H$2:H$72)</f>
        <v>0.80952380952380953</v>
      </c>
    </row>
    <row r="12" spans="1:18" x14ac:dyDescent="0.4">
      <c r="A12" s="14" t="str">
        <f>+Dados!V12</f>
        <v>APIACÁS</v>
      </c>
      <c r="B12" s="14" t="str">
        <f>+Dados!G12</f>
        <v>Gestão municipal</v>
      </c>
      <c r="C12" s="14">
        <f>+Dados!H12</f>
        <v>5</v>
      </c>
      <c r="D12" s="14">
        <f>+Dados!I12</f>
        <v>5</v>
      </c>
      <c r="E12" s="14">
        <f>+Dados!J12</f>
        <v>5</v>
      </c>
      <c r="F12" s="14">
        <f>+Dados!K12</f>
        <v>5</v>
      </c>
      <c r="G12" s="14">
        <f>+Dados!L12</f>
        <v>5</v>
      </c>
      <c r="H12" s="14">
        <f>+Dados!M12</f>
        <v>5</v>
      </c>
      <c r="I12" s="14">
        <f>+Dados!N12</f>
        <v>5</v>
      </c>
      <c r="M12" s="1" t="s">
        <v>38</v>
      </c>
      <c r="N12" s="16">
        <f>COUNTIF(I$2:I$72,$N3)/COUNT(I$2:I$72)</f>
        <v>0</v>
      </c>
      <c r="O12" s="16">
        <f t="shared" si="1"/>
        <v>0</v>
      </c>
      <c r="P12" s="16">
        <f>COUNTIF(I$2:I$72,$P3)/COUNT(I$2:I$72)</f>
        <v>4.7619047619047616E-2</v>
      </c>
      <c r="Q12" s="16">
        <f>COUNTIF(I$2:I$72,$Q3)/COUNT(I$2:I$72)</f>
        <v>0.14285714285714285</v>
      </c>
      <c r="R12" s="16">
        <f>COUNTIF(I$2:I$72,$R3)/COUNT(I$2:I$72)</f>
        <v>0.80952380952380953</v>
      </c>
    </row>
    <row r="13" spans="1:18" x14ac:dyDescent="0.4">
      <c r="A13" s="14" t="str">
        <f>+Dados!V13</f>
        <v>PARANAÍTA</v>
      </c>
      <c r="B13" s="14" t="str">
        <f>+Dados!G13</f>
        <v>Gestão municipal</v>
      </c>
      <c r="C13" s="14">
        <f>+Dados!H13</f>
        <v>5</v>
      </c>
      <c r="D13" s="14">
        <f>+Dados!I13</f>
        <v>5</v>
      </c>
      <c r="E13" s="14">
        <f>+Dados!J13</f>
        <v>5</v>
      </c>
      <c r="F13" s="14">
        <f>+Dados!K13</f>
        <v>5</v>
      </c>
      <c r="G13" s="14">
        <f>+Dados!L13</f>
        <v>5</v>
      </c>
      <c r="H13" s="14">
        <f>+Dados!M13</f>
        <v>5</v>
      </c>
      <c r="I13" s="14">
        <f>+Dados!N13</f>
        <v>5</v>
      </c>
    </row>
    <row r="14" spans="1:18" x14ac:dyDescent="0.4">
      <c r="A14" s="14" t="str">
        <f>+Dados!V14</f>
        <v>ALTA FLORESTA</v>
      </c>
      <c r="B14" s="14" t="str">
        <f>+Dados!G14</f>
        <v>Gestão municipal</v>
      </c>
      <c r="C14" s="14">
        <f>+Dados!H14</f>
        <v>5</v>
      </c>
      <c r="D14" s="14">
        <f>+Dados!I14</f>
        <v>5</v>
      </c>
      <c r="E14" s="14">
        <f>+Dados!J14</f>
        <v>5</v>
      </c>
      <c r="F14" s="14">
        <f>+Dados!K14</f>
        <v>5</v>
      </c>
      <c r="G14" s="14">
        <f>+Dados!L14</f>
        <v>5</v>
      </c>
      <c r="H14" s="14">
        <f>+Dados!M14</f>
        <v>5</v>
      </c>
      <c r="I14" s="14">
        <f>+Dados!N14</f>
        <v>5</v>
      </c>
    </row>
    <row r="15" spans="1:18" x14ac:dyDescent="0.4">
      <c r="A15" s="14" t="str">
        <f>+Dados!V15</f>
        <v>ALTA FLORESTA</v>
      </c>
      <c r="B15" s="14" t="str">
        <f>+Dados!G15</f>
        <v>Gestão municipal</v>
      </c>
      <c r="C15" s="14">
        <f>+Dados!H15</f>
        <v>5</v>
      </c>
      <c r="D15" s="14">
        <f>+Dados!I15</f>
        <v>3</v>
      </c>
      <c r="E15" s="14">
        <f>+Dados!J15</f>
        <v>5</v>
      </c>
      <c r="F15" s="14">
        <f>+Dados!K15</f>
        <v>5</v>
      </c>
      <c r="G15" s="14">
        <f>+Dados!L15</f>
        <v>5</v>
      </c>
      <c r="H15" s="14">
        <f>+Dados!M15</f>
        <v>5</v>
      </c>
      <c r="I15" s="14">
        <f>+Dados!N15</f>
        <v>5</v>
      </c>
    </row>
    <row r="16" spans="1:18" x14ac:dyDescent="0.4">
      <c r="A16" s="14" t="str">
        <f>+Dados!V16</f>
        <v>NOVA BANDEIRANTES</v>
      </c>
      <c r="B16" s="14" t="str">
        <f>+Dados!G16</f>
        <v>Gestão municipal</v>
      </c>
      <c r="C16" s="14">
        <f>+Dados!H16</f>
        <v>5</v>
      </c>
      <c r="D16" s="14">
        <f>+Dados!I16</f>
        <v>5</v>
      </c>
      <c r="E16" s="14">
        <f>+Dados!J16</f>
        <v>5</v>
      </c>
      <c r="F16" s="14">
        <f>+Dados!K16</f>
        <v>5</v>
      </c>
      <c r="G16" s="14">
        <f>+Dados!L16</f>
        <v>5</v>
      </c>
      <c r="H16" s="14">
        <f>+Dados!M16</f>
        <v>5</v>
      </c>
      <c r="I16" s="14">
        <f>+Dados!N16</f>
        <v>5</v>
      </c>
    </row>
    <row r="17" spans="1:9" x14ac:dyDescent="0.4">
      <c r="A17" s="14" t="str">
        <f>+Dados!V17</f>
        <v>PARANAÍTA</v>
      </c>
      <c r="B17" s="14" t="str">
        <f>+Dados!G17</f>
        <v>Gestão municipal</v>
      </c>
      <c r="C17" s="14">
        <f>+Dados!H17</f>
        <v>5</v>
      </c>
      <c r="D17" s="14">
        <f>+Dados!I17</f>
        <v>5</v>
      </c>
      <c r="E17" s="14">
        <f>+Dados!J17</f>
        <v>5</v>
      </c>
      <c r="F17" s="14">
        <f>+Dados!K17</f>
        <v>5</v>
      </c>
      <c r="G17" s="14">
        <f>+Dados!L17</f>
        <v>5</v>
      </c>
      <c r="H17" s="14">
        <f>+Dados!M17</f>
        <v>5</v>
      </c>
      <c r="I17" s="14">
        <f>+Dados!N17</f>
        <v>5</v>
      </c>
    </row>
    <row r="18" spans="1:9" x14ac:dyDescent="0.4">
      <c r="A18" s="14" t="str">
        <f>+Dados!V18</f>
        <v>NOVA CANAÃ DO NORTE</v>
      </c>
      <c r="B18" s="14" t="str">
        <f>+Dados!G18</f>
        <v>Gestão municipal</v>
      </c>
      <c r="C18" s="14">
        <f>+Dados!H18</f>
        <v>4</v>
      </c>
      <c r="D18" s="14">
        <f>+Dados!I18</f>
        <v>5</v>
      </c>
      <c r="E18" s="14">
        <f>+Dados!J18</f>
        <v>5</v>
      </c>
      <c r="F18" s="14">
        <f>+Dados!K18</f>
        <v>5</v>
      </c>
      <c r="G18" s="14">
        <f>+Dados!L18</f>
        <v>5</v>
      </c>
      <c r="H18" s="14">
        <f>+Dados!M18</f>
        <v>5</v>
      </c>
      <c r="I18" s="14">
        <f>+Dados!N18</f>
        <v>5</v>
      </c>
    </row>
    <row r="19" spans="1:9" x14ac:dyDescent="0.4">
      <c r="A19" s="14" t="str">
        <f>+Dados!V19</f>
        <v>NOVA MONTE VERDE</v>
      </c>
      <c r="B19" s="14" t="str">
        <f>+Dados!G19</f>
        <v>Gestão municipal</v>
      </c>
      <c r="C19" s="14">
        <f>+Dados!H19</f>
        <v>5</v>
      </c>
      <c r="D19" s="14">
        <f>+Dados!I19</f>
        <v>5</v>
      </c>
      <c r="E19" s="14">
        <f>+Dados!J19</f>
        <v>5</v>
      </c>
      <c r="F19" s="14">
        <f>+Dados!K19</f>
        <v>5</v>
      </c>
      <c r="G19" s="14">
        <f>+Dados!L19</f>
        <v>5</v>
      </c>
      <c r="H19" s="14">
        <f>+Dados!M19</f>
        <v>5</v>
      </c>
      <c r="I19" s="14">
        <f>+Dados!N19</f>
        <v>5</v>
      </c>
    </row>
    <row r="20" spans="1:9" x14ac:dyDescent="0.4">
      <c r="A20" s="14" t="str">
        <f>+Dados!V20</f>
        <v>CARLINDA</v>
      </c>
      <c r="B20" s="14" t="str">
        <f>+Dados!G20</f>
        <v>Gestão municipal</v>
      </c>
      <c r="C20" s="14">
        <f>+Dados!H20</f>
        <v>5</v>
      </c>
      <c r="D20" s="14">
        <f>+Dados!I20</f>
        <v>5</v>
      </c>
      <c r="E20" s="14">
        <f>+Dados!J20</f>
        <v>5</v>
      </c>
      <c r="F20" s="14">
        <f>+Dados!K20</f>
        <v>5</v>
      </c>
      <c r="G20" s="14">
        <f>+Dados!L20</f>
        <v>5</v>
      </c>
      <c r="H20" s="14">
        <f>+Dados!M20</f>
        <v>5</v>
      </c>
      <c r="I20" s="14">
        <f>+Dados!N20</f>
        <v>5</v>
      </c>
    </row>
    <row r="21" spans="1:9" x14ac:dyDescent="0.4">
      <c r="A21" s="14" t="str">
        <f>+Dados!V21</f>
        <v>SANTA CRUZ DO XINGU</v>
      </c>
      <c r="B21" s="14" t="str">
        <f>+Dados!G21</f>
        <v>Gestão municipal</v>
      </c>
      <c r="C21" s="14">
        <f>+Dados!H21</f>
        <v>5</v>
      </c>
      <c r="D21" s="14">
        <f>+Dados!I21</f>
        <v>5</v>
      </c>
      <c r="E21" s="14">
        <f>+Dados!J21</f>
        <v>3</v>
      </c>
      <c r="F21" s="14">
        <f>+Dados!K21</f>
        <v>5</v>
      </c>
      <c r="G21" s="14">
        <f>+Dados!L21</f>
        <v>3</v>
      </c>
      <c r="H21" s="14">
        <f>+Dados!M21</f>
        <v>5</v>
      </c>
      <c r="I21" s="14">
        <f>+Dados!N21</f>
        <v>5</v>
      </c>
    </row>
    <row r="22" spans="1:9" x14ac:dyDescent="0.4">
      <c r="A22" s="14" t="str">
        <f>+Dados!V22</f>
        <v>SANTA CRUZ DO XINGU</v>
      </c>
      <c r="B22" s="14" t="str">
        <f>+Dados!G22</f>
        <v>Gestão municipal</v>
      </c>
      <c r="C22" s="14">
        <f>+Dados!H22</f>
        <v>5</v>
      </c>
      <c r="D22" s="14">
        <f>+Dados!I22</f>
        <v>5</v>
      </c>
      <c r="E22" s="14">
        <f>+Dados!J22</f>
        <v>4</v>
      </c>
      <c r="F22" s="14">
        <f>+Dados!K22</f>
        <v>5</v>
      </c>
      <c r="G22" s="14">
        <f>+Dados!L22</f>
        <v>5</v>
      </c>
      <c r="H22" s="14">
        <f>+Dados!M22</f>
        <v>5</v>
      </c>
      <c r="I22" s="14">
        <f>+Dados!N22</f>
        <v>5</v>
      </c>
    </row>
    <row r="23" spans="1:9" x14ac:dyDescent="0.4">
      <c r="C23" s="14"/>
      <c r="D23" s="14"/>
      <c r="E23" s="14"/>
      <c r="F23" s="14"/>
      <c r="G23" s="14"/>
      <c r="H23" s="14"/>
      <c r="I23" s="14"/>
    </row>
    <row r="24" spans="1:9" x14ac:dyDescent="0.4">
      <c r="C24" s="14"/>
      <c r="D24" s="14"/>
      <c r="E24" s="14"/>
      <c r="F24" s="14"/>
      <c r="G24" s="14"/>
      <c r="H24" s="14"/>
      <c r="I24" s="14"/>
    </row>
    <row r="25" spans="1:9" x14ac:dyDescent="0.4">
      <c r="C25" s="14"/>
      <c r="D25" s="14"/>
      <c r="E25" s="14"/>
      <c r="F25" s="14"/>
      <c r="G25" s="14"/>
      <c r="H25" s="14"/>
      <c r="I25" s="14"/>
    </row>
    <row r="26" spans="1:9" x14ac:dyDescent="0.4">
      <c r="C26" s="14"/>
      <c r="D26" s="14"/>
      <c r="E26" s="14"/>
      <c r="F26" s="14"/>
      <c r="G26" s="14"/>
      <c r="H26" s="14"/>
      <c r="I26" s="14"/>
    </row>
    <row r="27" spans="1:9" x14ac:dyDescent="0.4">
      <c r="C27" s="14"/>
      <c r="D27" s="14"/>
      <c r="E27" s="14"/>
      <c r="F27" s="14"/>
      <c r="G27" s="14"/>
      <c r="H27" s="14"/>
      <c r="I27" s="14"/>
    </row>
    <row r="28" spans="1:9" x14ac:dyDescent="0.4">
      <c r="C28" s="14"/>
      <c r="D28" s="14"/>
      <c r="E28" s="14"/>
      <c r="F28" s="14"/>
      <c r="G28" s="14"/>
      <c r="H28" s="14"/>
      <c r="I28" s="14"/>
    </row>
    <row r="29" spans="1:9" x14ac:dyDescent="0.4">
      <c r="C29" s="14"/>
      <c r="D29" s="14"/>
      <c r="E29" s="14"/>
      <c r="F29" s="14"/>
      <c r="G29" s="14"/>
      <c r="H29" s="14"/>
      <c r="I29" s="14"/>
    </row>
    <row r="30" spans="1:9" x14ac:dyDescent="0.4">
      <c r="C30" s="14"/>
      <c r="D30" s="14"/>
      <c r="E30" s="14"/>
      <c r="F30" s="14"/>
      <c r="G30" s="14"/>
      <c r="H30" s="14"/>
      <c r="I30" s="14"/>
    </row>
    <row r="31" spans="1:9" x14ac:dyDescent="0.4">
      <c r="C31" s="14"/>
      <c r="D31" s="14"/>
      <c r="E31" s="14"/>
      <c r="F31" s="14"/>
      <c r="G31" s="14"/>
      <c r="H31" s="14"/>
      <c r="I31" s="14"/>
    </row>
    <row r="32" spans="1:9" x14ac:dyDescent="0.4">
      <c r="C32" s="14"/>
      <c r="D32" s="14"/>
      <c r="E32" s="14"/>
      <c r="F32" s="14"/>
      <c r="G32" s="14"/>
      <c r="H32" s="14"/>
      <c r="I32" s="14"/>
    </row>
    <row r="33" spans="3:9" x14ac:dyDescent="0.4">
      <c r="C33" s="14"/>
      <c r="D33" s="14"/>
      <c r="E33" s="14"/>
      <c r="F33" s="14"/>
      <c r="G33" s="14"/>
      <c r="H33" s="14"/>
      <c r="I33" s="14"/>
    </row>
    <row r="34" spans="3:9" x14ac:dyDescent="0.4">
      <c r="C34" s="14"/>
      <c r="D34" s="14"/>
      <c r="E34" s="14"/>
      <c r="F34" s="14"/>
      <c r="G34" s="14"/>
      <c r="H34" s="14"/>
      <c r="I34" s="14"/>
    </row>
    <row r="35" spans="3:9" x14ac:dyDescent="0.4">
      <c r="C35" s="14"/>
      <c r="D35" s="14"/>
      <c r="E35" s="14"/>
      <c r="F35" s="14"/>
      <c r="G35" s="14"/>
      <c r="H35" s="14"/>
      <c r="I35" s="14"/>
    </row>
    <row r="36" spans="3:9" x14ac:dyDescent="0.4">
      <c r="C36" s="14"/>
      <c r="D36" s="14"/>
      <c r="E36" s="14"/>
      <c r="F36" s="14"/>
      <c r="G36" s="14"/>
      <c r="H36" s="14"/>
      <c r="I36" s="14"/>
    </row>
    <row r="37" spans="3:9" x14ac:dyDescent="0.4">
      <c r="C37" s="14"/>
      <c r="D37" s="14"/>
      <c r="E37" s="14"/>
      <c r="F37" s="14"/>
      <c r="G37" s="14"/>
      <c r="H37" s="14"/>
      <c r="I37" s="14"/>
    </row>
    <row r="38" spans="3:9" x14ac:dyDescent="0.4">
      <c r="C38" s="14"/>
      <c r="D38" s="14"/>
      <c r="E38" s="14"/>
      <c r="F38" s="14"/>
      <c r="G38" s="14"/>
      <c r="H38" s="14"/>
      <c r="I38" s="14"/>
    </row>
    <row r="39" spans="3:9" x14ac:dyDescent="0.4">
      <c r="C39" s="14"/>
      <c r="D39" s="14"/>
      <c r="E39" s="14"/>
      <c r="F39" s="14"/>
      <c r="G39" s="14"/>
      <c r="H39" s="14"/>
      <c r="I39" s="14"/>
    </row>
    <row r="40" spans="3:9" x14ac:dyDescent="0.4">
      <c r="C40" s="14"/>
      <c r="D40" s="14"/>
      <c r="E40" s="14"/>
      <c r="F40" s="14"/>
      <c r="G40" s="14"/>
      <c r="H40" s="14"/>
      <c r="I40" s="14"/>
    </row>
    <row r="41" spans="3:9" x14ac:dyDescent="0.4">
      <c r="C41" s="14"/>
      <c r="D41" s="14"/>
      <c r="E41" s="14"/>
      <c r="F41" s="14"/>
      <c r="G41" s="14"/>
      <c r="H41" s="14"/>
      <c r="I41" s="14"/>
    </row>
    <row r="42" spans="3:9" x14ac:dyDescent="0.4">
      <c r="C42" s="14"/>
      <c r="D42" s="14"/>
      <c r="E42" s="14"/>
      <c r="F42" s="14"/>
      <c r="G42" s="14"/>
      <c r="H42" s="14"/>
      <c r="I42" s="14"/>
    </row>
    <row r="43" spans="3:9" x14ac:dyDescent="0.4">
      <c r="C43" s="14"/>
      <c r="D43" s="14"/>
      <c r="E43" s="14"/>
      <c r="F43" s="14"/>
      <c r="G43" s="14"/>
      <c r="H43" s="14"/>
      <c r="I43" s="14"/>
    </row>
    <row r="44" spans="3:9" x14ac:dyDescent="0.4">
      <c r="C44" s="14"/>
      <c r="D44" s="14"/>
      <c r="E44" s="14"/>
      <c r="F44" s="14"/>
      <c r="G44" s="14"/>
      <c r="H44" s="14"/>
      <c r="I44" s="14"/>
    </row>
    <row r="45" spans="3:9" x14ac:dyDescent="0.4">
      <c r="C45" s="14"/>
      <c r="D45" s="14"/>
      <c r="E45" s="14"/>
      <c r="F45" s="14"/>
      <c r="G45" s="14"/>
      <c r="H45" s="14"/>
      <c r="I45" s="14"/>
    </row>
    <row r="46" spans="3:9" x14ac:dyDescent="0.4">
      <c r="C46" s="14"/>
      <c r="D46" s="14"/>
      <c r="E46" s="14"/>
      <c r="F46" s="14"/>
      <c r="G46" s="14"/>
      <c r="H46" s="14"/>
      <c r="I46" s="14"/>
    </row>
    <row r="47" spans="3:9" x14ac:dyDescent="0.4">
      <c r="C47" s="14"/>
      <c r="D47" s="14"/>
      <c r="E47" s="14"/>
      <c r="F47" s="14"/>
      <c r="G47" s="14"/>
      <c r="H47" s="14"/>
      <c r="I47" s="14"/>
    </row>
    <row r="48" spans="3:9" x14ac:dyDescent="0.4">
      <c r="C48" s="14"/>
      <c r="D48" s="14"/>
      <c r="E48" s="14"/>
      <c r="F48" s="14"/>
      <c r="G48" s="14"/>
      <c r="H48" s="14"/>
      <c r="I48" s="14"/>
    </row>
    <row r="49" spans="3:9" x14ac:dyDescent="0.4">
      <c r="C49" s="14"/>
      <c r="D49" s="14"/>
      <c r="E49" s="14"/>
      <c r="F49" s="14"/>
      <c r="G49" s="14"/>
      <c r="H49" s="14"/>
      <c r="I49" s="14"/>
    </row>
    <row r="50" spans="3:9" x14ac:dyDescent="0.4">
      <c r="C50" s="14"/>
      <c r="D50" s="14"/>
      <c r="E50" s="14"/>
      <c r="F50" s="14"/>
      <c r="G50" s="14"/>
      <c r="H50" s="14"/>
      <c r="I50" s="14"/>
    </row>
    <row r="51" spans="3:9" x14ac:dyDescent="0.4">
      <c r="C51" s="14"/>
      <c r="D51" s="14"/>
      <c r="E51" s="14"/>
      <c r="F51" s="14"/>
      <c r="G51" s="14"/>
      <c r="H51" s="14"/>
      <c r="I51" s="14"/>
    </row>
    <row r="52" spans="3:9" x14ac:dyDescent="0.4">
      <c r="C52" s="14"/>
      <c r="D52" s="14"/>
      <c r="E52" s="14"/>
      <c r="F52" s="14"/>
      <c r="G52" s="14"/>
      <c r="H52" s="14"/>
      <c r="I52" s="14"/>
    </row>
    <row r="53" spans="3:9" x14ac:dyDescent="0.4">
      <c r="C53" s="14"/>
      <c r="D53" s="14"/>
      <c r="E53" s="14"/>
      <c r="F53" s="14"/>
      <c r="G53" s="14"/>
      <c r="H53" s="14"/>
      <c r="I53" s="14"/>
    </row>
    <row r="54" spans="3:9" x14ac:dyDescent="0.4">
      <c r="C54" s="14"/>
      <c r="D54" s="14"/>
      <c r="E54" s="14"/>
      <c r="F54" s="14"/>
      <c r="G54" s="14"/>
      <c r="H54" s="14"/>
      <c r="I54" s="14"/>
    </row>
    <row r="55" spans="3:9" x14ac:dyDescent="0.4">
      <c r="C55" s="14"/>
      <c r="D55" s="14"/>
      <c r="E55" s="14"/>
      <c r="F55" s="14"/>
      <c r="G55" s="14"/>
      <c r="H55" s="14"/>
      <c r="I55" s="14"/>
    </row>
    <row r="56" spans="3:9" x14ac:dyDescent="0.4">
      <c r="C56" s="14"/>
      <c r="D56" s="14"/>
      <c r="E56" s="14"/>
      <c r="F56" s="14"/>
      <c r="G56" s="14"/>
      <c r="H56" s="14"/>
      <c r="I56" s="14"/>
    </row>
    <row r="57" spans="3:9" x14ac:dyDescent="0.4">
      <c r="C57" s="14"/>
      <c r="D57" s="14"/>
      <c r="E57" s="14"/>
      <c r="F57" s="14"/>
      <c r="G57" s="14"/>
      <c r="H57" s="14"/>
      <c r="I57" s="14"/>
    </row>
    <row r="58" spans="3:9" x14ac:dyDescent="0.4">
      <c r="C58" s="14"/>
      <c r="D58" s="14"/>
      <c r="E58" s="14"/>
      <c r="F58" s="14"/>
      <c r="G58" s="14"/>
      <c r="H58" s="14"/>
      <c r="I58" s="14"/>
    </row>
    <row r="59" spans="3:9" x14ac:dyDescent="0.4">
      <c r="C59" s="14"/>
      <c r="D59" s="14"/>
      <c r="E59" s="14"/>
      <c r="F59" s="14"/>
      <c r="G59" s="14"/>
      <c r="H59" s="14"/>
      <c r="I59" s="14"/>
    </row>
    <row r="60" spans="3:9" x14ac:dyDescent="0.4">
      <c r="C60" s="14"/>
      <c r="D60" s="14"/>
      <c r="E60" s="14"/>
      <c r="F60" s="14"/>
      <c r="G60" s="14"/>
      <c r="H60" s="14"/>
      <c r="I60" s="14"/>
    </row>
    <row r="61" spans="3:9" x14ac:dyDescent="0.4">
      <c r="C61" s="14"/>
      <c r="D61" s="14"/>
      <c r="E61" s="14"/>
      <c r="F61" s="14"/>
      <c r="G61" s="14"/>
      <c r="H61" s="14"/>
      <c r="I61" s="14"/>
    </row>
    <row r="62" spans="3:9" x14ac:dyDescent="0.4">
      <c r="C62" s="14"/>
      <c r="D62" s="14"/>
      <c r="E62" s="14"/>
      <c r="F62" s="14"/>
      <c r="G62" s="14"/>
      <c r="H62" s="14"/>
      <c r="I62" s="14"/>
    </row>
    <row r="63" spans="3:9" x14ac:dyDescent="0.4">
      <c r="C63" s="14"/>
      <c r="D63" s="14"/>
      <c r="E63" s="14"/>
      <c r="F63" s="14"/>
      <c r="G63" s="14"/>
      <c r="H63" s="14"/>
      <c r="I63" s="14"/>
    </row>
    <row r="64" spans="3:9" x14ac:dyDescent="0.4">
      <c r="C64" s="14"/>
      <c r="D64" s="14"/>
      <c r="E64" s="14"/>
      <c r="F64" s="14"/>
      <c r="G64" s="14"/>
      <c r="H64" s="14"/>
      <c r="I64" s="14"/>
    </row>
    <row r="65" spans="3:9" x14ac:dyDescent="0.4">
      <c r="C65" s="14"/>
      <c r="D65" s="14"/>
      <c r="E65" s="14"/>
      <c r="F65" s="14"/>
      <c r="G65" s="14"/>
      <c r="H65" s="14"/>
      <c r="I65" s="14"/>
    </row>
    <row r="66" spans="3:9" x14ac:dyDescent="0.4">
      <c r="C66" s="14"/>
      <c r="D66" s="14"/>
      <c r="E66" s="14"/>
      <c r="F66" s="14"/>
      <c r="G66" s="14"/>
      <c r="H66" s="14"/>
      <c r="I66" s="14"/>
    </row>
    <row r="67" spans="3:9" x14ac:dyDescent="0.4">
      <c r="C67" s="14"/>
      <c r="D67" s="14"/>
      <c r="E67" s="14"/>
      <c r="F67" s="14"/>
      <c r="G67" s="14"/>
      <c r="H67" s="14"/>
      <c r="I67" s="14"/>
    </row>
    <row r="68" spans="3:9" x14ac:dyDescent="0.4">
      <c r="C68" s="14"/>
      <c r="D68" s="14"/>
      <c r="E68" s="14"/>
      <c r="F68" s="14"/>
      <c r="G68" s="14"/>
      <c r="H68" s="14"/>
      <c r="I68" s="14"/>
    </row>
    <row r="69" spans="3:9" x14ac:dyDescent="0.4">
      <c r="C69" s="14"/>
      <c r="D69" s="14"/>
      <c r="E69" s="14"/>
      <c r="F69" s="14"/>
      <c r="G69" s="14"/>
      <c r="H69" s="14"/>
      <c r="I69" s="14"/>
    </row>
    <row r="70" spans="3:9" x14ac:dyDescent="0.4">
      <c r="C70" s="14"/>
      <c r="D70" s="14"/>
      <c r="E70" s="14"/>
      <c r="F70" s="14"/>
      <c r="G70" s="14"/>
      <c r="H70" s="14"/>
      <c r="I70" s="14"/>
    </row>
    <row r="71" spans="3:9" x14ac:dyDescent="0.4">
      <c r="C71" s="14"/>
      <c r="D71" s="14"/>
      <c r="E71" s="14"/>
      <c r="F71" s="14"/>
      <c r="G71" s="14"/>
      <c r="H71" s="14"/>
      <c r="I71" s="14"/>
    </row>
    <row r="72" spans="3:9" x14ac:dyDescent="0.4">
      <c r="C72" s="14"/>
      <c r="D72" s="14"/>
      <c r="E72" s="14"/>
      <c r="F72" s="14"/>
      <c r="G72" s="14"/>
      <c r="H72" s="14"/>
      <c r="I72" s="14"/>
    </row>
    <row r="73" spans="3:9" x14ac:dyDescent="0.4">
      <c r="C73" s="14"/>
      <c r="D73" s="14"/>
      <c r="E73" s="14"/>
      <c r="F73" s="14"/>
      <c r="G73" s="14"/>
      <c r="H73" s="14"/>
      <c r="I73" s="14"/>
    </row>
    <row r="74" spans="3:9" x14ac:dyDescent="0.4">
      <c r="C74" s="14"/>
      <c r="D74" s="14"/>
      <c r="E74" s="14"/>
      <c r="F74" s="14"/>
      <c r="G74" s="14"/>
      <c r="H74" s="14"/>
      <c r="I74" s="14"/>
    </row>
    <row r="75" spans="3:9" x14ac:dyDescent="0.4">
      <c r="C75" s="14"/>
      <c r="D75" s="14"/>
      <c r="E75" s="14"/>
      <c r="F75" s="14"/>
      <c r="G75" s="14"/>
      <c r="H75" s="14"/>
      <c r="I75" s="14"/>
    </row>
    <row r="76" spans="3:9" x14ac:dyDescent="0.4">
      <c r="C76" s="14"/>
      <c r="D76" s="14"/>
      <c r="E76" s="14"/>
      <c r="F76" s="14"/>
      <c r="G76" s="14"/>
      <c r="H76" s="14"/>
      <c r="I76" s="14"/>
    </row>
    <row r="77" spans="3:9" x14ac:dyDescent="0.4">
      <c r="C77" s="14"/>
      <c r="D77" s="14"/>
      <c r="E77" s="14"/>
      <c r="F77" s="14"/>
      <c r="G77" s="14"/>
      <c r="H77" s="14"/>
      <c r="I77" s="14"/>
    </row>
    <row r="78" spans="3:9" x14ac:dyDescent="0.4">
      <c r="C78" s="14"/>
      <c r="D78" s="14"/>
      <c r="E78" s="14"/>
      <c r="F78" s="14"/>
      <c r="G78" s="14"/>
      <c r="H78" s="14"/>
      <c r="I78" s="14"/>
    </row>
    <row r="79" spans="3:9" x14ac:dyDescent="0.4">
      <c r="C79" s="14"/>
      <c r="D79" s="14"/>
      <c r="E79" s="14"/>
      <c r="F79" s="14"/>
      <c r="G79" s="14"/>
      <c r="H79" s="14"/>
      <c r="I79" s="14"/>
    </row>
    <row r="80" spans="3:9" x14ac:dyDescent="0.4">
      <c r="C80" s="14"/>
      <c r="D80" s="14"/>
      <c r="E80" s="14"/>
      <c r="F80" s="14"/>
      <c r="G80" s="14"/>
      <c r="H80" s="14"/>
      <c r="I80" s="14"/>
    </row>
    <row r="81" spans="3:9" x14ac:dyDescent="0.4">
      <c r="C81" s="14"/>
      <c r="D81" s="14"/>
      <c r="E81" s="14"/>
      <c r="F81" s="14"/>
      <c r="G81" s="14"/>
      <c r="H81" s="14"/>
      <c r="I81" s="14"/>
    </row>
    <row r="82" spans="3:9" x14ac:dyDescent="0.4">
      <c r="C82" s="14"/>
      <c r="D82" s="14"/>
      <c r="E82" s="14"/>
      <c r="F82" s="14"/>
      <c r="G82" s="14"/>
      <c r="H82" s="14"/>
      <c r="I82" s="14"/>
    </row>
    <row r="83" spans="3:9" x14ac:dyDescent="0.4">
      <c r="C83" s="14"/>
      <c r="D83" s="14"/>
      <c r="E83" s="14"/>
      <c r="F83" s="14"/>
      <c r="G83" s="14"/>
      <c r="H83" s="14"/>
      <c r="I83" s="14"/>
    </row>
    <row r="84" spans="3:9" x14ac:dyDescent="0.4">
      <c r="C84" s="14"/>
      <c r="D84" s="14"/>
      <c r="E84" s="14"/>
      <c r="F84" s="14"/>
      <c r="G84" s="14"/>
      <c r="H84" s="14"/>
      <c r="I84" s="14"/>
    </row>
    <row r="85" spans="3:9" x14ac:dyDescent="0.4">
      <c r="C85" s="14"/>
      <c r="D85" s="14"/>
      <c r="E85" s="14"/>
      <c r="F85" s="14"/>
      <c r="G85" s="14"/>
      <c r="H85" s="14"/>
      <c r="I85" s="14"/>
    </row>
  </sheetData>
  <sortState xmlns:xlrd2="http://schemas.microsoft.com/office/spreadsheetml/2017/richdata2" ref="A2:I72">
    <sortCondition ref="B2:B72"/>
  </sortState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EE33E-F941-4DE3-AD62-EDA94AF3F309}">
  <dimension ref="A1:R48"/>
  <sheetViews>
    <sheetView zoomScale="70" zoomScaleNormal="70" workbookViewId="0">
      <selection activeCell="G9" sqref="G9"/>
    </sheetView>
  </sheetViews>
  <sheetFormatPr defaultColWidth="9" defaultRowHeight="19.5" x14ac:dyDescent="0.4"/>
  <cols>
    <col min="1" max="1" width="14.375" style="14" customWidth="1"/>
    <col min="2" max="2" width="20.375" style="14" customWidth="1"/>
    <col min="3" max="3" width="5.75" style="15" bestFit="1" customWidth="1"/>
    <col min="4" max="4" width="8.875" style="15" customWidth="1"/>
    <col min="5" max="8" width="7.25" style="15" bestFit="1" customWidth="1"/>
    <col min="9" max="9" width="10.375" style="15" bestFit="1" customWidth="1"/>
    <col min="10" max="11" width="23.25" style="1" customWidth="1"/>
    <col min="12" max="12" width="9" style="1"/>
    <col min="13" max="13" width="26.375" style="1" bestFit="1" customWidth="1"/>
    <col min="14" max="18" width="9.375" style="2" customWidth="1"/>
    <col min="19" max="16384" width="9" style="1"/>
  </cols>
  <sheetData>
    <row r="1" spans="1:18" ht="66.75" customHeight="1" x14ac:dyDescent="0.4">
      <c r="A1" s="12" t="s">
        <v>30</v>
      </c>
      <c r="B1" s="12" t="s">
        <v>31</v>
      </c>
      <c r="C1" s="13" t="s">
        <v>32</v>
      </c>
      <c r="D1" s="13" t="s">
        <v>33</v>
      </c>
      <c r="E1" s="13" t="s">
        <v>34</v>
      </c>
      <c r="F1" s="13" t="s">
        <v>35</v>
      </c>
      <c r="G1" s="13" t="s">
        <v>36</v>
      </c>
      <c r="H1" s="13" t="s">
        <v>37</v>
      </c>
      <c r="I1" s="12" t="s">
        <v>38</v>
      </c>
    </row>
    <row r="2" spans="1:18" x14ac:dyDescent="0.4">
      <c r="A2" s="14" t="str">
        <f>+Dados!V2</f>
        <v>NOVA BANDEIRANTES</v>
      </c>
      <c r="B2" s="14" t="str">
        <f>+Dados!G2</f>
        <v>CACS-FUNDEB</v>
      </c>
      <c r="C2" s="14">
        <f>+Dados!H2</f>
        <v>5</v>
      </c>
      <c r="D2" s="14">
        <f>+Dados!I2</f>
        <v>5</v>
      </c>
      <c r="E2" s="14">
        <f>+Dados!J2</f>
        <v>5</v>
      </c>
      <c r="F2" s="14">
        <f>+Dados!K2</f>
        <v>5</v>
      </c>
      <c r="G2" s="14">
        <f>+Dados!L2</f>
        <v>5</v>
      </c>
      <c r="H2" s="14">
        <f>+Dados!M2</f>
        <v>5</v>
      </c>
      <c r="I2" s="14">
        <f>+Dados!N2</f>
        <v>5</v>
      </c>
      <c r="N2" s="2" t="s">
        <v>2</v>
      </c>
      <c r="O2" s="2" t="s">
        <v>42</v>
      </c>
      <c r="P2" s="2" t="s">
        <v>41</v>
      </c>
      <c r="Q2" s="2" t="s">
        <v>40</v>
      </c>
      <c r="R2" s="2" t="s">
        <v>39</v>
      </c>
    </row>
    <row r="3" spans="1:18" x14ac:dyDescent="0.4">
      <c r="A3" s="14" t="str">
        <f>+Dados!V3</f>
        <v>ALTA FLORESTA</v>
      </c>
      <c r="B3" s="14" t="str">
        <f>+Dados!G3</f>
        <v>CACS-FUNDEB</v>
      </c>
      <c r="C3" s="14">
        <f>+Dados!H3</f>
        <v>5</v>
      </c>
      <c r="D3" s="14">
        <f>+Dados!I3</f>
        <v>4</v>
      </c>
      <c r="E3" s="14">
        <f>+Dados!J3</f>
        <v>5</v>
      </c>
      <c r="F3" s="14">
        <f>+Dados!K3</f>
        <v>5</v>
      </c>
      <c r="G3" s="14">
        <f>+Dados!L3</f>
        <v>5</v>
      </c>
      <c r="H3" s="14">
        <f>+Dados!M3</f>
        <v>3</v>
      </c>
      <c r="I3" s="14">
        <f>+Dados!N3</f>
        <v>5</v>
      </c>
      <c r="N3" s="14">
        <v>1</v>
      </c>
      <c r="O3" s="14">
        <v>2</v>
      </c>
      <c r="P3" s="14">
        <v>3</v>
      </c>
      <c r="Q3" s="14">
        <v>4</v>
      </c>
      <c r="R3" s="14">
        <v>5</v>
      </c>
    </row>
    <row r="4" spans="1:18" x14ac:dyDescent="0.4">
      <c r="A4" s="14" t="str">
        <f>+Dados!V4</f>
        <v>ALTA FLORESTA</v>
      </c>
      <c r="B4" s="14" t="str">
        <f>+Dados!G4</f>
        <v>CACS-FUNDEB</v>
      </c>
      <c r="C4" s="14">
        <f>+Dados!H4</f>
        <v>4</v>
      </c>
      <c r="D4" s="14">
        <f>+Dados!I4</f>
        <v>3</v>
      </c>
      <c r="E4" s="14">
        <f>+Dados!J4</f>
        <v>5</v>
      </c>
      <c r="F4" s="14">
        <f>+Dados!K4</f>
        <v>5</v>
      </c>
      <c r="G4" s="14">
        <f>+Dados!L4</f>
        <v>4</v>
      </c>
      <c r="H4" s="14">
        <f>+Dados!M4</f>
        <v>5</v>
      </c>
      <c r="I4" s="14">
        <f>+Dados!N4</f>
        <v>5</v>
      </c>
    </row>
    <row r="5" spans="1:18" x14ac:dyDescent="0.4">
      <c r="A5" s="14" t="str">
        <f>+Dados!V5</f>
        <v>ALTA FLORESTA</v>
      </c>
      <c r="B5" s="14" t="str">
        <f>+Dados!G5</f>
        <v>CACS-FUNDEB</v>
      </c>
      <c r="C5" s="14">
        <f>+Dados!H5</f>
        <v>4</v>
      </c>
      <c r="D5" s="14">
        <f>+Dados!I5</f>
        <v>4</v>
      </c>
      <c r="E5" s="14">
        <f>+Dados!J5</f>
        <v>4</v>
      </c>
      <c r="F5" s="14">
        <f>+Dados!K5</f>
        <v>4</v>
      </c>
      <c r="G5" s="14">
        <f>+Dados!L5</f>
        <v>4</v>
      </c>
      <c r="H5" s="14">
        <f>+Dados!M5</f>
        <v>4</v>
      </c>
      <c r="I5" s="14">
        <f>+Dados!N5</f>
        <v>4</v>
      </c>
      <c r="N5" s="2" t="str">
        <f>+_xlfn.CONCAT(N3," - ",N2)</f>
        <v>1 - Ruim</v>
      </c>
      <c r="O5" s="2" t="str">
        <f t="shared" ref="O5:R5" si="0">+_xlfn.CONCAT(O3," - ",O2)</f>
        <v>2 -  Regular</v>
      </c>
      <c r="P5" s="2" t="str">
        <f t="shared" si="0"/>
        <v>3 -  Neutro</v>
      </c>
      <c r="Q5" s="2" t="str">
        <f t="shared" si="0"/>
        <v>4 -  Muito Bom</v>
      </c>
      <c r="R5" s="2" t="str">
        <f t="shared" si="0"/>
        <v>5 - Excelente</v>
      </c>
    </row>
    <row r="6" spans="1:18" x14ac:dyDescent="0.4">
      <c r="A6" s="14" t="str">
        <f>+Dados!V6</f>
        <v>NOVA MONTE VERDE</v>
      </c>
      <c r="B6" s="14" t="str">
        <f>+Dados!G6</f>
        <v>CACS-FUNDEB</v>
      </c>
      <c r="C6" s="14">
        <f>+Dados!H6</f>
        <v>5</v>
      </c>
      <c r="D6" s="14">
        <f>+Dados!I6</f>
        <v>4</v>
      </c>
      <c r="E6" s="14">
        <f>+Dados!J6</f>
        <v>5</v>
      </c>
      <c r="F6" s="14">
        <f>+Dados!K6</f>
        <v>5</v>
      </c>
      <c r="G6" s="14">
        <f>+Dados!L6</f>
        <v>5</v>
      </c>
      <c r="H6" s="14">
        <f>+Dados!M6</f>
        <v>5</v>
      </c>
      <c r="I6" s="14">
        <f>+Dados!N6</f>
        <v>5</v>
      </c>
      <c r="M6" s="1" t="s">
        <v>32</v>
      </c>
      <c r="N6" s="16">
        <f>COUNTIF(C$2:C$52,$N3)/COUNT(C$2:C$52)</f>
        <v>0</v>
      </c>
      <c r="O6" s="16">
        <f>COUNTIF(C$2:C$52,$O3)/COUNT(C$2:C$52)</f>
        <v>0</v>
      </c>
      <c r="P6" s="16">
        <f>COUNTIF(C$2:C$52,$P3)/COUNT(C$2:C$52)</f>
        <v>0.25</v>
      </c>
      <c r="Q6" s="16">
        <f>COUNTIF(C$2:C$52,$Q3)/COUNT(C$2:C$52)</f>
        <v>0.25</v>
      </c>
      <c r="R6" s="16">
        <f>COUNTIF(C$2:C$52,$R3)/COUNT(C$2:C$52)</f>
        <v>0.5</v>
      </c>
    </row>
    <row r="7" spans="1:18" x14ac:dyDescent="0.4">
      <c r="A7" s="14" t="str">
        <f>+Dados!V7</f>
        <v>NOVA MONTE VERDE</v>
      </c>
      <c r="B7" s="14" t="str">
        <f>+Dados!G7</f>
        <v>CACS-FUNDEB</v>
      </c>
      <c r="C7" s="14">
        <f>+Dados!H7</f>
        <v>3</v>
      </c>
      <c r="D7" s="14">
        <f>+Dados!I7</f>
        <v>3</v>
      </c>
      <c r="E7" s="14">
        <f>+Dados!J7</f>
        <v>3</v>
      </c>
      <c r="F7" s="14">
        <f>+Dados!K7</f>
        <v>3</v>
      </c>
      <c r="G7" s="14">
        <f>+Dados!L7</f>
        <v>3</v>
      </c>
      <c r="H7" s="14">
        <f>+Dados!M7</f>
        <v>3</v>
      </c>
      <c r="I7" s="14">
        <f>+Dados!N7</f>
        <v>3</v>
      </c>
      <c r="M7" s="1" t="s">
        <v>33</v>
      </c>
      <c r="N7" s="16">
        <f>COUNTIF(D$2:D$52,$N3)/COUNT(D$2:D$52)</f>
        <v>0</v>
      </c>
      <c r="O7" s="16">
        <f>COUNTIF(D$2:D$52,$O3)/COUNT(D$2:D$52)</f>
        <v>0</v>
      </c>
      <c r="P7" s="16">
        <f>COUNTIF(D$2:D$52,$P3)/COUNT(D$2:D$52)</f>
        <v>0.375</v>
      </c>
      <c r="Q7" s="16">
        <f>COUNTIF(D$2:D$52,$Q3)/COUNT(D$2:D$52)</f>
        <v>0.375</v>
      </c>
      <c r="R7" s="16">
        <f>COUNTIF(D$2:D$52,$R3)/COUNT(D$2:D$52)</f>
        <v>0.25</v>
      </c>
    </row>
    <row r="8" spans="1:18" x14ac:dyDescent="0.4">
      <c r="A8" s="14" t="str">
        <f>+Dados!V8</f>
        <v>ALTA FLORESTA</v>
      </c>
      <c r="B8" s="14" t="str">
        <f>+Dados!G8</f>
        <v>CACS-FUNDEB</v>
      </c>
      <c r="C8" s="14">
        <f>+Dados!H8</f>
        <v>5</v>
      </c>
      <c r="D8" s="14">
        <f>+Dados!I8</f>
        <v>5</v>
      </c>
      <c r="E8" s="14">
        <f>+Dados!J8</f>
        <v>5</v>
      </c>
      <c r="F8" s="14">
        <f>+Dados!K8</f>
        <v>5</v>
      </c>
      <c r="G8" s="14">
        <f>+Dados!L8</f>
        <v>5</v>
      </c>
      <c r="H8" s="14">
        <f>+Dados!M8</f>
        <v>5</v>
      </c>
      <c r="I8" s="14">
        <f>+Dados!N8</f>
        <v>5</v>
      </c>
      <c r="M8" s="1" t="s">
        <v>34</v>
      </c>
      <c r="N8" s="16">
        <f>COUNTIF(E$2:E$52,$N3)/COUNT(E$2:E$52)</f>
        <v>0</v>
      </c>
      <c r="O8" s="16">
        <f>COUNTIF(E$2:E$52,$O3)/COUNT(E$2:E$52)</f>
        <v>0</v>
      </c>
      <c r="P8" s="16">
        <f>COUNTIF(E$2:E$52,$P3)/COUNT(E$2:E$52)</f>
        <v>0.125</v>
      </c>
      <c r="Q8" s="16">
        <f>COUNTIF(E$2:E$52,$Q3)/COUNT(E$2:E$52)</f>
        <v>0.25</v>
      </c>
      <c r="R8" s="16">
        <f>COUNTIF(E$2:E$52,$R3)/COUNT(E$2:E$52)</f>
        <v>0.625</v>
      </c>
    </row>
    <row r="9" spans="1:18" x14ac:dyDescent="0.4">
      <c r="A9" s="14" t="str">
        <f>+Dados!V9</f>
        <v>ALTA FLORESTA</v>
      </c>
      <c r="B9" s="14" t="str">
        <f>+Dados!G9</f>
        <v>CACS-FUNDEB</v>
      </c>
      <c r="C9" s="14">
        <f>+Dados!H9</f>
        <v>3</v>
      </c>
      <c r="D9" s="14">
        <f>+Dados!I9</f>
        <v>3</v>
      </c>
      <c r="E9" s="14">
        <f>+Dados!J9</f>
        <v>4</v>
      </c>
      <c r="F9" s="14">
        <f>+Dados!K9</f>
        <v>4</v>
      </c>
      <c r="G9" s="14">
        <f>+Dados!L9</f>
        <v>4</v>
      </c>
      <c r="H9" s="14">
        <f>+Dados!M9</f>
        <v>4</v>
      </c>
      <c r="I9" s="14">
        <f>+Dados!N9</f>
        <v>4</v>
      </c>
      <c r="M9" s="1" t="s">
        <v>35</v>
      </c>
      <c r="N9" s="16">
        <f>COUNTIF(F$2:F$52,$N3)/COUNT(F$2:F$52)</f>
        <v>0</v>
      </c>
      <c r="O9" s="16">
        <f>COUNTIF(F$2:F$52,$O3)/COUNT(F$2:F$52)</f>
        <v>0</v>
      </c>
      <c r="P9" s="16">
        <f>COUNTIF(F$2:F$52,$P3)/COUNT(F$2:F$52)</f>
        <v>0.125</v>
      </c>
      <c r="Q9" s="16">
        <f>COUNTIF(F$2:F$52,$Q3)/COUNT(F$2:F$52)</f>
        <v>0.25</v>
      </c>
      <c r="R9" s="16">
        <f>COUNTIF(F$2:F$52,$R3)/COUNT(F$2:F$52)</f>
        <v>0.625</v>
      </c>
    </row>
    <row r="10" spans="1:18" x14ac:dyDescent="0.4">
      <c r="C10" s="14"/>
      <c r="D10" s="14"/>
      <c r="E10" s="14"/>
      <c r="F10" s="14"/>
      <c r="G10" s="14"/>
      <c r="H10" s="14"/>
      <c r="I10" s="14"/>
      <c r="M10" s="1" t="s">
        <v>36</v>
      </c>
      <c r="N10" s="16">
        <f>COUNTIF(G$2:G$52,$N3)/COUNT(G$2:G$52)</f>
        <v>0</v>
      </c>
      <c r="O10" s="16">
        <f>COUNTIF(G$2:G$52,$O3)/COUNT(G$2:G$52)</f>
        <v>0</v>
      </c>
      <c r="P10" s="16">
        <f>COUNTIF(G$2:G$52,$P3)/COUNT(G$2:G$52)</f>
        <v>0.125</v>
      </c>
      <c r="Q10" s="16">
        <f>COUNTIF(G$2:G$52,$Q3)/COUNT(G$2:G$52)</f>
        <v>0.375</v>
      </c>
      <c r="R10" s="16">
        <f>COUNTIF(G$2:G$52,$R3)/COUNT(G$2:G$52)</f>
        <v>0.5</v>
      </c>
    </row>
    <row r="11" spans="1:18" x14ac:dyDescent="0.4">
      <c r="C11" s="14"/>
      <c r="D11" s="14"/>
      <c r="E11" s="14"/>
      <c r="F11" s="14"/>
      <c r="G11" s="14"/>
      <c r="H11" s="14"/>
      <c r="I11" s="14"/>
      <c r="M11" s="1" t="s">
        <v>37</v>
      </c>
      <c r="N11" s="16">
        <f>COUNTIF(H$2:H$52,$N3)/COUNT(H$2:H$52)</f>
        <v>0</v>
      </c>
      <c r="O11" s="16">
        <f>COUNTIF(H$2:H$52,$O3)/COUNT(H$2:H$52)</f>
        <v>0</v>
      </c>
      <c r="P11" s="16">
        <f>COUNTIF(H$2:H$52,$P3)/COUNT(H$2:H$52)</f>
        <v>0.25</v>
      </c>
      <c r="Q11" s="16">
        <f>COUNTIF(H$2:H$52,$Q3)/COUNT(H$2:H$52)</f>
        <v>0.25</v>
      </c>
      <c r="R11" s="16">
        <f>COUNTIF(H$2:H$52,$R3)/COUNT(H$2:H$52)</f>
        <v>0.5</v>
      </c>
    </row>
    <row r="12" spans="1:18" x14ac:dyDescent="0.4">
      <c r="C12" s="14"/>
      <c r="D12" s="14"/>
      <c r="E12" s="14"/>
      <c r="F12" s="14"/>
      <c r="G12" s="14"/>
      <c r="H12" s="14"/>
      <c r="I12" s="14"/>
      <c r="M12" s="1" t="s">
        <v>38</v>
      </c>
      <c r="N12" s="16">
        <f>COUNTIF(I$2:I$52,$N3)/COUNT(I$2:I$52)</f>
        <v>0</v>
      </c>
      <c r="O12" s="16">
        <f>COUNTIF(I$2:I$52,$O3)/COUNT(I$2:I$52)</f>
        <v>0</v>
      </c>
      <c r="P12" s="16">
        <f>COUNTIF(I$2:I$52,$P3)/COUNT(I$2:I$52)</f>
        <v>0.125</v>
      </c>
      <c r="Q12" s="16">
        <f>COUNTIF(I$2:I$52,$Q3)/COUNT(I$2:I$52)</f>
        <v>0.25</v>
      </c>
      <c r="R12" s="16">
        <f>COUNTIF(I$2:I$52,$R3)/COUNT(I$2:I$52)</f>
        <v>0.625</v>
      </c>
    </row>
    <row r="13" spans="1:18" x14ac:dyDescent="0.4">
      <c r="C13" s="14"/>
      <c r="D13" s="14"/>
      <c r="E13" s="14"/>
      <c r="F13" s="14"/>
      <c r="G13" s="14"/>
      <c r="H13" s="14"/>
      <c r="I13" s="14"/>
    </row>
    <row r="14" spans="1:18" x14ac:dyDescent="0.4">
      <c r="C14" s="14"/>
      <c r="D14" s="14"/>
      <c r="E14" s="14"/>
      <c r="F14" s="14"/>
      <c r="G14" s="14"/>
      <c r="H14" s="14"/>
      <c r="I14" s="14"/>
    </row>
    <row r="15" spans="1:18" x14ac:dyDescent="0.4">
      <c r="C15" s="14"/>
      <c r="D15" s="14"/>
      <c r="E15" s="14"/>
      <c r="F15" s="14"/>
      <c r="G15" s="14"/>
      <c r="H15" s="14"/>
      <c r="I15" s="14"/>
    </row>
    <row r="16" spans="1:18" x14ac:dyDescent="0.4">
      <c r="C16" s="14"/>
      <c r="D16" s="14"/>
      <c r="E16" s="14"/>
      <c r="F16" s="14"/>
      <c r="G16" s="14"/>
      <c r="H16" s="14"/>
      <c r="I16" s="14"/>
    </row>
    <row r="17" spans="3:9" x14ac:dyDescent="0.4">
      <c r="C17" s="14"/>
      <c r="D17" s="14"/>
      <c r="E17" s="14"/>
      <c r="F17" s="14"/>
      <c r="G17" s="14"/>
      <c r="H17" s="14"/>
      <c r="I17" s="14"/>
    </row>
    <row r="18" spans="3:9" x14ac:dyDescent="0.4">
      <c r="C18" s="14"/>
      <c r="D18" s="14"/>
      <c r="E18" s="14"/>
      <c r="F18" s="14"/>
      <c r="G18" s="14"/>
      <c r="H18" s="14"/>
      <c r="I18" s="14"/>
    </row>
    <row r="19" spans="3:9" x14ac:dyDescent="0.4">
      <c r="C19" s="14"/>
      <c r="D19" s="14"/>
      <c r="E19" s="14"/>
      <c r="F19" s="14"/>
      <c r="G19" s="14"/>
      <c r="H19" s="14"/>
      <c r="I19" s="14"/>
    </row>
    <row r="20" spans="3:9" x14ac:dyDescent="0.4">
      <c r="C20" s="14"/>
      <c r="D20" s="14"/>
      <c r="E20" s="14"/>
      <c r="F20" s="14"/>
      <c r="G20" s="14"/>
      <c r="H20" s="14"/>
      <c r="I20" s="14"/>
    </row>
    <row r="21" spans="3:9" x14ac:dyDescent="0.4">
      <c r="C21" s="14"/>
      <c r="D21" s="14"/>
      <c r="E21" s="14"/>
      <c r="F21" s="14"/>
      <c r="G21" s="14"/>
      <c r="H21" s="14"/>
      <c r="I21" s="14"/>
    </row>
    <row r="22" spans="3:9" x14ac:dyDescent="0.4">
      <c r="C22" s="14"/>
      <c r="D22" s="14"/>
      <c r="E22" s="14"/>
      <c r="F22" s="14"/>
      <c r="G22" s="14"/>
      <c r="H22" s="14"/>
      <c r="I22" s="14"/>
    </row>
    <row r="23" spans="3:9" x14ac:dyDescent="0.4">
      <c r="C23" s="14"/>
      <c r="D23" s="14"/>
      <c r="E23" s="14"/>
      <c r="F23" s="14"/>
      <c r="G23" s="14"/>
      <c r="H23" s="14"/>
      <c r="I23" s="14"/>
    </row>
    <row r="24" spans="3:9" x14ac:dyDescent="0.4">
      <c r="C24" s="14"/>
      <c r="D24" s="14"/>
      <c r="E24" s="14"/>
      <c r="F24" s="14"/>
      <c r="G24" s="14"/>
      <c r="H24" s="14"/>
      <c r="I24" s="14"/>
    </row>
    <row r="25" spans="3:9" x14ac:dyDescent="0.4">
      <c r="C25" s="14"/>
      <c r="D25" s="14"/>
      <c r="E25" s="14"/>
      <c r="F25" s="14"/>
      <c r="G25" s="14"/>
      <c r="H25" s="14"/>
      <c r="I25" s="14"/>
    </row>
    <row r="26" spans="3:9" x14ac:dyDescent="0.4">
      <c r="C26" s="14"/>
      <c r="D26" s="14"/>
      <c r="E26" s="14"/>
      <c r="F26" s="14"/>
      <c r="G26" s="14"/>
      <c r="H26" s="14"/>
      <c r="I26" s="14"/>
    </row>
    <row r="27" spans="3:9" x14ac:dyDescent="0.4">
      <c r="C27" s="14"/>
      <c r="D27" s="14"/>
      <c r="E27" s="14"/>
      <c r="F27" s="14"/>
      <c r="G27" s="14"/>
      <c r="H27" s="14"/>
      <c r="I27" s="14"/>
    </row>
    <row r="28" spans="3:9" x14ac:dyDescent="0.4">
      <c r="C28" s="14"/>
      <c r="D28" s="14"/>
      <c r="E28" s="14"/>
      <c r="F28" s="14"/>
      <c r="G28" s="14"/>
      <c r="H28" s="14"/>
      <c r="I28" s="14"/>
    </row>
    <row r="29" spans="3:9" x14ac:dyDescent="0.4">
      <c r="C29" s="14"/>
      <c r="D29" s="14"/>
      <c r="E29" s="14"/>
      <c r="F29" s="14"/>
      <c r="G29" s="14"/>
      <c r="H29" s="14"/>
      <c r="I29" s="14"/>
    </row>
    <row r="30" spans="3:9" x14ac:dyDescent="0.4">
      <c r="C30" s="14"/>
      <c r="D30" s="14"/>
      <c r="E30" s="14"/>
      <c r="F30" s="14"/>
      <c r="G30" s="14"/>
      <c r="H30" s="14"/>
      <c r="I30" s="14"/>
    </row>
    <row r="31" spans="3:9" x14ac:dyDescent="0.4">
      <c r="C31" s="14"/>
      <c r="D31" s="14"/>
      <c r="E31" s="14"/>
      <c r="F31" s="14"/>
      <c r="G31" s="14"/>
      <c r="H31" s="14"/>
      <c r="I31" s="14"/>
    </row>
    <row r="32" spans="3:9" x14ac:dyDescent="0.4">
      <c r="C32" s="14"/>
      <c r="D32" s="14"/>
      <c r="E32" s="14"/>
      <c r="F32" s="14"/>
      <c r="G32" s="14"/>
      <c r="H32" s="14"/>
      <c r="I32" s="14"/>
    </row>
    <row r="33" spans="3:9" x14ac:dyDescent="0.4">
      <c r="C33" s="14"/>
      <c r="D33" s="14"/>
      <c r="E33" s="14"/>
      <c r="F33" s="14"/>
      <c r="G33" s="14"/>
      <c r="H33" s="14"/>
      <c r="I33" s="14"/>
    </row>
    <row r="34" spans="3:9" x14ac:dyDescent="0.4">
      <c r="C34" s="14"/>
      <c r="D34" s="14"/>
      <c r="E34" s="14"/>
      <c r="F34" s="14"/>
      <c r="G34" s="14"/>
      <c r="H34" s="14"/>
      <c r="I34" s="14"/>
    </row>
    <row r="35" spans="3:9" x14ac:dyDescent="0.4">
      <c r="C35" s="14"/>
      <c r="D35" s="14"/>
      <c r="E35" s="14"/>
      <c r="F35" s="14"/>
      <c r="G35" s="14"/>
      <c r="H35" s="14"/>
      <c r="I35" s="14"/>
    </row>
    <row r="36" spans="3:9" x14ac:dyDescent="0.4">
      <c r="C36" s="14"/>
      <c r="D36" s="14"/>
      <c r="E36" s="14"/>
      <c r="F36" s="14"/>
      <c r="G36" s="14"/>
      <c r="H36" s="14"/>
      <c r="I36" s="14"/>
    </row>
    <row r="37" spans="3:9" x14ac:dyDescent="0.4">
      <c r="C37" s="14"/>
      <c r="D37" s="14"/>
      <c r="E37" s="14"/>
      <c r="F37" s="14"/>
      <c r="G37" s="14"/>
      <c r="H37" s="14"/>
      <c r="I37" s="14"/>
    </row>
    <row r="38" spans="3:9" x14ac:dyDescent="0.4">
      <c r="C38" s="14"/>
      <c r="D38" s="14"/>
      <c r="E38" s="14"/>
      <c r="F38" s="14"/>
      <c r="G38" s="14"/>
      <c r="H38" s="14"/>
      <c r="I38" s="14"/>
    </row>
    <row r="39" spans="3:9" x14ac:dyDescent="0.4">
      <c r="C39" s="14"/>
      <c r="D39" s="14"/>
      <c r="E39" s="14"/>
      <c r="F39" s="14"/>
      <c r="G39" s="14"/>
      <c r="H39" s="14"/>
      <c r="I39" s="14"/>
    </row>
    <row r="40" spans="3:9" x14ac:dyDescent="0.4">
      <c r="C40" s="14"/>
      <c r="D40" s="14"/>
      <c r="E40" s="14"/>
      <c r="F40" s="14"/>
      <c r="G40" s="14"/>
      <c r="H40" s="14"/>
      <c r="I40" s="14"/>
    </row>
    <row r="41" spans="3:9" x14ac:dyDescent="0.4">
      <c r="C41" s="14"/>
      <c r="D41" s="14"/>
      <c r="E41" s="14"/>
      <c r="F41" s="14"/>
      <c r="G41" s="14"/>
      <c r="H41" s="14"/>
      <c r="I41" s="14"/>
    </row>
    <row r="42" spans="3:9" x14ac:dyDescent="0.4">
      <c r="C42" s="14"/>
      <c r="D42" s="14"/>
      <c r="E42" s="14"/>
      <c r="F42" s="14"/>
      <c r="G42" s="14"/>
      <c r="H42" s="14"/>
      <c r="I42" s="14"/>
    </row>
    <row r="43" spans="3:9" x14ac:dyDescent="0.4">
      <c r="C43" s="14"/>
      <c r="D43" s="14"/>
      <c r="E43" s="14"/>
      <c r="F43" s="14"/>
      <c r="G43" s="14"/>
      <c r="H43" s="14"/>
      <c r="I43" s="14"/>
    </row>
    <row r="44" spans="3:9" x14ac:dyDescent="0.4">
      <c r="C44" s="14"/>
      <c r="D44" s="14"/>
      <c r="E44" s="14"/>
      <c r="F44" s="14"/>
      <c r="G44" s="14"/>
      <c r="H44" s="14"/>
      <c r="I44" s="14"/>
    </row>
    <row r="45" spans="3:9" x14ac:dyDescent="0.4">
      <c r="C45" s="14"/>
      <c r="D45" s="14"/>
      <c r="E45" s="14"/>
      <c r="F45" s="14"/>
      <c r="G45" s="14"/>
      <c r="H45" s="14"/>
      <c r="I45" s="14"/>
    </row>
    <row r="46" spans="3:9" x14ac:dyDescent="0.4">
      <c r="C46" s="14"/>
      <c r="D46" s="14"/>
      <c r="E46" s="14"/>
      <c r="F46" s="14"/>
      <c r="G46" s="14"/>
      <c r="H46" s="14"/>
      <c r="I46" s="14"/>
    </row>
    <row r="47" spans="3:9" x14ac:dyDescent="0.4">
      <c r="C47" s="14"/>
      <c r="D47" s="14"/>
      <c r="E47" s="14"/>
      <c r="F47" s="14"/>
      <c r="G47" s="14"/>
      <c r="H47" s="14"/>
      <c r="I47" s="14"/>
    </row>
    <row r="48" spans="3:9" x14ac:dyDescent="0.4">
      <c r="C48" s="14"/>
      <c r="D48" s="14"/>
      <c r="E48" s="14"/>
      <c r="F48" s="14"/>
      <c r="G48" s="14"/>
      <c r="H48" s="14"/>
      <c r="I48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C264D-2086-4E5E-A9BF-F02DA588FEA2}">
  <dimension ref="A1:R79"/>
  <sheetViews>
    <sheetView topLeftCell="A6" zoomScale="85" zoomScaleNormal="85" workbookViewId="0">
      <selection activeCell="K26" sqref="K26"/>
    </sheetView>
  </sheetViews>
  <sheetFormatPr defaultColWidth="9" defaultRowHeight="19.5" x14ac:dyDescent="0.4"/>
  <cols>
    <col min="1" max="1" width="14.375" style="14" customWidth="1"/>
    <col min="2" max="2" width="20.375" style="14" customWidth="1"/>
    <col min="3" max="3" width="5.75" style="15" bestFit="1" customWidth="1"/>
    <col min="4" max="4" width="8.875" style="15" customWidth="1"/>
    <col min="5" max="8" width="7.25" style="15" bestFit="1" customWidth="1"/>
    <col min="9" max="9" width="10.375" style="15" bestFit="1" customWidth="1"/>
    <col min="10" max="11" width="23.25" style="1" customWidth="1"/>
    <col min="12" max="12" width="9" style="1"/>
    <col min="13" max="13" width="26.375" style="1" bestFit="1" customWidth="1"/>
    <col min="14" max="18" width="9.375" style="2" customWidth="1"/>
    <col min="19" max="16384" width="9" style="1"/>
  </cols>
  <sheetData>
    <row r="1" spans="1:18" ht="66.75" customHeight="1" x14ac:dyDescent="0.4">
      <c r="A1" s="12" t="s">
        <v>30</v>
      </c>
      <c r="B1" s="12" t="s">
        <v>31</v>
      </c>
      <c r="C1" s="13" t="s">
        <v>32</v>
      </c>
      <c r="D1" s="13" t="s">
        <v>33</v>
      </c>
      <c r="E1" s="13" t="s">
        <v>34</v>
      </c>
      <c r="F1" s="13" t="s">
        <v>35</v>
      </c>
      <c r="G1" s="13" t="s">
        <v>36</v>
      </c>
      <c r="H1" s="13" t="s">
        <v>37</v>
      </c>
      <c r="I1" s="12" t="s">
        <v>38</v>
      </c>
    </row>
    <row r="2" spans="1:18" x14ac:dyDescent="0.4">
      <c r="C2" s="14"/>
      <c r="D2" s="14"/>
      <c r="E2" s="14"/>
      <c r="F2" s="14"/>
      <c r="G2" s="14"/>
      <c r="H2" s="14"/>
      <c r="I2" s="14"/>
      <c r="N2" s="2" t="s">
        <v>2</v>
      </c>
      <c r="O2" s="2" t="s">
        <v>42</v>
      </c>
      <c r="P2" s="2" t="s">
        <v>41</v>
      </c>
      <c r="Q2" s="2" t="s">
        <v>40</v>
      </c>
      <c r="R2" s="2" t="s">
        <v>39</v>
      </c>
    </row>
    <row r="3" spans="1:18" x14ac:dyDescent="0.4">
      <c r="C3" s="14"/>
      <c r="D3" s="14"/>
      <c r="E3" s="14"/>
      <c r="F3" s="14"/>
      <c r="G3" s="14"/>
      <c r="H3" s="14"/>
      <c r="I3" s="14"/>
      <c r="N3" s="14">
        <v>1</v>
      </c>
      <c r="O3" s="14">
        <v>2</v>
      </c>
      <c r="P3" s="14">
        <v>3</v>
      </c>
      <c r="Q3" s="14">
        <v>4</v>
      </c>
      <c r="R3" s="14">
        <v>5</v>
      </c>
    </row>
    <row r="4" spans="1:18" x14ac:dyDescent="0.4">
      <c r="C4" s="14"/>
      <c r="D4" s="14"/>
      <c r="E4" s="14"/>
      <c r="F4" s="14"/>
      <c r="G4" s="14"/>
      <c r="H4" s="14"/>
      <c r="I4" s="14"/>
    </row>
    <row r="5" spans="1:18" x14ac:dyDescent="0.4">
      <c r="C5" s="14"/>
      <c r="D5" s="14"/>
      <c r="E5" s="14"/>
      <c r="F5" s="14"/>
      <c r="G5" s="14"/>
      <c r="H5" s="14"/>
      <c r="I5" s="14"/>
      <c r="N5" s="2" t="str">
        <f>+_xlfn.CONCAT(N3," - ",N2)</f>
        <v>1 - Ruim</v>
      </c>
      <c r="O5" s="2" t="str">
        <f t="shared" ref="O5:R5" si="0">+_xlfn.CONCAT(O3," - ",O2)</f>
        <v>2 -  Regular</v>
      </c>
      <c r="P5" s="2" t="str">
        <f t="shared" si="0"/>
        <v>3 -  Neutro</v>
      </c>
      <c r="Q5" s="2" t="str">
        <f t="shared" si="0"/>
        <v>4 -  Muito Bom</v>
      </c>
      <c r="R5" s="2" t="str">
        <f t="shared" si="0"/>
        <v>5 - Excelente</v>
      </c>
    </row>
    <row r="6" spans="1:18" x14ac:dyDescent="0.4">
      <c r="C6" s="14"/>
      <c r="D6" s="14"/>
      <c r="E6" s="14"/>
      <c r="F6" s="14"/>
      <c r="G6" s="14"/>
      <c r="H6" s="14"/>
      <c r="I6" s="14"/>
      <c r="M6" s="1" t="s">
        <v>32</v>
      </c>
      <c r="N6" s="16">
        <f>COUNTIF(C$2:C$56,$N3)/COUNT(C$2:C$56)</f>
        <v>0</v>
      </c>
      <c r="O6" s="16">
        <f>COUNTIF(C$2:C$56,$O3)/COUNT(C$2:C$56)</f>
        <v>0</v>
      </c>
      <c r="P6" s="16">
        <f>COUNTIF(C$2:C$56,$P3)/COUNT(C$2:C$56)</f>
        <v>0</v>
      </c>
      <c r="Q6" s="16">
        <f>COUNTIF(C$2:C$56,$Q3)/COUNT(C$2:C$56)</f>
        <v>7.6923076923076927E-2</v>
      </c>
      <c r="R6" s="16">
        <f>COUNTIF(C$2:C$56,$R3)/COUNT(C$2:C$56)</f>
        <v>0.92307692307692313</v>
      </c>
    </row>
    <row r="7" spans="1:18" x14ac:dyDescent="0.4">
      <c r="C7" s="14"/>
      <c r="D7" s="14"/>
      <c r="E7" s="14"/>
      <c r="F7" s="14"/>
      <c r="G7" s="14"/>
      <c r="H7" s="14"/>
      <c r="I7" s="14"/>
      <c r="M7" s="1" t="s">
        <v>33</v>
      </c>
      <c r="N7" s="16">
        <f>COUNTIF(D$2:D$56,$N3)/COUNT(D$2:D$56)</f>
        <v>0</v>
      </c>
      <c r="O7" s="16">
        <f>COUNTIF(D$2:D$56,$O3)/COUNT(D$2:D$56)</f>
        <v>0</v>
      </c>
      <c r="P7" s="16">
        <f>COUNTIF(D$2:D$56,$P3)/COUNT(D$2:D$56)</f>
        <v>7.6923076923076927E-2</v>
      </c>
      <c r="Q7" s="16">
        <f>COUNTIF(D$2:D$56,$Q3)/COUNT(D$2:D$56)</f>
        <v>7.6923076923076927E-2</v>
      </c>
      <c r="R7" s="16">
        <f>COUNTIF(D$2:D$56,$R3)/COUNT(D$2:D$56)</f>
        <v>0.84615384615384615</v>
      </c>
    </row>
    <row r="8" spans="1:18" x14ac:dyDescent="0.4">
      <c r="C8" s="14"/>
      <c r="D8" s="14"/>
      <c r="E8" s="14"/>
      <c r="F8" s="14"/>
      <c r="G8" s="14"/>
      <c r="H8" s="14"/>
      <c r="I8" s="14"/>
      <c r="M8" s="1" t="s">
        <v>34</v>
      </c>
      <c r="N8" s="16">
        <f>COUNTIF(E$2:E$56,$N3)/COUNT(E$2:E$56)</f>
        <v>0</v>
      </c>
      <c r="O8" s="16">
        <f>COUNTIF(E$2:E$56,$O3)/COUNT(E$2:E$56)</f>
        <v>0</v>
      </c>
      <c r="P8" s="16">
        <f>COUNTIF(E$2:E$56,$P3)/COUNT(E$2:E$56)</f>
        <v>7.6923076923076927E-2</v>
      </c>
      <c r="Q8" s="16">
        <f>COUNTIF(E$2:E$56,$Q3)/COUNT(E$2:E$56)</f>
        <v>7.6923076923076927E-2</v>
      </c>
      <c r="R8" s="16">
        <f>COUNTIF(E$2:E$56,$R3)/COUNT(E$2:E$56)</f>
        <v>0.84615384615384615</v>
      </c>
    </row>
    <row r="9" spans="1:18" x14ac:dyDescent="0.4">
      <c r="C9" s="14"/>
      <c r="D9" s="14"/>
      <c r="E9" s="14"/>
      <c r="F9" s="14"/>
      <c r="G9" s="14"/>
      <c r="H9" s="14"/>
      <c r="I9" s="14"/>
      <c r="M9" s="1" t="s">
        <v>35</v>
      </c>
      <c r="N9" s="16">
        <f>COUNTIF(F$2:F$56,$N3)/COUNT(F$2:F$56)</f>
        <v>0</v>
      </c>
      <c r="O9" s="16">
        <f>COUNTIF(F$2:F$56,$O3)/COUNT(F$2:F$56)</f>
        <v>0</v>
      </c>
      <c r="P9" s="16">
        <f>COUNTIF(F$2:F$56,$P3)/COUNT(F$2:F$56)</f>
        <v>0</v>
      </c>
      <c r="Q9" s="16">
        <f>COUNTIF(F$2:F$56,$Q3)/COUNT(F$2:F$56)</f>
        <v>0</v>
      </c>
      <c r="R9" s="16">
        <f>COUNTIF(F$2:F$56,$R3)/COUNT(F$2:F$56)</f>
        <v>1</v>
      </c>
    </row>
    <row r="10" spans="1:18" x14ac:dyDescent="0.4">
      <c r="A10" s="14" t="str">
        <f>+Dados!V10</f>
        <v>NOVA BANDEIRANTES</v>
      </c>
      <c r="B10" s="14" t="str">
        <f>+Dados!G10</f>
        <v>Gestão municipal</v>
      </c>
      <c r="C10" s="14">
        <f>+Dados!H10</f>
        <v>5</v>
      </c>
      <c r="D10" s="14">
        <f>+Dados!I10</f>
        <v>5</v>
      </c>
      <c r="E10" s="14">
        <f>+Dados!J10</f>
        <v>5</v>
      </c>
      <c r="F10" s="14">
        <f>+Dados!K10</f>
        <v>5</v>
      </c>
      <c r="G10" s="14">
        <f>+Dados!L10</f>
        <v>5</v>
      </c>
      <c r="H10" s="14">
        <f>+Dados!M10</f>
        <v>5</v>
      </c>
      <c r="I10" s="14">
        <f>+Dados!N10</f>
        <v>5</v>
      </c>
      <c r="M10" s="1" t="s">
        <v>36</v>
      </c>
      <c r="N10" s="16">
        <f>COUNTIF(G$2:G$56,$N3)/COUNT(G$2:G$56)</f>
        <v>0</v>
      </c>
      <c r="O10" s="16">
        <f>COUNTIF(G$2:G$56,$O3)/COUNT(G$2:G$56)</f>
        <v>0</v>
      </c>
      <c r="P10" s="16">
        <f>COUNTIF(G$2:G$56,$P3)/COUNT(G$2:G$56)</f>
        <v>7.6923076923076927E-2</v>
      </c>
      <c r="Q10" s="16">
        <f>COUNTIF(G$2:G$56,$Q3)/COUNT(G$2:G$56)</f>
        <v>0</v>
      </c>
      <c r="R10" s="16">
        <f>COUNTIF(G$2:G$56,$R3)/COUNT(G$2:G$56)</f>
        <v>0.92307692307692313</v>
      </c>
    </row>
    <row r="11" spans="1:18" x14ac:dyDescent="0.4">
      <c r="A11" s="14" t="str">
        <f>+Dados!V11</f>
        <v>APIACÁS</v>
      </c>
      <c r="B11" s="14" t="str">
        <f>+Dados!G11</f>
        <v>Gestão municipal</v>
      </c>
      <c r="C11" s="14">
        <f>+Dados!H11</f>
        <v>5</v>
      </c>
      <c r="D11" s="14">
        <f>+Dados!I11</f>
        <v>4</v>
      </c>
      <c r="E11" s="14">
        <f>+Dados!J11</f>
        <v>5</v>
      </c>
      <c r="F11" s="14">
        <f>+Dados!K11</f>
        <v>5</v>
      </c>
      <c r="G11" s="14">
        <f>+Dados!L11</f>
        <v>5</v>
      </c>
      <c r="H11" s="14">
        <f>+Dados!M11</f>
        <v>5</v>
      </c>
      <c r="I11" s="14">
        <f>+Dados!N11</f>
        <v>4</v>
      </c>
      <c r="M11" s="1" t="s">
        <v>37</v>
      </c>
      <c r="N11" s="16">
        <f>COUNTIF(H$2:H$56,$N3)/COUNT(H$2:H$56)</f>
        <v>0</v>
      </c>
      <c r="O11" s="16">
        <f>COUNTIF(H$2:H$56,$O3)/COUNT(H$2:H$56)</f>
        <v>0</v>
      </c>
      <c r="P11" s="16">
        <f>COUNTIF(H$2:H$56,$P3)/COUNT(H$2:H$56)</f>
        <v>0</v>
      </c>
      <c r="Q11" s="16">
        <f>COUNTIF(H$2:H$56,$Q3)/COUNT(H$2:H$56)</f>
        <v>0</v>
      </c>
      <c r="R11" s="16">
        <f>COUNTIF(H$2:H$56,$R3)/COUNT(H$2:H$56)</f>
        <v>1</v>
      </c>
    </row>
    <row r="12" spans="1:18" x14ac:dyDescent="0.4">
      <c r="A12" s="14" t="str">
        <f>+Dados!V12</f>
        <v>APIACÁS</v>
      </c>
      <c r="B12" s="14" t="str">
        <f>+Dados!G12</f>
        <v>Gestão municipal</v>
      </c>
      <c r="C12" s="14">
        <f>+Dados!H12</f>
        <v>5</v>
      </c>
      <c r="D12" s="14">
        <f>+Dados!I12</f>
        <v>5</v>
      </c>
      <c r="E12" s="14">
        <f>+Dados!J12</f>
        <v>5</v>
      </c>
      <c r="F12" s="14">
        <f>+Dados!K12</f>
        <v>5</v>
      </c>
      <c r="G12" s="14">
        <f>+Dados!L12</f>
        <v>5</v>
      </c>
      <c r="H12" s="14">
        <f>+Dados!M12</f>
        <v>5</v>
      </c>
      <c r="I12" s="14">
        <f>+Dados!N12</f>
        <v>5</v>
      </c>
      <c r="M12" s="1" t="s">
        <v>38</v>
      </c>
      <c r="N12" s="16">
        <f>COUNTIF(I$2:I$56,$N3)/COUNT(I$2:I$56)</f>
        <v>0</v>
      </c>
      <c r="O12" s="16">
        <f>COUNTIF(I$2:I$56,$O3)/COUNT(I$2:I$56)</f>
        <v>0</v>
      </c>
      <c r="P12" s="16">
        <f>COUNTIF(I$2:I$56,$P3)/COUNT(I$2:I$56)</f>
        <v>0</v>
      </c>
      <c r="Q12" s="16">
        <f>COUNTIF(I$2:I$56,$Q3)/COUNT(I$2:I$56)</f>
        <v>7.6923076923076927E-2</v>
      </c>
      <c r="R12" s="16">
        <f>COUNTIF(I$2:I$56,$R3)/COUNT(I$2:I$56)</f>
        <v>0.92307692307692313</v>
      </c>
    </row>
    <row r="13" spans="1:18" x14ac:dyDescent="0.4">
      <c r="A13" s="14" t="str">
        <f>+Dados!V13</f>
        <v>PARANAÍTA</v>
      </c>
      <c r="B13" s="14" t="str">
        <f>+Dados!G13</f>
        <v>Gestão municipal</v>
      </c>
      <c r="C13" s="14">
        <f>+Dados!H13</f>
        <v>5</v>
      </c>
      <c r="D13" s="14">
        <f>+Dados!I13</f>
        <v>5</v>
      </c>
      <c r="E13" s="14">
        <f>+Dados!J13</f>
        <v>5</v>
      </c>
      <c r="F13" s="14">
        <f>+Dados!K13</f>
        <v>5</v>
      </c>
      <c r="G13" s="14">
        <f>+Dados!L13</f>
        <v>5</v>
      </c>
      <c r="H13" s="14">
        <f>+Dados!M13</f>
        <v>5</v>
      </c>
      <c r="I13" s="14">
        <f>+Dados!N13</f>
        <v>5</v>
      </c>
    </row>
    <row r="14" spans="1:18" x14ac:dyDescent="0.4">
      <c r="A14" s="14" t="str">
        <f>+Dados!V14</f>
        <v>ALTA FLORESTA</v>
      </c>
      <c r="B14" s="14" t="str">
        <f>+Dados!G14</f>
        <v>Gestão municipal</v>
      </c>
      <c r="C14" s="14">
        <f>+Dados!H14</f>
        <v>5</v>
      </c>
      <c r="D14" s="14">
        <f>+Dados!I14</f>
        <v>5</v>
      </c>
      <c r="E14" s="14">
        <f>+Dados!J14</f>
        <v>5</v>
      </c>
      <c r="F14" s="14">
        <f>+Dados!K14</f>
        <v>5</v>
      </c>
      <c r="G14" s="14">
        <f>+Dados!L14</f>
        <v>5</v>
      </c>
      <c r="H14" s="14">
        <f>+Dados!M14</f>
        <v>5</v>
      </c>
      <c r="I14" s="14">
        <f>+Dados!N14</f>
        <v>5</v>
      </c>
    </row>
    <row r="15" spans="1:18" x14ac:dyDescent="0.4">
      <c r="A15" s="14" t="str">
        <f>+Dados!V15</f>
        <v>ALTA FLORESTA</v>
      </c>
      <c r="B15" s="14" t="str">
        <f>+Dados!G15</f>
        <v>Gestão municipal</v>
      </c>
      <c r="C15" s="14">
        <f>+Dados!H15</f>
        <v>5</v>
      </c>
      <c r="D15" s="14">
        <f>+Dados!I15</f>
        <v>3</v>
      </c>
      <c r="E15" s="14">
        <f>+Dados!J15</f>
        <v>5</v>
      </c>
      <c r="F15" s="14">
        <f>+Dados!K15</f>
        <v>5</v>
      </c>
      <c r="G15" s="14">
        <f>+Dados!L15</f>
        <v>5</v>
      </c>
      <c r="H15" s="14">
        <f>+Dados!M15</f>
        <v>5</v>
      </c>
      <c r="I15" s="14">
        <f>+Dados!N15</f>
        <v>5</v>
      </c>
    </row>
    <row r="16" spans="1:18" x14ac:dyDescent="0.4">
      <c r="A16" s="14" t="str">
        <f>+Dados!V16</f>
        <v>NOVA BANDEIRANTES</v>
      </c>
      <c r="B16" s="14" t="str">
        <f>+Dados!G16</f>
        <v>Gestão municipal</v>
      </c>
      <c r="C16" s="14">
        <f>+Dados!H16</f>
        <v>5</v>
      </c>
      <c r="D16" s="14">
        <f>+Dados!I16</f>
        <v>5</v>
      </c>
      <c r="E16" s="14">
        <f>+Dados!J16</f>
        <v>5</v>
      </c>
      <c r="F16" s="14">
        <f>+Dados!K16</f>
        <v>5</v>
      </c>
      <c r="G16" s="14">
        <f>+Dados!L16</f>
        <v>5</v>
      </c>
      <c r="H16" s="14">
        <f>+Dados!M16</f>
        <v>5</v>
      </c>
      <c r="I16" s="14">
        <f>+Dados!N16</f>
        <v>5</v>
      </c>
    </row>
    <row r="17" spans="1:9" x14ac:dyDescent="0.4">
      <c r="A17" s="14" t="str">
        <f>+Dados!V17</f>
        <v>PARANAÍTA</v>
      </c>
      <c r="B17" s="14" t="str">
        <f>+Dados!G17</f>
        <v>Gestão municipal</v>
      </c>
      <c r="C17" s="14">
        <f>+Dados!H17</f>
        <v>5</v>
      </c>
      <c r="D17" s="14">
        <f>+Dados!I17</f>
        <v>5</v>
      </c>
      <c r="E17" s="14">
        <f>+Dados!J17</f>
        <v>5</v>
      </c>
      <c r="F17" s="14">
        <f>+Dados!K17</f>
        <v>5</v>
      </c>
      <c r="G17" s="14">
        <f>+Dados!L17</f>
        <v>5</v>
      </c>
      <c r="H17" s="14">
        <f>+Dados!M17</f>
        <v>5</v>
      </c>
      <c r="I17" s="14">
        <f>+Dados!N17</f>
        <v>5</v>
      </c>
    </row>
    <row r="18" spans="1:9" x14ac:dyDescent="0.4">
      <c r="A18" s="14" t="str">
        <f>+Dados!V18</f>
        <v>NOVA CANAÃ DO NORTE</v>
      </c>
      <c r="B18" s="14" t="str">
        <f>+Dados!G18</f>
        <v>Gestão municipal</v>
      </c>
      <c r="C18" s="14">
        <f>+Dados!H18</f>
        <v>4</v>
      </c>
      <c r="D18" s="14">
        <f>+Dados!I18</f>
        <v>5</v>
      </c>
      <c r="E18" s="14">
        <f>+Dados!J18</f>
        <v>5</v>
      </c>
      <c r="F18" s="14">
        <f>+Dados!K18</f>
        <v>5</v>
      </c>
      <c r="G18" s="14">
        <f>+Dados!L18</f>
        <v>5</v>
      </c>
      <c r="H18" s="14">
        <f>+Dados!M18</f>
        <v>5</v>
      </c>
      <c r="I18" s="14">
        <f>+Dados!N18</f>
        <v>5</v>
      </c>
    </row>
    <row r="19" spans="1:9" x14ac:dyDescent="0.4">
      <c r="A19" s="14" t="str">
        <f>+Dados!V19</f>
        <v>NOVA MONTE VERDE</v>
      </c>
      <c r="B19" s="14" t="str">
        <f>+Dados!G19</f>
        <v>Gestão municipal</v>
      </c>
      <c r="C19" s="14">
        <f>+Dados!H19</f>
        <v>5</v>
      </c>
      <c r="D19" s="14">
        <f>+Dados!I19</f>
        <v>5</v>
      </c>
      <c r="E19" s="14">
        <f>+Dados!J19</f>
        <v>5</v>
      </c>
      <c r="F19" s="14">
        <f>+Dados!K19</f>
        <v>5</v>
      </c>
      <c r="G19" s="14">
        <f>+Dados!L19</f>
        <v>5</v>
      </c>
      <c r="H19" s="14">
        <f>+Dados!M19</f>
        <v>5</v>
      </c>
      <c r="I19" s="14">
        <f>+Dados!N19</f>
        <v>5</v>
      </c>
    </row>
    <row r="20" spans="1:9" x14ac:dyDescent="0.4">
      <c r="A20" s="14" t="str">
        <f>+Dados!V20</f>
        <v>CARLINDA</v>
      </c>
      <c r="B20" s="14" t="str">
        <f>+Dados!G20</f>
        <v>Gestão municipal</v>
      </c>
      <c r="C20" s="14">
        <f>+Dados!H20</f>
        <v>5</v>
      </c>
      <c r="D20" s="14">
        <f>+Dados!I20</f>
        <v>5</v>
      </c>
      <c r="E20" s="14">
        <f>+Dados!J20</f>
        <v>5</v>
      </c>
      <c r="F20" s="14">
        <f>+Dados!K20</f>
        <v>5</v>
      </c>
      <c r="G20" s="14">
        <f>+Dados!L20</f>
        <v>5</v>
      </c>
      <c r="H20" s="14">
        <f>+Dados!M20</f>
        <v>5</v>
      </c>
      <c r="I20" s="14">
        <f>+Dados!N20</f>
        <v>5</v>
      </c>
    </row>
    <row r="21" spans="1:9" x14ac:dyDescent="0.4">
      <c r="A21" s="14" t="str">
        <f>+Dados!V21</f>
        <v>SANTA CRUZ DO XINGU</v>
      </c>
      <c r="B21" s="14" t="str">
        <f>+Dados!G21</f>
        <v>Gestão municipal</v>
      </c>
      <c r="C21" s="14">
        <f>+Dados!H21</f>
        <v>5</v>
      </c>
      <c r="D21" s="14">
        <f>+Dados!I21</f>
        <v>5</v>
      </c>
      <c r="E21" s="14">
        <f>+Dados!J21</f>
        <v>3</v>
      </c>
      <c r="F21" s="14">
        <f>+Dados!K21</f>
        <v>5</v>
      </c>
      <c r="G21" s="14">
        <f>+Dados!L21</f>
        <v>3</v>
      </c>
      <c r="H21" s="14">
        <f>+Dados!M21</f>
        <v>5</v>
      </c>
      <c r="I21" s="14">
        <f>+Dados!N21</f>
        <v>5</v>
      </c>
    </row>
    <row r="22" spans="1:9" x14ac:dyDescent="0.4">
      <c r="A22" s="14" t="str">
        <f>+Dados!V22</f>
        <v>SANTA CRUZ DO XINGU</v>
      </c>
      <c r="B22" s="14" t="str">
        <f>+Dados!G22</f>
        <v>Gestão municipal</v>
      </c>
      <c r="C22" s="14">
        <f>+Dados!H22</f>
        <v>5</v>
      </c>
      <c r="D22" s="14">
        <f>+Dados!I22</f>
        <v>5</v>
      </c>
      <c r="E22" s="14">
        <f>+Dados!J22</f>
        <v>4</v>
      </c>
      <c r="F22" s="14">
        <f>+Dados!K22</f>
        <v>5</v>
      </c>
      <c r="G22" s="14">
        <f>+Dados!L22</f>
        <v>5</v>
      </c>
      <c r="H22" s="14">
        <f>+Dados!M22</f>
        <v>5</v>
      </c>
      <c r="I22" s="14">
        <f>+Dados!N22</f>
        <v>5</v>
      </c>
    </row>
    <row r="23" spans="1:9" x14ac:dyDescent="0.4">
      <c r="C23" s="14"/>
      <c r="D23" s="14"/>
      <c r="E23" s="14"/>
      <c r="F23" s="14"/>
      <c r="G23" s="14"/>
      <c r="H23" s="14"/>
      <c r="I23" s="14"/>
    </row>
    <row r="24" spans="1:9" x14ac:dyDescent="0.4">
      <c r="C24" s="14"/>
      <c r="D24" s="14"/>
      <c r="E24" s="14"/>
      <c r="F24" s="14"/>
      <c r="G24" s="14"/>
      <c r="H24" s="14"/>
      <c r="I24" s="14"/>
    </row>
    <row r="25" spans="1:9" x14ac:dyDescent="0.4">
      <c r="C25" s="14"/>
      <c r="D25" s="14"/>
      <c r="E25" s="14"/>
      <c r="F25" s="14"/>
      <c r="G25" s="14"/>
      <c r="H25" s="14"/>
      <c r="I25" s="14"/>
    </row>
    <row r="26" spans="1:9" x14ac:dyDescent="0.4">
      <c r="C26" s="14"/>
      <c r="D26" s="14"/>
      <c r="E26" s="14"/>
      <c r="F26" s="14"/>
      <c r="G26" s="14"/>
      <c r="H26" s="14"/>
      <c r="I26" s="14"/>
    </row>
    <row r="27" spans="1:9" x14ac:dyDescent="0.4">
      <c r="C27" s="14"/>
      <c r="D27" s="14"/>
      <c r="E27" s="14"/>
      <c r="F27" s="14"/>
      <c r="G27" s="14"/>
      <c r="H27" s="14"/>
      <c r="I27" s="14"/>
    </row>
    <row r="28" spans="1:9" x14ac:dyDescent="0.4">
      <c r="C28" s="14"/>
      <c r="D28" s="14"/>
      <c r="E28" s="14"/>
      <c r="F28" s="14"/>
      <c r="G28" s="14"/>
      <c r="H28" s="14"/>
      <c r="I28" s="14"/>
    </row>
    <row r="29" spans="1:9" x14ac:dyDescent="0.4">
      <c r="C29" s="14"/>
      <c r="D29" s="14"/>
      <c r="E29" s="14"/>
      <c r="F29" s="14"/>
      <c r="G29" s="14"/>
      <c r="H29" s="14"/>
      <c r="I29" s="14"/>
    </row>
    <row r="30" spans="1:9" x14ac:dyDescent="0.4">
      <c r="C30" s="14"/>
      <c r="D30" s="14"/>
      <c r="E30" s="14"/>
      <c r="F30" s="14"/>
      <c r="G30" s="14"/>
      <c r="H30" s="14"/>
      <c r="I30" s="14"/>
    </row>
    <row r="31" spans="1:9" x14ac:dyDescent="0.4">
      <c r="C31" s="14"/>
      <c r="D31" s="14"/>
      <c r="E31" s="14"/>
      <c r="F31" s="14"/>
      <c r="G31" s="14"/>
      <c r="H31" s="14"/>
      <c r="I31" s="14"/>
    </row>
    <row r="32" spans="1:9" x14ac:dyDescent="0.4">
      <c r="C32" s="14"/>
      <c r="D32" s="14"/>
      <c r="E32" s="14"/>
      <c r="F32" s="14"/>
      <c r="G32" s="14"/>
      <c r="H32" s="14"/>
      <c r="I32" s="14"/>
    </row>
    <row r="33" spans="3:9" x14ac:dyDescent="0.4">
      <c r="C33" s="14"/>
      <c r="D33" s="14"/>
      <c r="E33" s="14"/>
      <c r="F33" s="14"/>
      <c r="G33" s="14"/>
      <c r="H33" s="14"/>
      <c r="I33" s="14"/>
    </row>
    <row r="34" spans="3:9" x14ac:dyDescent="0.4">
      <c r="C34" s="14"/>
      <c r="D34" s="14"/>
      <c r="E34" s="14"/>
      <c r="F34" s="14"/>
      <c r="G34" s="14"/>
      <c r="H34" s="14"/>
      <c r="I34" s="14"/>
    </row>
    <row r="35" spans="3:9" x14ac:dyDescent="0.4">
      <c r="C35" s="14"/>
      <c r="D35" s="14"/>
      <c r="E35" s="14"/>
      <c r="F35" s="14"/>
      <c r="G35" s="14"/>
      <c r="H35" s="14"/>
      <c r="I35" s="14"/>
    </row>
    <row r="36" spans="3:9" x14ac:dyDescent="0.4">
      <c r="C36" s="14"/>
      <c r="D36" s="14"/>
      <c r="E36" s="14"/>
      <c r="F36" s="14"/>
      <c r="G36" s="14"/>
      <c r="H36" s="14"/>
      <c r="I36" s="14"/>
    </row>
    <row r="37" spans="3:9" x14ac:dyDescent="0.4">
      <c r="C37" s="14"/>
      <c r="D37" s="14"/>
      <c r="E37" s="14"/>
      <c r="F37" s="14"/>
      <c r="G37" s="14"/>
      <c r="H37" s="14"/>
      <c r="I37" s="14"/>
    </row>
    <row r="38" spans="3:9" x14ac:dyDescent="0.4">
      <c r="C38" s="14"/>
      <c r="D38" s="14"/>
      <c r="E38" s="14"/>
      <c r="F38" s="14"/>
      <c r="G38" s="14"/>
      <c r="H38" s="14"/>
      <c r="I38" s="14"/>
    </row>
    <row r="39" spans="3:9" x14ac:dyDescent="0.4">
      <c r="C39" s="14"/>
      <c r="D39" s="14"/>
      <c r="E39" s="14"/>
      <c r="F39" s="14"/>
      <c r="G39" s="14"/>
      <c r="H39" s="14"/>
      <c r="I39" s="14"/>
    </row>
    <row r="40" spans="3:9" x14ac:dyDescent="0.4">
      <c r="C40" s="14"/>
      <c r="D40" s="14"/>
      <c r="E40" s="14"/>
      <c r="F40" s="14"/>
      <c r="G40" s="14"/>
      <c r="H40" s="14"/>
      <c r="I40" s="14"/>
    </row>
    <row r="41" spans="3:9" x14ac:dyDescent="0.4">
      <c r="C41" s="14"/>
      <c r="D41" s="14"/>
      <c r="E41" s="14"/>
      <c r="F41" s="14"/>
      <c r="G41" s="14"/>
      <c r="H41" s="14"/>
      <c r="I41" s="14"/>
    </row>
    <row r="42" spans="3:9" x14ac:dyDescent="0.4">
      <c r="C42" s="14"/>
      <c r="D42" s="14"/>
      <c r="E42" s="14"/>
      <c r="F42" s="14"/>
      <c r="G42" s="14"/>
      <c r="H42" s="14"/>
      <c r="I42" s="14"/>
    </row>
    <row r="43" spans="3:9" x14ac:dyDescent="0.4">
      <c r="C43" s="14"/>
      <c r="D43" s="14"/>
      <c r="E43" s="14"/>
      <c r="F43" s="14"/>
      <c r="G43" s="14"/>
      <c r="H43" s="14"/>
      <c r="I43" s="14"/>
    </row>
    <row r="44" spans="3:9" x14ac:dyDescent="0.4">
      <c r="C44" s="14"/>
      <c r="D44" s="14"/>
      <c r="E44" s="14"/>
      <c r="F44" s="14"/>
      <c r="G44" s="14"/>
      <c r="H44" s="14"/>
      <c r="I44" s="14"/>
    </row>
    <row r="45" spans="3:9" x14ac:dyDescent="0.4">
      <c r="C45" s="14"/>
      <c r="D45" s="14"/>
      <c r="E45" s="14"/>
      <c r="F45" s="14"/>
      <c r="G45" s="14"/>
      <c r="H45" s="14"/>
      <c r="I45" s="14"/>
    </row>
    <row r="46" spans="3:9" x14ac:dyDescent="0.4">
      <c r="C46" s="14"/>
      <c r="D46" s="14"/>
      <c r="E46" s="14"/>
      <c r="F46" s="14"/>
      <c r="G46" s="14"/>
      <c r="H46" s="14"/>
      <c r="I46" s="14"/>
    </row>
    <row r="47" spans="3:9" x14ac:dyDescent="0.4">
      <c r="C47" s="14"/>
      <c r="D47" s="14"/>
      <c r="E47" s="14"/>
      <c r="F47" s="14"/>
      <c r="G47" s="14"/>
      <c r="H47" s="14"/>
      <c r="I47" s="14"/>
    </row>
    <row r="48" spans="3:9" x14ac:dyDescent="0.4">
      <c r="C48" s="14"/>
      <c r="D48" s="14"/>
      <c r="E48" s="14"/>
      <c r="F48" s="14"/>
      <c r="G48" s="14"/>
      <c r="H48" s="14"/>
      <c r="I48" s="14"/>
    </row>
    <row r="49" spans="3:9" x14ac:dyDescent="0.4">
      <c r="C49" s="14"/>
      <c r="D49" s="14"/>
      <c r="E49" s="14"/>
      <c r="F49" s="14"/>
      <c r="G49" s="14"/>
      <c r="H49" s="14"/>
      <c r="I49" s="14"/>
    </row>
    <row r="50" spans="3:9" x14ac:dyDescent="0.4">
      <c r="C50" s="14"/>
      <c r="D50" s="14"/>
      <c r="E50" s="14"/>
      <c r="F50" s="14"/>
      <c r="G50" s="14"/>
      <c r="H50" s="14"/>
      <c r="I50" s="14"/>
    </row>
    <row r="51" spans="3:9" x14ac:dyDescent="0.4">
      <c r="C51" s="14"/>
      <c r="D51" s="14"/>
      <c r="E51" s="14"/>
      <c r="F51" s="14"/>
      <c r="G51" s="14"/>
      <c r="H51" s="14"/>
      <c r="I51" s="14"/>
    </row>
    <row r="52" spans="3:9" x14ac:dyDescent="0.4">
      <c r="C52" s="14"/>
      <c r="D52" s="14"/>
      <c r="E52" s="14"/>
      <c r="F52" s="14"/>
      <c r="G52" s="14"/>
      <c r="H52" s="14"/>
      <c r="I52" s="14"/>
    </row>
    <row r="53" spans="3:9" x14ac:dyDescent="0.4">
      <c r="C53" s="14"/>
      <c r="D53" s="14"/>
      <c r="E53" s="14"/>
      <c r="F53" s="14"/>
      <c r="G53" s="14"/>
      <c r="H53" s="14"/>
      <c r="I53" s="14"/>
    </row>
    <row r="54" spans="3:9" x14ac:dyDescent="0.4">
      <c r="C54" s="14"/>
      <c r="D54" s="14"/>
      <c r="E54" s="14"/>
      <c r="F54" s="14"/>
      <c r="G54" s="14"/>
      <c r="H54" s="14"/>
      <c r="I54" s="14"/>
    </row>
    <row r="55" spans="3:9" x14ac:dyDescent="0.4">
      <c r="C55" s="14"/>
      <c r="D55" s="14"/>
      <c r="E55" s="14"/>
      <c r="F55" s="14"/>
      <c r="G55" s="14"/>
      <c r="H55" s="14"/>
      <c r="I55" s="14"/>
    </row>
    <row r="56" spans="3:9" x14ac:dyDescent="0.4">
      <c r="C56" s="14"/>
      <c r="D56" s="14"/>
      <c r="E56" s="14"/>
      <c r="F56" s="14"/>
      <c r="G56" s="14"/>
      <c r="H56" s="14"/>
      <c r="I56" s="14"/>
    </row>
    <row r="57" spans="3:9" x14ac:dyDescent="0.4">
      <c r="C57" s="14"/>
      <c r="D57" s="14"/>
      <c r="E57" s="14"/>
      <c r="F57" s="14"/>
      <c r="G57" s="14"/>
      <c r="H57" s="14"/>
      <c r="I57" s="14"/>
    </row>
    <row r="58" spans="3:9" x14ac:dyDescent="0.4">
      <c r="C58" s="14"/>
      <c r="D58" s="14"/>
      <c r="E58" s="14"/>
      <c r="F58" s="14"/>
      <c r="G58" s="14"/>
      <c r="H58" s="14"/>
      <c r="I58" s="14"/>
    </row>
    <row r="59" spans="3:9" x14ac:dyDescent="0.4">
      <c r="C59" s="14"/>
      <c r="D59" s="14"/>
      <c r="E59" s="14"/>
      <c r="F59" s="14"/>
      <c r="G59" s="14"/>
      <c r="H59" s="14"/>
      <c r="I59" s="14"/>
    </row>
    <row r="60" spans="3:9" x14ac:dyDescent="0.4">
      <c r="C60" s="14"/>
      <c r="D60" s="14"/>
      <c r="E60" s="14"/>
      <c r="F60" s="14"/>
      <c r="G60" s="14"/>
      <c r="H60" s="14"/>
      <c r="I60" s="14"/>
    </row>
    <row r="61" spans="3:9" x14ac:dyDescent="0.4">
      <c r="C61" s="14"/>
      <c r="D61" s="14"/>
      <c r="E61" s="14"/>
      <c r="F61" s="14"/>
      <c r="G61" s="14"/>
      <c r="H61" s="14"/>
      <c r="I61" s="14"/>
    </row>
    <row r="62" spans="3:9" x14ac:dyDescent="0.4">
      <c r="C62" s="14"/>
      <c r="D62" s="14"/>
      <c r="E62" s="14"/>
      <c r="F62" s="14"/>
      <c r="G62" s="14"/>
      <c r="H62" s="14"/>
      <c r="I62" s="14"/>
    </row>
    <row r="63" spans="3:9" x14ac:dyDescent="0.4">
      <c r="C63" s="14"/>
      <c r="D63" s="14"/>
      <c r="E63" s="14"/>
      <c r="F63" s="14"/>
      <c r="G63" s="14"/>
      <c r="H63" s="14"/>
      <c r="I63" s="14"/>
    </row>
    <row r="64" spans="3:9" x14ac:dyDescent="0.4">
      <c r="C64" s="14"/>
      <c r="D64" s="14"/>
      <c r="E64" s="14"/>
      <c r="F64" s="14"/>
      <c r="G64" s="14"/>
      <c r="H64" s="14"/>
      <c r="I64" s="14"/>
    </row>
    <row r="65" spans="3:9" x14ac:dyDescent="0.4">
      <c r="C65" s="14"/>
      <c r="D65" s="14"/>
      <c r="E65" s="14"/>
      <c r="F65" s="14"/>
      <c r="G65" s="14"/>
      <c r="H65" s="14"/>
      <c r="I65" s="14"/>
    </row>
    <row r="66" spans="3:9" x14ac:dyDescent="0.4">
      <c r="C66" s="14"/>
      <c r="D66" s="14"/>
      <c r="E66" s="14"/>
      <c r="F66" s="14"/>
      <c r="G66" s="14"/>
      <c r="H66" s="14"/>
      <c r="I66" s="14"/>
    </row>
    <row r="67" spans="3:9" x14ac:dyDescent="0.4">
      <c r="C67" s="14"/>
      <c r="D67" s="14"/>
      <c r="E67" s="14"/>
      <c r="F67" s="14"/>
      <c r="G67" s="14"/>
      <c r="H67" s="14"/>
      <c r="I67" s="14"/>
    </row>
    <row r="68" spans="3:9" x14ac:dyDescent="0.4">
      <c r="C68" s="14"/>
      <c r="D68" s="14"/>
      <c r="E68" s="14"/>
      <c r="F68" s="14"/>
      <c r="G68" s="14"/>
      <c r="H68" s="14"/>
      <c r="I68" s="14"/>
    </row>
    <row r="69" spans="3:9" x14ac:dyDescent="0.4">
      <c r="C69" s="14"/>
      <c r="D69" s="14"/>
      <c r="E69" s="14"/>
      <c r="F69" s="14"/>
      <c r="G69" s="14"/>
      <c r="H69" s="14"/>
      <c r="I69" s="14"/>
    </row>
    <row r="70" spans="3:9" x14ac:dyDescent="0.4">
      <c r="C70" s="14"/>
      <c r="D70" s="14"/>
      <c r="E70" s="14"/>
      <c r="F70" s="14"/>
      <c r="G70" s="14"/>
      <c r="H70" s="14"/>
      <c r="I70" s="14"/>
    </row>
    <row r="71" spans="3:9" x14ac:dyDescent="0.4">
      <c r="C71" s="14"/>
      <c r="D71" s="14"/>
      <c r="E71" s="14"/>
      <c r="F71" s="14"/>
      <c r="G71" s="14"/>
      <c r="H71" s="14"/>
      <c r="I71" s="14"/>
    </row>
    <row r="72" spans="3:9" x14ac:dyDescent="0.4">
      <c r="C72" s="14"/>
      <c r="D72" s="14"/>
      <c r="E72" s="14"/>
      <c r="F72" s="14"/>
      <c r="G72" s="14"/>
      <c r="H72" s="14"/>
      <c r="I72" s="14"/>
    </row>
    <row r="73" spans="3:9" x14ac:dyDescent="0.4">
      <c r="C73" s="14"/>
      <c r="D73" s="14"/>
      <c r="E73" s="14"/>
      <c r="F73" s="14"/>
      <c r="G73" s="14"/>
      <c r="H73" s="14"/>
      <c r="I73" s="14"/>
    </row>
    <row r="74" spans="3:9" x14ac:dyDescent="0.4">
      <c r="C74" s="14"/>
      <c r="D74" s="14"/>
      <c r="E74" s="14"/>
      <c r="F74" s="14"/>
      <c r="G74" s="14"/>
      <c r="H74" s="14"/>
      <c r="I74" s="14"/>
    </row>
    <row r="75" spans="3:9" x14ac:dyDescent="0.4">
      <c r="C75" s="14"/>
      <c r="D75" s="14"/>
      <c r="E75" s="14"/>
      <c r="F75" s="14"/>
      <c r="G75" s="14"/>
      <c r="H75" s="14"/>
      <c r="I75" s="14"/>
    </row>
    <row r="76" spans="3:9" x14ac:dyDescent="0.4">
      <c r="C76" s="14"/>
      <c r="D76" s="14"/>
      <c r="E76" s="14"/>
      <c r="F76" s="14"/>
      <c r="G76" s="14"/>
      <c r="H76" s="14"/>
      <c r="I76" s="14"/>
    </row>
    <row r="77" spans="3:9" x14ac:dyDescent="0.4">
      <c r="C77" s="14"/>
      <c r="D77" s="14"/>
      <c r="E77" s="14"/>
      <c r="F77" s="14"/>
      <c r="G77" s="14"/>
      <c r="H77" s="14"/>
      <c r="I77" s="14"/>
    </row>
    <row r="78" spans="3:9" x14ac:dyDescent="0.4">
      <c r="C78" s="14"/>
      <c r="D78" s="14"/>
      <c r="E78" s="14"/>
      <c r="F78" s="14"/>
      <c r="G78" s="14"/>
      <c r="H78" s="14"/>
      <c r="I78" s="14"/>
    </row>
    <row r="79" spans="3:9" x14ac:dyDescent="0.4">
      <c r="C79" s="14"/>
      <c r="D79" s="14"/>
      <c r="E79" s="14"/>
      <c r="F79" s="14"/>
      <c r="G79" s="14"/>
      <c r="H79" s="14"/>
      <c r="I79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9D6F5-E256-4238-94E8-52F5606C82C3}">
  <dimension ref="B1:X44"/>
  <sheetViews>
    <sheetView tabSelected="1" topLeftCell="C1" zoomScaleNormal="100" workbookViewId="0">
      <selection activeCell="W15" sqref="W15"/>
    </sheetView>
  </sheetViews>
  <sheetFormatPr defaultColWidth="9" defaultRowHeight="21.75" customHeight="1" x14ac:dyDescent="0.2"/>
  <cols>
    <col min="1" max="1" width="9" style="3"/>
    <col min="2" max="2" width="4.125" style="3" customWidth="1"/>
    <col min="3" max="3" width="13.5" style="3" bestFit="1" customWidth="1"/>
    <col min="4" max="4" width="9.125" style="3" customWidth="1"/>
    <col min="5" max="5" width="24.625" style="17" bestFit="1" customWidth="1"/>
    <col min="6" max="6" width="9.375" style="18" customWidth="1"/>
    <col min="7" max="9" width="7.75" style="3" customWidth="1"/>
    <col min="10" max="10" width="9" style="3"/>
    <col min="11" max="11" width="9.875" style="3" bestFit="1" customWidth="1"/>
    <col min="12" max="12" width="12.375" style="3" bestFit="1" customWidth="1"/>
    <col min="13" max="13" width="20.625" style="3" bestFit="1" customWidth="1"/>
    <col min="14" max="16384" width="9" style="3"/>
  </cols>
  <sheetData>
    <row r="1" spans="2:24" ht="21.75" customHeight="1" x14ac:dyDescent="0.2">
      <c r="G1" s="19" t="s">
        <v>25</v>
      </c>
      <c r="H1" s="19" t="s">
        <v>27</v>
      </c>
      <c r="I1" s="20" t="s">
        <v>43</v>
      </c>
    </row>
    <row r="3" spans="2:24" s="21" customFormat="1" ht="21.75" customHeight="1" x14ac:dyDescent="0.4">
      <c r="C3" s="68" t="s">
        <v>44</v>
      </c>
      <c r="D3" s="70" t="s">
        <v>45</v>
      </c>
      <c r="E3" s="68" t="s">
        <v>30</v>
      </c>
      <c r="F3" s="70" t="s">
        <v>46</v>
      </c>
      <c r="G3" s="66" t="s">
        <v>50</v>
      </c>
      <c r="H3" s="66"/>
      <c r="I3" s="66"/>
      <c r="K3" s="68" t="s">
        <v>44</v>
      </c>
      <c r="L3" s="70" t="s">
        <v>45</v>
      </c>
      <c r="M3" s="68" t="s">
        <v>30</v>
      </c>
      <c r="N3" s="70" t="s">
        <v>46</v>
      </c>
      <c r="O3" s="66" t="s">
        <v>47</v>
      </c>
      <c r="P3" s="66"/>
      <c r="Q3" s="66"/>
    </row>
    <row r="4" spans="2:24" s="21" customFormat="1" ht="21.75" customHeight="1" x14ac:dyDescent="0.4">
      <c r="C4" s="69"/>
      <c r="D4" s="71"/>
      <c r="E4" s="69"/>
      <c r="F4" s="71"/>
      <c r="G4" s="22" t="s">
        <v>3</v>
      </c>
      <c r="H4" s="22" t="s">
        <v>4</v>
      </c>
      <c r="I4" s="22" t="s">
        <v>43</v>
      </c>
      <c r="K4" s="69"/>
      <c r="L4" s="71"/>
      <c r="M4" s="69"/>
      <c r="N4" s="71"/>
      <c r="O4" s="22" t="s">
        <v>3</v>
      </c>
      <c r="P4" s="22" t="s">
        <v>4</v>
      </c>
      <c r="Q4" s="22" t="s">
        <v>43</v>
      </c>
      <c r="V4"/>
      <c r="W4"/>
      <c r="X4"/>
    </row>
    <row r="5" spans="2:24" s="21" customFormat="1" ht="21.75" customHeight="1" x14ac:dyDescent="0.4">
      <c r="B5" s="21">
        <v>1</v>
      </c>
      <c r="C5" s="23"/>
      <c r="D5" s="109">
        <v>5100250</v>
      </c>
      <c r="E5" s="110" t="s">
        <v>79</v>
      </c>
      <c r="F5" s="24"/>
      <c r="G5" s="25">
        <f>COUNTIFS(Todos!$B$2:$B$72,'Resumo '!G$1,Todos!$A$2:$A$72,'Resumo '!$E5)</f>
        <v>5</v>
      </c>
      <c r="H5" s="25">
        <f>COUNTIFS(Todos!$B$2:$B$72,'Resumo '!H$1,Todos!$A$2:$A$72,'Resumo '!$E5)</f>
        <v>2</v>
      </c>
      <c r="I5" s="26">
        <f>SUM(G5+H5)</f>
        <v>7</v>
      </c>
      <c r="K5" s="23">
        <v>45749</v>
      </c>
      <c r="L5" s="53">
        <v>5100250</v>
      </c>
      <c r="M5" s="54" t="s">
        <v>79</v>
      </c>
      <c r="N5" s="24"/>
      <c r="O5" s="25"/>
      <c r="P5" s="25"/>
      <c r="Q5" s="26"/>
      <c r="S5" s="21" t="str">
        <f>_xlfn.CONCAT(I5,"/",Q5)</f>
        <v>7/</v>
      </c>
      <c r="V5"/>
      <c r="W5"/>
      <c r="X5"/>
    </row>
    <row r="6" spans="2:24" s="21" customFormat="1" ht="21.75" customHeight="1" x14ac:dyDescent="0.4">
      <c r="B6" s="21">
        <v>2</v>
      </c>
      <c r="C6" s="23"/>
      <c r="D6" s="109">
        <v>5100805</v>
      </c>
      <c r="E6" s="110" t="s">
        <v>113</v>
      </c>
      <c r="F6" s="24"/>
      <c r="G6" s="25">
        <f>COUNTIFS(Todos!$B$2:$B$72,'Resumo '!G$1,Todos!$A$2:$A$72,'Resumo '!$E6)</f>
        <v>0</v>
      </c>
      <c r="H6" s="25">
        <f>COUNTIFS(Todos!$B$2:$B$72,'Resumo '!H$1,Todos!$A$2:$A$72,'Resumo '!$E6)</f>
        <v>2</v>
      </c>
      <c r="I6" s="26">
        <f t="shared" ref="I6:I7" si="0">SUM(G6+H6)</f>
        <v>2</v>
      </c>
      <c r="K6" s="23">
        <v>45749</v>
      </c>
      <c r="L6" s="53">
        <v>5100805</v>
      </c>
      <c r="M6" s="54" t="s">
        <v>113</v>
      </c>
      <c r="N6" s="24"/>
      <c r="O6" s="25"/>
      <c r="P6" s="25"/>
      <c r="Q6" s="26"/>
      <c r="S6" s="21" t="str">
        <f t="shared" ref="S6:S15" si="1">_xlfn.CONCAT(I6,"/",Q6)</f>
        <v>2/</v>
      </c>
      <c r="V6"/>
      <c r="W6"/>
      <c r="X6"/>
    </row>
    <row r="7" spans="2:24" s="21" customFormat="1" ht="21.75" customHeight="1" x14ac:dyDescent="0.4">
      <c r="C7" s="23"/>
      <c r="D7" s="109">
        <v>5102793</v>
      </c>
      <c r="E7" s="110" t="s">
        <v>175</v>
      </c>
      <c r="F7" s="24"/>
      <c r="G7" s="25">
        <f>COUNTIFS(Todos!$B$2:$B$72,'Resumo '!G$1,Todos!$A$2:$A$72,'Resumo '!$E7)</f>
        <v>0</v>
      </c>
      <c r="H7" s="25">
        <f>COUNTIFS(Todos!$B$2:$B$72,'Resumo '!H$1,Todos!$A$2:$A$72,'Resumo '!$E7)</f>
        <v>1</v>
      </c>
      <c r="I7" s="26">
        <f t="shared" si="0"/>
        <v>1</v>
      </c>
      <c r="K7" s="23"/>
      <c r="L7" s="53">
        <v>5102793</v>
      </c>
      <c r="M7" s="54" t="s">
        <v>175</v>
      </c>
      <c r="N7" s="24"/>
      <c r="O7" s="25"/>
      <c r="P7" s="25"/>
      <c r="Q7" s="26"/>
      <c r="V7"/>
      <c r="W7"/>
      <c r="X7"/>
    </row>
    <row r="8" spans="2:24" s="21" customFormat="1" ht="21.75" customHeight="1" x14ac:dyDescent="0.4">
      <c r="C8" s="23"/>
      <c r="D8" s="109">
        <v>5106158</v>
      </c>
      <c r="E8" s="110" t="s">
        <v>72</v>
      </c>
      <c r="F8" s="24"/>
      <c r="G8" s="25">
        <f>COUNTIFS(Todos!$B$2:$B$72,'Resumo '!G$1,Todos!$A$2:$A$72,'Resumo '!$E8)</f>
        <v>1</v>
      </c>
      <c r="H8" s="25">
        <f>COUNTIFS(Todos!$B$2:$B$72,'Resumo '!H$1,Todos!$A$2:$A$72,'Resumo '!$E8)</f>
        <v>2</v>
      </c>
      <c r="I8" s="26">
        <f t="shared" ref="I8:I13" si="2">SUM(G8+H8)</f>
        <v>3</v>
      </c>
      <c r="K8" s="23"/>
      <c r="L8" s="53">
        <v>5106158</v>
      </c>
      <c r="M8" s="54" t="s">
        <v>72</v>
      </c>
      <c r="N8" s="24"/>
      <c r="O8" s="25"/>
      <c r="P8" s="25"/>
      <c r="Q8" s="26"/>
      <c r="V8"/>
      <c r="W8"/>
      <c r="X8"/>
    </row>
    <row r="9" spans="2:24" s="21" customFormat="1" ht="21.75" customHeight="1" x14ac:dyDescent="0.4">
      <c r="C9" s="23"/>
      <c r="D9" s="109">
        <v>5106216</v>
      </c>
      <c r="E9" s="110" t="s">
        <v>161</v>
      </c>
      <c r="F9" s="24"/>
      <c r="G9" s="25">
        <f>COUNTIFS(Todos!$B$2:$B$72,'Resumo '!G$1,Todos!$A$2:$A$72,'Resumo '!$E9)</f>
        <v>0</v>
      </c>
      <c r="H9" s="25">
        <f>COUNTIFS(Todos!$B$2:$B$72,'Resumo '!H$1,Todos!$A$2:$A$72,'Resumo '!$E9)</f>
        <v>1</v>
      </c>
      <c r="I9" s="26">
        <f t="shared" si="2"/>
        <v>1</v>
      </c>
      <c r="K9" s="23"/>
      <c r="L9" s="53">
        <v>5106216</v>
      </c>
      <c r="M9" s="54" t="s">
        <v>161</v>
      </c>
      <c r="N9" s="24"/>
      <c r="O9" s="25"/>
      <c r="P9" s="25"/>
      <c r="Q9" s="26"/>
      <c r="V9"/>
      <c r="W9"/>
      <c r="X9"/>
    </row>
    <row r="10" spans="2:24" s="21" customFormat="1" ht="21.75" customHeight="1" x14ac:dyDescent="0.4">
      <c r="C10" s="23"/>
      <c r="D10" s="109">
        <v>5108956</v>
      </c>
      <c r="E10" s="110" t="s">
        <v>100</v>
      </c>
      <c r="F10" s="24"/>
      <c r="G10" s="25">
        <f>COUNTIFS(Todos!$B$2:$B$72,'Resumo '!G$1,Todos!$A$2:$A$72,'Resumo '!$E10)</f>
        <v>2</v>
      </c>
      <c r="H10" s="25">
        <f>COUNTIFS(Todos!$B$2:$B$72,'Resumo '!H$1,Todos!$A$2:$A$72,'Resumo '!$E10)</f>
        <v>1</v>
      </c>
      <c r="I10" s="26">
        <f t="shared" si="2"/>
        <v>3</v>
      </c>
      <c r="K10" s="23"/>
      <c r="L10" s="53">
        <v>5108956</v>
      </c>
      <c r="M10" s="54" t="s">
        <v>100</v>
      </c>
      <c r="N10" s="24"/>
      <c r="O10" s="25"/>
      <c r="P10" s="25"/>
      <c r="Q10" s="26"/>
      <c r="V10"/>
      <c r="W10"/>
      <c r="X10"/>
    </row>
    <row r="11" spans="2:24" s="21" customFormat="1" ht="21.75" customHeight="1" x14ac:dyDescent="0.4">
      <c r="C11" s="23"/>
      <c r="D11" s="109">
        <v>5106299</v>
      </c>
      <c r="E11" s="110" t="s">
        <v>127</v>
      </c>
      <c r="F11" s="24"/>
      <c r="G11" s="25">
        <f>COUNTIFS(Todos!$B$2:$B$72,'Resumo '!G$1,Todos!$A$2:$A$72,'Resumo '!$E11)</f>
        <v>0</v>
      </c>
      <c r="H11" s="25">
        <f>COUNTIFS(Todos!$B$2:$B$72,'Resumo '!H$1,Todos!$A$2:$A$72,'Resumo '!$E11)</f>
        <v>2</v>
      </c>
      <c r="I11" s="26">
        <f t="shared" si="2"/>
        <v>2</v>
      </c>
      <c r="K11" s="23"/>
      <c r="L11" s="53">
        <v>5106299</v>
      </c>
      <c r="M11" s="54" t="s">
        <v>127</v>
      </c>
      <c r="N11" s="24"/>
      <c r="O11" s="25"/>
      <c r="P11" s="25"/>
      <c r="Q11" s="26"/>
      <c r="V11"/>
      <c r="W11"/>
      <c r="X11"/>
    </row>
    <row r="12" spans="2:24" s="21" customFormat="1" ht="21.75" customHeight="1" x14ac:dyDescent="0.4">
      <c r="C12" s="23"/>
      <c r="D12" s="109">
        <v>5107743</v>
      </c>
      <c r="E12" s="110" t="s">
        <v>182</v>
      </c>
      <c r="F12" s="24"/>
      <c r="G12" s="25">
        <f>COUNTIFS(Todos!$B$2:$B$72,'Resumo '!G$1,Todos!$A$2:$A$72,'Resumo '!$E12)</f>
        <v>0</v>
      </c>
      <c r="H12" s="25">
        <f>COUNTIFS(Todos!$B$2:$B$72,'Resumo '!H$1,Todos!$A$2:$A$72,'Resumo '!$E12)</f>
        <v>2</v>
      </c>
      <c r="I12" s="26">
        <f t="shared" si="2"/>
        <v>2</v>
      </c>
      <c r="K12" s="23"/>
      <c r="L12" s="53">
        <v>5107743</v>
      </c>
      <c r="M12" s="54" t="s">
        <v>182</v>
      </c>
      <c r="N12" s="24"/>
      <c r="O12" s="25"/>
      <c r="P12" s="25"/>
      <c r="Q12" s="26"/>
      <c r="V12"/>
      <c r="W12"/>
      <c r="X12"/>
    </row>
    <row r="13" spans="2:24" s="21" customFormat="1" ht="21.75" customHeight="1" thickBot="1" x14ac:dyDescent="0.45">
      <c r="C13" s="23"/>
      <c r="D13" s="109">
        <v>5107354</v>
      </c>
      <c r="E13" s="110" t="s">
        <v>216</v>
      </c>
      <c r="F13" s="24"/>
      <c r="G13" s="25">
        <f>COUNTIFS(Todos!$B$2:$B$72,'Resumo '!G$1,Todos!$A$2:$A$72,'Resumo '!$E13)</f>
        <v>0</v>
      </c>
      <c r="H13" s="25">
        <f>COUNTIFS(Todos!$B$2:$B$72,'Resumo '!H$1,Todos!$A$2:$A$72,'Resumo '!$E13)</f>
        <v>0</v>
      </c>
      <c r="I13" s="26">
        <f t="shared" si="2"/>
        <v>0</v>
      </c>
      <c r="K13" s="23"/>
      <c r="L13" s="53">
        <v>5107354</v>
      </c>
      <c r="M13" s="54" t="s">
        <v>216</v>
      </c>
      <c r="N13" s="24"/>
      <c r="O13" s="25"/>
      <c r="P13" s="25"/>
      <c r="Q13" s="26"/>
      <c r="V13"/>
      <c r="W13"/>
      <c r="X13"/>
    </row>
    <row r="14" spans="2:24" s="21" customFormat="1" ht="21.75" customHeight="1" x14ac:dyDescent="0.4">
      <c r="C14" s="67" t="s">
        <v>48</v>
      </c>
      <c r="D14" s="67"/>
      <c r="E14" s="67"/>
      <c r="F14" s="67"/>
      <c r="G14" s="27">
        <f>SUM(G5:G13)</f>
        <v>8</v>
      </c>
      <c r="H14" s="27">
        <f>SUM(H5:H13)</f>
        <v>13</v>
      </c>
      <c r="I14" s="28">
        <f>SUM(I5:I13)</f>
        <v>21</v>
      </c>
      <c r="K14" s="67" t="s">
        <v>48</v>
      </c>
      <c r="L14" s="67"/>
      <c r="M14" s="67"/>
      <c r="N14" s="67"/>
      <c r="O14" s="27">
        <v>32</v>
      </c>
      <c r="P14" s="27">
        <v>60</v>
      </c>
      <c r="Q14" s="28">
        <v>92</v>
      </c>
      <c r="S14" s="21" t="str">
        <f t="shared" si="1"/>
        <v>21/92</v>
      </c>
    </row>
    <row r="15" spans="2:24" s="21" customFormat="1" ht="21.75" customHeight="1" thickBot="1" x14ac:dyDescent="0.45">
      <c r="B15" s="29"/>
      <c r="C15" s="67" t="s">
        <v>49</v>
      </c>
      <c r="D15" s="67"/>
      <c r="E15" s="67"/>
      <c r="F15" s="67"/>
      <c r="G15" s="30">
        <f>COUNTIF(G5:G13,"&lt;&gt;0")</f>
        <v>3</v>
      </c>
      <c r="H15" s="30">
        <f>COUNTIF(H5:H13,"&lt;&gt;0")</f>
        <v>8</v>
      </c>
      <c r="I15" s="31">
        <f>COUNTIF(I5:I13,"&lt;&gt;0")</f>
        <v>8</v>
      </c>
      <c r="K15" s="67" t="s">
        <v>49</v>
      </c>
      <c r="L15" s="67"/>
      <c r="M15" s="67"/>
      <c r="N15" s="67"/>
      <c r="O15" s="30">
        <v>20</v>
      </c>
      <c r="P15" s="30">
        <v>34</v>
      </c>
      <c r="Q15" s="31">
        <v>35</v>
      </c>
      <c r="S15" s="21" t="str">
        <f t="shared" si="1"/>
        <v>8/35</v>
      </c>
    </row>
    <row r="16" spans="2:24" s="21" customFormat="1" ht="21.75" customHeight="1" x14ac:dyDescent="0.4">
      <c r="E16" s="32"/>
      <c r="G16" s="21">
        <v>32</v>
      </c>
      <c r="H16" s="21">
        <v>60</v>
      </c>
      <c r="I16" s="21">
        <v>92</v>
      </c>
    </row>
    <row r="17" spans="3:13" s="21" customFormat="1" ht="21.75" customHeight="1" x14ac:dyDescent="0.4">
      <c r="E17" s="32"/>
      <c r="G17" s="33">
        <f t="shared" ref="G17:H17" si="3">+G14/G16</f>
        <v>0.25</v>
      </c>
      <c r="H17" s="33">
        <f t="shared" si="3"/>
        <v>0.21666666666666667</v>
      </c>
      <c r="I17" s="33">
        <f>+I14/I16</f>
        <v>0.22826086956521738</v>
      </c>
    </row>
    <row r="19" spans="3:13" ht="21.75" customHeight="1" x14ac:dyDescent="0.2">
      <c r="K19" s="34">
        <f>+G14/$I$14</f>
        <v>0.38095238095238093</v>
      </c>
      <c r="L19" s="34">
        <f>+H14/$I$14</f>
        <v>0.61904761904761907</v>
      </c>
      <c r="M19" s="34">
        <f>+I14/$I$14</f>
        <v>1</v>
      </c>
    </row>
    <row r="20" spans="3:13" ht="21.75" customHeight="1" x14ac:dyDescent="0.2">
      <c r="G20" s="22" t="s">
        <v>3</v>
      </c>
      <c r="H20" s="22" t="s">
        <v>53</v>
      </c>
      <c r="I20" s="22" t="s">
        <v>43</v>
      </c>
    </row>
    <row r="21" spans="3:13" s="35" customFormat="1" ht="21.75" customHeight="1" x14ac:dyDescent="0.2">
      <c r="D21" s="36"/>
      <c r="E21" s="36"/>
      <c r="F21" s="36" t="s">
        <v>51</v>
      </c>
      <c r="G21" s="37">
        <f>+G14</f>
        <v>8</v>
      </c>
      <c r="H21" s="37">
        <f t="shared" ref="H21:I21" si="4">+H14</f>
        <v>13</v>
      </c>
      <c r="I21" s="37">
        <f t="shared" si="4"/>
        <v>21</v>
      </c>
    </row>
    <row r="22" spans="3:13" s="35" customFormat="1" ht="21.75" customHeight="1" x14ac:dyDescent="0.2">
      <c r="D22" s="36"/>
      <c r="E22" s="36"/>
      <c r="F22" s="36" t="s">
        <v>52</v>
      </c>
      <c r="G22" s="37">
        <f>+G15</f>
        <v>3</v>
      </c>
      <c r="H22" s="37">
        <f t="shared" ref="H22:I22" si="5">+H15</f>
        <v>8</v>
      </c>
      <c r="I22" s="37">
        <f t="shared" si="5"/>
        <v>8</v>
      </c>
    </row>
    <row r="23" spans="3:13" s="35" customFormat="1" ht="21.75" customHeight="1" x14ac:dyDescent="0.2">
      <c r="E23" s="38"/>
      <c r="F23" s="39"/>
    </row>
    <row r="24" spans="3:13" s="35" customFormat="1" ht="21.75" customHeight="1" x14ac:dyDescent="0.2">
      <c r="E24" s="38"/>
      <c r="F24" s="39"/>
    </row>
    <row r="25" spans="3:13" s="35" customFormat="1" ht="21.75" customHeight="1" x14ac:dyDescent="0.2">
      <c r="C25" s="65" t="s">
        <v>48</v>
      </c>
      <c r="D25" s="65"/>
      <c r="E25" s="65"/>
      <c r="F25" s="65"/>
    </row>
    <row r="26" spans="3:13" s="35" customFormat="1" ht="21.75" customHeight="1" x14ac:dyDescent="0.2">
      <c r="C26" s="65" t="s">
        <v>49</v>
      </c>
      <c r="D26" s="65"/>
      <c r="E26" s="65"/>
      <c r="F26" s="65"/>
    </row>
    <row r="27" spans="3:13" s="35" customFormat="1" ht="21.75" customHeight="1" x14ac:dyDescent="0.2">
      <c r="E27" s="38"/>
      <c r="F27" s="39"/>
    </row>
    <row r="28" spans="3:13" s="35" customFormat="1" ht="21.75" customHeight="1" x14ac:dyDescent="0.2">
      <c r="E28" s="38"/>
      <c r="F28" s="39" t="s">
        <v>51</v>
      </c>
      <c r="G28" s="35" t="s">
        <v>52</v>
      </c>
    </row>
    <row r="29" spans="3:13" s="35" customFormat="1" ht="21.75" customHeight="1" x14ac:dyDescent="0.2">
      <c r="E29" s="38" t="s">
        <v>3</v>
      </c>
      <c r="F29" s="39">
        <f>+G21</f>
        <v>8</v>
      </c>
      <c r="G29" s="35">
        <f>+G22</f>
        <v>3</v>
      </c>
    </row>
    <row r="30" spans="3:13" s="35" customFormat="1" ht="21.75" customHeight="1" x14ac:dyDescent="0.2">
      <c r="E30" s="38" t="s">
        <v>53</v>
      </c>
      <c r="F30" s="39">
        <f>+H21</f>
        <v>13</v>
      </c>
      <c r="G30" s="35">
        <f>+H22</f>
        <v>8</v>
      </c>
    </row>
    <row r="31" spans="3:13" s="35" customFormat="1" ht="21.75" customHeight="1" x14ac:dyDescent="0.2">
      <c r="E31" s="38"/>
      <c r="F31" s="39"/>
    </row>
    <row r="32" spans="3:13" s="35" customFormat="1" ht="21.75" customHeight="1" x14ac:dyDescent="0.2">
      <c r="E32" s="38"/>
      <c r="F32" s="39"/>
    </row>
    <row r="33" spans="5:6" s="35" customFormat="1" ht="21.75" customHeight="1" x14ac:dyDescent="0.2">
      <c r="E33" s="38"/>
      <c r="F33" s="39"/>
    </row>
    <row r="34" spans="5:6" s="35" customFormat="1" ht="21.75" customHeight="1" x14ac:dyDescent="0.2">
      <c r="E34" s="38"/>
      <c r="F34" s="39"/>
    </row>
    <row r="35" spans="5:6" s="35" customFormat="1" ht="21.75" customHeight="1" x14ac:dyDescent="0.2">
      <c r="E35" s="38"/>
      <c r="F35" s="39"/>
    </row>
    <row r="36" spans="5:6" s="35" customFormat="1" ht="21.75" customHeight="1" x14ac:dyDescent="0.2">
      <c r="E36" s="38"/>
      <c r="F36" s="39"/>
    </row>
    <row r="37" spans="5:6" s="35" customFormat="1" ht="21.75" customHeight="1" x14ac:dyDescent="0.2">
      <c r="E37" s="38"/>
      <c r="F37" s="39"/>
    </row>
    <row r="38" spans="5:6" s="35" customFormat="1" ht="21.75" customHeight="1" x14ac:dyDescent="0.2">
      <c r="E38" s="38"/>
      <c r="F38" s="39"/>
    </row>
    <row r="39" spans="5:6" s="35" customFormat="1" ht="21.75" customHeight="1" x14ac:dyDescent="0.2">
      <c r="E39" s="38"/>
      <c r="F39" s="39"/>
    </row>
    <row r="40" spans="5:6" s="35" customFormat="1" ht="21.75" customHeight="1" x14ac:dyDescent="0.2">
      <c r="E40" s="38"/>
      <c r="F40" s="39"/>
    </row>
    <row r="41" spans="5:6" s="35" customFormat="1" ht="21.75" customHeight="1" x14ac:dyDescent="0.2">
      <c r="E41" s="38"/>
      <c r="F41" s="39"/>
    </row>
    <row r="42" spans="5:6" s="35" customFormat="1" ht="21.75" customHeight="1" x14ac:dyDescent="0.2">
      <c r="E42" s="38"/>
      <c r="F42" s="39"/>
    </row>
    <row r="43" spans="5:6" s="35" customFormat="1" ht="21.75" customHeight="1" x14ac:dyDescent="0.2">
      <c r="E43" s="38"/>
      <c r="F43" s="39"/>
    </row>
    <row r="44" spans="5:6" s="35" customFormat="1" ht="21.75" customHeight="1" x14ac:dyDescent="0.2">
      <c r="E44" s="38"/>
      <c r="F44" s="39"/>
    </row>
  </sheetData>
  <mergeCells count="16">
    <mergeCell ref="C26:F26"/>
    <mergeCell ref="O3:Q3"/>
    <mergeCell ref="K14:N14"/>
    <mergeCell ref="K15:N15"/>
    <mergeCell ref="C25:F25"/>
    <mergeCell ref="C14:F14"/>
    <mergeCell ref="C15:F15"/>
    <mergeCell ref="K3:K4"/>
    <mergeCell ref="L3:L4"/>
    <mergeCell ref="M3:M4"/>
    <mergeCell ref="N3:N4"/>
    <mergeCell ref="C3:C4"/>
    <mergeCell ref="D3:D4"/>
    <mergeCell ref="E3:E4"/>
    <mergeCell ref="F3:F4"/>
    <mergeCell ref="G3:I3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Dados</vt:lpstr>
      <vt:lpstr>Apendice III</vt:lpstr>
      <vt:lpstr>Todos</vt:lpstr>
      <vt:lpstr>CACS</vt:lpstr>
      <vt:lpstr>GESTORES</vt:lpstr>
      <vt:lpstr>Resumo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Robinson Giraldo</dc:creator>
  <cp:lastModifiedBy>Robinson Zuluaga</cp:lastModifiedBy>
  <dcterms:created xsi:type="dcterms:W3CDTF">2024-06-20T01:29:06Z</dcterms:created>
  <dcterms:modified xsi:type="dcterms:W3CDTF">2026-03-23T16:25:12Z</dcterms:modified>
</cp:coreProperties>
</file>