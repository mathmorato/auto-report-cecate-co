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R:\Dropbox\090_UFG\08_PTE - FAPPTE\28_12CTE\"/>
    </mc:Choice>
  </mc:AlternateContent>
  <xr:revisionPtr revIDLastSave="0" documentId="13_ncr:1_{4C346338-7B8B-4DDB-82D8-8464C878A25B}" xr6:coauthVersionLast="47" xr6:coauthVersionMax="47" xr10:uidLastSave="{00000000-0000-0000-0000-000000000000}"/>
  <bookViews>
    <workbookView xWindow="-120" yWindow="-120" windowWidth="29040" windowHeight="15840" tabRatio="772" activeTab="5" xr2:uid="{CF705BD6-A6DF-48B5-B1CC-0BABAB37C2E4}"/>
  </bookViews>
  <sheets>
    <sheet name="Dados" sheetId="17" r:id="rId1"/>
    <sheet name="Apendice III" sheetId="24" r:id="rId2"/>
    <sheet name="Todos" sheetId="18" r:id="rId3"/>
    <sheet name="CACS" sheetId="22" r:id="rId4"/>
    <sheet name="GESTORES" sheetId="23" r:id="rId5"/>
    <sheet name="Resumo " sheetId="21" r:id="rId6"/>
  </sheets>
  <definedNames>
    <definedName name="_xlnm._FilterDatabase" localSheetId="5" hidden="1">'Resumo '!$D$4:$H$30</definedName>
    <definedName name="_xleta.X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" i="17" l="1"/>
  <c r="V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" i="17"/>
  <c r="A7" i="23" l="1"/>
  <c r="B7" i="23"/>
  <c r="C7" i="23"/>
  <c r="D7" i="23"/>
  <c r="E7" i="23"/>
  <c r="F7" i="23"/>
  <c r="G7" i="23"/>
  <c r="H7" i="23"/>
  <c r="I7" i="23"/>
  <c r="A8" i="23"/>
  <c r="B8" i="23"/>
  <c r="C8" i="23"/>
  <c r="D8" i="23"/>
  <c r="E8" i="23"/>
  <c r="F8" i="23"/>
  <c r="G8" i="23"/>
  <c r="H8" i="23"/>
  <c r="I8" i="23"/>
  <c r="A9" i="23"/>
  <c r="B9" i="23"/>
  <c r="C9" i="23"/>
  <c r="D9" i="23"/>
  <c r="E9" i="23"/>
  <c r="F9" i="23"/>
  <c r="G9" i="23"/>
  <c r="H9" i="23"/>
  <c r="I9" i="23"/>
  <c r="A10" i="23"/>
  <c r="B10" i="23"/>
  <c r="C10" i="23"/>
  <c r="D10" i="23"/>
  <c r="E10" i="23"/>
  <c r="F10" i="23"/>
  <c r="G10" i="23"/>
  <c r="H10" i="23"/>
  <c r="I10" i="23"/>
  <c r="A11" i="23"/>
  <c r="B11" i="23"/>
  <c r="C11" i="23"/>
  <c r="D11" i="23"/>
  <c r="E11" i="23"/>
  <c r="F11" i="23"/>
  <c r="G11" i="23"/>
  <c r="H11" i="23"/>
  <c r="I11" i="23"/>
  <c r="A12" i="23"/>
  <c r="B12" i="23"/>
  <c r="C12" i="23"/>
  <c r="D12" i="23"/>
  <c r="E12" i="23"/>
  <c r="F12" i="23"/>
  <c r="G12" i="23"/>
  <c r="H12" i="23"/>
  <c r="I12" i="23"/>
  <c r="A13" i="23"/>
  <c r="B13" i="23"/>
  <c r="C13" i="23"/>
  <c r="D13" i="23"/>
  <c r="E13" i="23"/>
  <c r="F13" i="23"/>
  <c r="G13" i="23"/>
  <c r="H13" i="23"/>
  <c r="I13" i="23"/>
  <c r="A14" i="23"/>
  <c r="B14" i="23"/>
  <c r="C14" i="23"/>
  <c r="D14" i="23"/>
  <c r="E14" i="23"/>
  <c r="F14" i="23"/>
  <c r="G14" i="23"/>
  <c r="H14" i="23"/>
  <c r="I14" i="23"/>
  <c r="A15" i="23"/>
  <c r="B15" i="23"/>
  <c r="C15" i="23"/>
  <c r="D15" i="23"/>
  <c r="E15" i="23"/>
  <c r="F15" i="23"/>
  <c r="G15" i="23"/>
  <c r="H15" i="23"/>
  <c r="I15" i="23"/>
  <c r="A16" i="23"/>
  <c r="B16" i="23"/>
  <c r="C16" i="23"/>
  <c r="D16" i="23"/>
  <c r="E16" i="23"/>
  <c r="F16" i="23"/>
  <c r="G16" i="23"/>
  <c r="H16" i="23"/>
  <c r="I16" i="23"/>
  <c r="A17" i="23"/>
  <c r="B17" i="23"/>
  <c r="C17" i="23"/>
  <c r="D17" i="23"/>
  <c r="E17" i="23"/>
  <c r="F17" i="23"/>
  <c r="G17" i="23"/>
  <c r="H17" i="23"/>
  <c r="I17" i="23"/>
  <c r="A18" i="23"/>
  <c r="B18" i="23"/>
  <c r="C18" i="23"/>
  <c r="D18" i="23"/>
  <c r="E18" i="23"/>
  <c r="F18" i="23"/>
  <c r="G18" i="23"/>
  <c r="H18" i="23"/>
  <c r="I18" i="23"/>
  <c r="A19" i="23"/>
  <c r="B19" i="23"/>
  <c r="C19" i="23"/>
  <c r="D19" i="23"/>
  <c r="E19" i="23"/>
  <c r="F19" i="23"/>
  <c r="G19" i="23"/>
  <c r="H19" i="23"/>
  <c r="I19" i="23"/>
  <c r="A20" i="23"/>
  <c r="B20" i="23"/>
  <c r="C20" i="23"/>
  <c r="D20" i="23"/>
  <c r="E20" i="23"/>
  <c r="F20" i="23"/>
  <c r="G20" i="23"/>
  <c r="H20" i="23"/>
  <c r="I20" i="23"/>
  <c r="A21" i="23"/>
  <c r="B21" i="23"/>
  <c r="C21" i="23"/>
  <c r="D21" i="23"/>
  <c r="E21" i="23"/>
  <c r="F21" i="23"/>
  <c r="G21" i="23"/>
  <c r="H21" i="23"/>
  <c r="I21" i="23"/>
  <c r="A22" i="23"/>
  <c r="B22" i="23"/>
  <c r="C22" i="23"/>
  <c r="D22" i="23"/>
  <c r="E22" i="23"/>
  <c r="F22" i="23"/>
  <c r="G22" i="23"/>
  <c r="H22" i="23"/>
  <c r="I22" i="23"/>
  <c r="A23" i="23"/>
  <c r="B23" i="23"/>
  <c r="C23" i="23"/>
  <c r="D23" i="23"/>
  <c r="E23" i="23"/>
  <c r="F23" i="23"/>
  <c r="G23" i="23"/>
  <c r="H23" i="23"/>
  <c r="I23" i="23"/>
  <c r="A24" i="23"/>
  <c r="B24" i="23"/>
  <c r="C24" i="23"/>
  <c r="D24" i="23"/>
  <c r="E24" i="23"/>
  <c r="F24" i="23"/>
  <c r="G24" i="23"/>
  <c r="H24" i="23"/>
  <c r="I24" i="23"/>
  <c r="A25" i="23"/>
  <c r="B25" i="23"/>
  <c r="C25" i="23"/>
  <c r="D25" i="23"/>
  <c r="E25" i="23"/>
  <c r="F25" i="23"/>
  <c r="G25" i="23"/>
  <c r="H25" i="23"/>
  <c r="I25" i="23"/>
  <c r="A26" i="23"/>
  <c r="B26" i="23"/>
  <c r="C26" i="23"/>
  <c r="D26" i="23"/>
  <c r="E26" i="23"/>
  <c r="F26" i="23"/>
  <c r="G26" i="23"/>
  <c r="H26" i="23"/>
  <c r="I26" i="23"/>
  <c r="A3" i="22"/>
  <c r="B3" i="22"/>
  <c r="C3" i="22"/>
  <c r="D3" i="22"/>
  <c r="E3" i="22"/>
  <c r="F3" i="22"/>
  <c r="G3" i="22"/>
  <c r="H3" i="22"/>
  <c r="I3" i="22"/>
  <c r="A4" i="22"/>
  <c r="B4" i="22"/>
  <c r="C4" i="22"/>
  <c r="D4" i="22"/>
  <c r="E4" i="22"/>
  <c r="F4" i="22"/>
  <c r="G4" i="22"/>
  <c r="H4" i="22"/>
  <c r="I4" i="22"/>
  <c r="A5" i="22"/>
  <c r="B5" i="22"/>
  <c r="C5" i="22"/>
  <c r="D5" i="22"/>
  <c r="E5" i="22"/>
  <c r="F5" i="22"/>
  <c r="G5" i="22"/>
  <c r="H5" i="22"/>
  <c r="I5" i="22"/>
  <c r="A6" i="22"/>
  <c r="B6" i="22"/>
  <c r="C6" i="22"/>
  <c r="D6" i="22"/>
  <c r="E6" i="22"/>
  <c r="F6" i="22"/>
  <c r="G6" i="22"/>
  <c r="H6" i="22"/>
  <c r="I6" i="22"/>
  <c r="A2" i="22"/>
  <c r="A2" i="18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B24" i="18"/>
  <c r="B25" i="18"/>
  <c r="B26" i="18"/>
  <c r="C24" i="18"/>
  <c r="D24" i="18"/>
  <c r="E24" i="18"/>
  <c r="F24" i="18"/>
  <c r="G24" i="18"/>
  <c r="H24" i="18"/>
  <c r="I24" i="18"/>
  <c r="C25" i="18"/>
  <c r="D25" i="18"/>
  <c r="E25" i="18"/>
  <c r="F25" i="18"/>
  <c r="G25" i="18"/>
  <c r="H25" i="18"/>
  <c r="I25" i="18"/>
  <c r="C26" i="18"/>
  <c r="D26" i="18"/>
  <c r="E26" i="18"/>
  <c r="F26" i="18"/>
  <c r="G26" i="18"/>
  <c r="H26" i="18"/>
  <c r="I26" i="18"/>
  <c r="B19" i="18" l="1"/>
  <c r="C19" i="18"/>
  <c r="D19" i="18"/>
  <c r="E19" i="18"/>
  <c r="F19" i="18"/>
  <c r="G19" i="18"/>
  <c r="H19" i="18"/>
  <c r="I19" i="18"/>
  <c r="B20" i="18"/>
  <c r="C20" i="18"/>
  <c r="D20" i="18"/>
  <c r="E20" i="18"/>
  <c r="F20" i="18"/>
  <c r="G20" i="18"/>
  <c r="H20" i="18"/>
  <c r="I20" i="18"/>
  <c r="B21" i="18"/>
  <c r="C21" i="18"/>
  <c r="D21" i="18"/>
  <c r="E21" i="18"/>
  <c r="F21" i="18"/>
  <c r="G21" i="18"/>
  <c r="H21" i="18"/>
  <c r="I21" i="18"/>
  <c r="B22" i="18"/>
  <c r="C22" i="18"/>
  <c r="D22" i="18"/>
  <c r="E22" i="18"/>
  <c r="F22" i="18"/>
  <c r="G22" i="18"/>
  <c r="H22" i="18"/>
  <c r="I22" i="18"/>
  <c r="B23" i="18"/>
  <c r="C23" i="18"/>
  <c r="D23" i="18"/>
  <c r="E23" i="18"/>
  <c r="F23" i="18"/>
  <c r="G23" i="18"/>
  <c r="H23" i="18"/>
  <c r="I23" i="18"/>
  <c r="B3" i="18"/>
  <c r="C3" i="18"/>
  <c r="D3" i="18"/>
  <c r="E3" i="18"/>
  <c r="F3" i="18"/>
  <c r="G3" i="18"/>
  <c r="H3" i="18"/>
  <c r="I3" i="18"/>
  <c r="B4" i="18"/>
  <c r="C4" i="18"/>
  <c r="D4" i="18"/>
  <c r="E4" i="18"/>
  <c r="F4" i="18"/>
  <c r="G4" i="18"/>
  <c r="H4" i="18"/>
  <c r="I4" i="18"/>
  <c r="B5" i="18"/>
  <c r="C5" i="18"/>
  <c r="D5" i="18"/>
  <c r="E5" i="18"/>
  <c r="F5" i="18"/>
  <c r="G5" i="18"/>
  <c r="H5" i="18"/>
  <c r="I5" i="18"/>
  <c r="B6" i="18"/>
  <c r="C6" i="18"/>
  <c r="D6" i="18"/>
  <c r="E6" i="18"/>
  <c r="F6" i="18"/>
  <c r="G6" i="18"/>
  <c r="H6" i="18"/>
  <c r="I6" i="18"/>
  <c r="B7" i="18"/>
  <c r="C7" i="18"/>
  <c r="D7" i="18"/>
  <c r="E7" i="18"/>
  <c r="F7" i="18"/>
  <c r="G7" i="18"/>
  <c r="H7" i="18"/>
  <c r="I7" i="18"/>
  <c r="B8" i="18"/>
  <c r="C8" i="18"/>
  <c r="D8" i="18"/>
  <c r="E8" i="18"/>
  <c r="F8" i="18"/>
  <c r="G8" i="18"/>
  <c r="H8" i="18"/>
  <c r="I8" i="18"/>
  <c r="B9" i="18"/>
  <c r="C9" i="18"/>
  <c r="D9" i="18"/>
  <c r="E9" i="18"/>
  <c r="F9" i="18"/>
  <c r="G9" i="18"/>
  <c r="H9" i="18"/>
  <c r="I9" i="18"/>
  <c r="B10" i="18"/>
  <c r="C10" i="18"/>
  <c r="D10" i="18"/>
  <c r="E10" i="18"/>
  <c r="F10" i="18"/>
  <c r="G10" i="18"/>
  <c r="H10" i="18"/>
  <c r="I10" i="18"/>
  <c r="B11" i="18"/>
  <c r="C11" i="18"/>
  <c r="D11" i="18"/>
  <c r="E11" i="18"/>
  <c r="F11" i="18"/>
  <c r="G11" i="18"/>
  <c r="H11" i="18"/>
  <c r="I11" i="18"/>
  <c r="B12" i="18"/>
  <c r="C12" i="18"/>
  <c r="D12" i="18"/>
  <c r="E12" i="18"/>
  <c r="F12" i="18"/>
  <c r="G12" i="18"/>
  <c r="H12" i="18"/>
  <c r="I12" i="18"/>
  <c r="B13" i="18"/>
  <c r="C13" i="18"/>
  <c r="D13" i="18"/>
  <c r="E13" i="18"/>
  <c r="F13" i="18"/>
  <c r="G13" i="18"/>
  <c r="H13" i="18"/>
  <c r="I13" i="18"/>
  <c r="B14" i="18"/>
  <c r="C14" i="18"/>
  <c r="D14" i="18"/>
  <c r="E14" i="18"/>
  <c r="F14" i="18"/>
  <c r="G14" i="18"/>
  <c r="H14" i="18"/>
  <c r="I14" i="18"/>
  <c r="B15" i="18"/>
  <c r="C15" i="18"/>
  <c r="D15" i="18"/>
  <c r="E15" i="18"/>
  <c r="F15" i="18"/>
  <c r="G15" i="18"/>
  <c r="H15" i="18"/>
  <c r="I15" i="18"/>
  <c r="B16" i="18"/>
  <c r="C16" i="18"/>
  <c r="D16" i="18"/>
  <c r="E16" i="18"/>
  <c r="F16" i="18"/>
  <c r="G16" i="18"/>
  <c r="H16" i="18"/>
  <c r="I16" i="18"/>
  <c r="B17" i="18"/>
  <c r="C17" i="18"/>
  <c r="D17" i="18"/>
  <c r="E17" i="18"/>
  <c r="F17" i="18"/>
  <c r="G17" i="18"/>
  <c r="H17" i="18"/>
  <c r="I17" i="18"/>
  <c r="B18" i="18"/>
  <c r="C18" i="18"/>
  <c r="D18" i="18"/>
  <c r="E18" i="18"/>
  <c r="F18" i="18"/>
  <c r="G18" i="18"/>
  <c r="H18" i="18"/>
  <c r="I18" i="18"/>
  <c r="I2" i="22" l="1"/>
  <c r="H2" i="22"/>
  <c r="G2" i="22"/>
  <c r="F2" i="22"/>
  <c r="E2" i="22"/>
  <c r="D2" i="22"/>
  <c r="C2" i="22"/>
  <c r="B2" i="22"/>
  <c r="C2" i="18"/>
  <c r="O7" i="18" s="1"/>
  <c r="O10" i="18" s="1"/>
  <c r="D2" i="18"/>
  <c r="E2" i="18"/>
  <c r="F2" i="18"/>
  <c r="G2" i="18"/>
  <c r="H2" i="18"/>
  <c r="I2" i="18"/>
  <c r="B2" i="18"/>
  <c r="H24" i="21" s="1"/>
  <c r="R5" i="23"/>
  <c r="Q5" i="23"/>
  <c r="P5" i="23"/>
  <c r="O5" i="23"/>
  <c r="N5" i="23"/>
  <c r="R5" i="22"/>
  <c r="Q5" i="22"/>
  <c r="P5" i="22"/>
  <c r="O5" i="22"/>
  <c r="N5" i="22"/>
  <c r="O5" i="18"/>
  <c r="O8" i="18" s="1"/>
  <c r="O11" i="18" s="1"/>
  <c r="P5" i="18"/>
  <c r="Q5" i="18"/>
  <c r="R5" i="18"/>
  <c r="N5" i="18"/>
  <c r="H14" i="21" l="1"/>
  <c r="H13" i="21"/>
  <c r="H9" i="21"/>
  <c r="H21" i="21"/>
  <c r="H20" i="21"/>
  <c r="H19" i="21"/>
  <c r="H17" i="21"/>
  <c r="H16" i="21"/>
  <c r="H27" i="21"/>
  <c r="H15" i="21"/>
  <c r="H26" i="21"/>
  <c r="H22" i="21"/>
  <c r="H23" i="21"/>
  <c r="H11" i="21"/>
  <c r="H18" i="21"/>
  <c r="H12" i="21"/>
  <c r="H7" i="21"/>
  <c r="H10" i="21"/>
  <c r="H8" i="21"/>
  <c r="H25" i="21"/>
  <c r="G7" i="21"/>
  <c r="G11" i="21"/>
  <c r="G26" i="21"/>
  <c r="I26" i="21" s="1"/>
  <c r="G15" i="21"/>
  <c r="G19" i="21"/>
  <c r="G8" i="21"/>
  <c r="G12" i="21"/>
  <c r="G23" i="21"/>
  <c r="G27" i="21"/>
  <c r="G17" i="21"/>
  <c r="I17" i="21" s="1"/>
  <c r="G18" i="21"/>
  <c r="G16" i="21"/>
  <c r="G20" i="21"/>
  <c r="G9" i="21"/>
  <c r="I9" i="21" s="1"/>
  <c r="G13" i="21"/>
  <c r="G24" i="21"/>
  <c r="I24" i="21" s="1"/>
  <c r="G21" i="21"/>
  <c r="G22" i="21"/>
  <c r="G10" i="21"/>
  <c r="G14" i="21"/>
  <c r="I14" i="21" s="1"/>
  <c r="G25" i="21"/>
  <c r="O12" i="22"/>
  <c r="Q11" i="23"/>
  <c r="P11" i="23"/>
  <c r="Q6" i="23"/>
  <c r="P10" i="23"/>
  <c r="R9" i="23"/>
  <c r="O8" i="23"/>
  <c r="O10" i="23"/>
  <c r="Q7" i="23"/>
  <c r="O12" i="23"/>
  <c r="Q11" i="22"/>
  <c r="P11" i="22"/>
  <c r="O6" i="22"/>
  <c r="P7" i="23"/>
  <c r="Q7" i="22"/>
  <c r="O6" i="23"/>
  <c r="R9" i="22"/>
  <c r="O8" i="22"/>
  <c r="P6" i="22"/>
  <c r="P10" i="22"/>
  <c r="P7" i="22"/>
  <c r="Q9" i="22"/>
  <c r="O10" i="22"/>
  <c r="P9" i="22"/>
  <c r="Q9" i="23"/>
  <c r="R7" i="23"/>
  <c r="P8" i="23"/>
  <c r="N9" i="23"/>
  <c r="R11" i="23"/>
  <c r="O7" i="23"/>
  <c r="Q10" i="23"/>
  <c r="Q12" i="23"/>
  <c r="R6" i="23"/>
  <c r="N8" i="23"/>
  <c r="N10" i="23"/>
  <c r="N12" i="23"/>
  <c r="P6" i="23"/>
  <c r="N7" i="23"/>
  <c r="N11" i="23"/>
  <c r="P12" i="23"/>
  <c r="Q8" i="23"/>
  <c r="O9" i="23"/>
  <c r="O11" i="23"/>
  <c r="N6" i="23"/>
  <c r="R8" i="23"/>
  <c r="P9" i="23"/>
  <c r="R10" i="23"/>
  <c r="R12" i="23"/>
  <c r="N7" i="22"/>
  <c r="P8" i="22"/>
  <c r="N9" i="22"/>
  <c r="P12" i="22"/>
  <c r="Q6" i="22"/>
  <c r="O7" i="22"/>
  <c r="Q8" i="22"/>
  <c r="O9" i="22"/>
  <c r="Q10" i="22"/>
  <c r="O11" i="22"/>
  <c r="Q12" i="22"/>
  <c r="R7" i="22"/>
  <c r="N11" i="22"/>
  <c r="R11" i="22"/>
  <c r="N6" i="22"/>
  <c r="R6" i="22"/>
  <c r="N8" i="22"/>
  <c r="R8" i="22"/>
  <c r="N10" i="22"/>
  <c r="R10" i="22"/>
  <c r="N12" i="22"/>
  <c r="R12" i="22"/>
  <c r="I7" i="21" l="1"/>
  <c r="I16" i="21"/>
  <c r="I8" i="21"/>
  <c r="I12" i="21"/>
  <c r="I23" i="21"/>
  <c r="I21" i="21"/>
  <c r="I25" i="21"/>
  <c r="I11" i="21"/>
  <c r="I27" i="21"/>
  <c r="I20" i="21"/>
  <c r="I19" i="21"/>
  <c r="I10" i="21"/>
  <c r="I15" i="21"/>
  <c r="I13" i="21"/>
  <c r="I22" i="21"/>
  <c r="I18" i="21"/>
  <c r="N6" i="18"/>
  <c r="H5" i="21"/>
  <c r="G5" i="21"/>
  <c r="G6" i="21"/>
  <c r="H6" i="21"/>
  <c r="O6" i="18"/>
  <c r="O9" i="18" s="1"/>
  <c r="O12" i="18" s="1"/>
  <c r="N12" i="18"/>
  <c r="N11" i="18"/>
  <c r="N7" i="18"/>
  <c r="N8" i="18"/>
  <c r="P10" i="18"/>
  <c r="Q6" i="18"/>
  <c r="Q12" i="18"/>
  <c r="R10" i="18"/>
  <c r="Q8" i="18"/>
  <c r="N10" i="18"/>
  <c r="Q11" i="18"/>
  <c r="P9" i="18"/>
  <c r="N9" i="18"/>
  <c r="R6" i="18"/>
  <c r="R12" i="18"/>
  <c r="R8" i="18"/>
  <c r="Q10" i="18"/>
  <c r="P12" i="18"/>
  <c r="P8" i="18"/>
  <c r="P6" i="18"/>
  <c r="R9" i="18"/>
  <c r="Q7" i="18"/>
  <c r="R11" i="18"/>
  <c r="R7" i="18"/>
  <c r="Q9" i="18"/>
  <c r="P11" i="18"/>
  <c r="P7" i="18"/>
  <c r="H28" i="21" l="1"/>
  <c r="H29" i="21"/>
  <c r="H36" i="21" s="1"/>
  <c r="G44" i="21" s="1"/>
  <c r="I6" i="21"/>
  <c r="S6" i="21" s="1"/>
  <c r="G28" i="21"/>
  <c r="G29" i="21"/>
  <c r="G36" i="21" s="1"/>
  <c r="G43" i="21" s="1"/>
  <c r="I5" i="21"/>
  <c r="G35" i="21" l="1"/>
  <c r="F43" i="21" s="1"/>
  <c r="G31" i="21"/>
  <c r="H35" i="21"/>
  <c r="F44" i="21" s="1"/>
  <c r="H31" i="21"/>
  <c r="S5" i="21"/>
  <c r="I29" i="21"/>
  <c r="I28" i="21"/>
  <c r="K33" i="21" s="1"/>
  <c r="L33" i="21" l="1"/>
  <c r="I36" i="21"/>
  <c r="S29" i="21"/>
  <c r="I35" i="21"/>
  <c r="S28" i="21"/>
  <c r="M33" i="21"/>
  <c r="I31" i="21"/>
</calcChain>
</file>

<file path=xl/sharedStrings.xml><?xml version="1.0" encoding="utf-8"?>
<sst xmlns="http://schemas.openxmlformats.org/spreadsheetml/2006/main" count="617" uniqueCount="365">
  <si>
    <t>Carimbo de data/hora</t>
  </si>
  <si>
    <t>Comentários e/ou Sugestões:</t>
  </si>
  <si>
    <t>Ruim</t>
  </si>
  <si>
    <t>CACS</t>
  </si>
  <si>
    <t>GESTOR</t>
  </si>
  <si>
    <t>Como ficou sabendo da Capacitação?</t>
  </si>
  <si>
    <t>Grupos de WhatsApp</t>
  </si>
  <si>
    <t>Outro</t>
  </si>
  <si>
    <t>Oficio de convocação feito pelo FNDE</t>
  </si>
  <si>
    <t>Foi ótimo</t>
  </si>
  <si>
    <t>Nome Completo:</t>
  </si>
  <si>
    <t>CPF</t>
  </si>
  <si>
    <t>e-mail</t>
  </si>
  <si>
    <t>Município que representa:</t>
  </si>
  <si>
    <t>Você faz parte do:</t>
  </si>
  <si>
    <t>Avaliar de 1 a 5 (1 significa "ruim" e 5 significa "excelente") [Inscrição]</t>
  </si>
  <si>
    <t>Avaliar de 1 a 5 (1 significa "ruim" e 5 significa "excelente") [Divulgação]</t>
  </si>
  <si>
    <t>Avaliar de 1 a 5 (1 significa "ruim" e 5 significa "excelente") [Data da Formação]</t>
  </si>
  <si>
    <t>Avaliar de 1 a 5 (1 significa "ruim" e 5 significa "excelente") [Horário da Formação]</t>
  </si>
  <si>
    <t>Avaliar de 1 a 5 (1 significa "ruim" e 5 significa "excelente") [Local da Formação]</t>
  </si>
  <si>
    <t>Avaliar de 1 a 5 (1 significa "ruim" e 5 significa "excelente") [Duração da Formação]</t>
  </si>
  <si>
    <t>Avaliar de 1 a 5 (1 significa "ruim" e 5 significa "excelente") [Como você avalia a Formação]</t>
  </si>
  <si>
    <t>Indique dois aspectos que você mais gostou na Formação:</t>
  </si>
  <si>
    <t>Indique dois aspectos que poderiam ser melhorados na Formação (com detalhes);</t>
  </si>
  <si>
    <t>Instituição vinculada:</t>
  </si>
  <si>
    <t>Mencionar a Instituição vinculada</t>
  </si>
  <si>
    <t>CACS-FUNDEB</t>
  </si>
  <si>
    <t>Conselheira (o) do CACS/Fundeb</t>
  </si>
  <si>
    <t>Gestão municipal</t>
  </si>
  <si>
    <t>Secretaria Municipal de Educação;</t>
  </si>
  <si>
    <t>Prefeitura;</t>
  </si>
  <si>
    <t>E-mail encaminhado pelo CECATE/CO</t>
  </si>
  <si>
    <t>Mundo Novo</t>
  </si>
  <si>
    <t>Município</t>
  </si>
  <si>
    <t>Faz parte</t>
  </si>
  <si>
    <t xml:space="preserve">Inscrição </t>
  </si>
  <si>
    <t xml:space="preserve">Divulgação </t>
  </si>
  <si>
    <t xml:space="preserve">Data da Formação </t>
  </si>
  <si>
    <t xml:space="preserve">Horário da Formação </t>
  </si>
  <si>
    <t xml:space="preserve">Local da Formação </t>
  </si>
  <si>
    <t xml:space="preserve">Duração da Formação </t>
  </si>
  <si>
    <t xml:space="preserve">Como você avalia a Formação </t>
  </si>
  <si>
    <t>Excelente</t>
  </si>
  <si>
    <t xml:space="preserve"> Muito Bom</t>
  </si>
  <si>
    <t xml:space="preserve"> Neutro</t>
  </si>
  <si>
    <t xml:space="preserve"> Regular</t>
  </si>
  <si>
    <t>TOTAL</t>
  </si>
  <si>
    <t>Data</t>
  </si>
  <si>
    <t>Código IBGE  </t>
  </si>
  <si>
    <t>Distância (km) </t>
  </si>
  <si>
    <t>Presentes</t>
  </si>
  <si>
    <t>Pessoas Inscritas</t>
  </si>
  <si>
    <t>Municípios com pelo menos um representante inscrito</t>
  </si>
  <si>
    <t>Avaliadores</t>
  </si>
  <si>
    <t>Nº de Avaliações</t>
  </si>
  <si>
    <t>Nº de Participantes</t>
  </si>
  <si>
    <t>GESTORES</t>
  </si>
  <si>
    <t>E-mail encaminhado pelo CECATE/CO, Oficio de convocação feito pelo FNDE</t>
  </si>
  <si>
    <t>Código IBGE</t>
  </si>
  <si>
    <t>Tempo</t>
  </si>
  <si>
    <t>Nada</t>
  </si>
  <si>
    <t>Nova Glória</t>
  </si>
  <si>
    <t>Educação dos palestrantes e temas importantes.</t>
  </si>
  <si>
    <t>Os slides</t>
  </si>
  <si>
    <t>Educação dos palestrantes e Eficácia dos temas</t>
  </si>
  <si>
    <t>Questão dos Slides</t>
  </si>
  <si>
    <t>Nova Crixás</t>
  </si>
  <si>
    <t>Ambiente, Formadores</t>
  </si>
  <si>
    <t>Melhoras os slides (letras muito pequenas)</t>
  </si>
  <si>
    <t>Niquelândia</t>
  </si>
  <si>
    <t>Informações e clareza</t>
  </si>
  <si>
    <t>Nada a declarar, foi muito produtivo.</t>
  </si>
  <si>
    <t>Ceres</t>
  </si>
  <si>
    <t>Assuntos abordados e explicações.</t>
  </si>
  <si>
    <t>Som e data-show</t>
  </si>
  <si>
    <t>Rialma</t>
  </si>
  <si>
    <t>Período vespertino a parte prática</t>
  </si>
  <si>
    <t>Sem mais</t>
  </si>
  <si>
    <t>Minaçu</t>
  </si>
  <si>
    <t>Bons instrutores, muito boa a apresentação, excelente trabalho !</t>
  </si>
  <si>
    <t>Oratoria</t>
  </si>
  <si>
    <t>Explicações excelente,</t>
  </si>
  <si>
    <t>Ter lanche , e o data show</t>
  </si>
  <si>
    <t>Mozarlândia</t>
  </si>
  <si>
    <t>Cete e palestra</t>
  </si>
  <si>
    <t>Nem um</t>
  </si>
  <si>
    <t>Uruaçu</t>
  </si>
  <si>
    <t>Respostas claras e objetivas</t>
  </si>
  <si>
    <t>Santa Isabel</t>
  </si>
  <si>
    <t>Sobre o Sete, não utilizava .</t>
  </si>
  <si>
    <t>Nada a melhorar.</t>
  </si>
  <si>
    <t>Aruanã</t>
  </si>
  <si>
    <t>A tranquilidade e a orientação repassada nos momentos das intervenções</t>
  </si>
  <si>
    <t>Não tenho que reparar</t>
  </si>
  <si>
    <t>Explicação</t>
  </si>
  <si>
    <t>Não tem</t>
  </si>
  <si>
    <t>Troca de experiências, treinamento no laboratório</t>
  </si>
  <si>
    <t>Localização: distante, falta de intervalo.</t>
  </si>
  <si>
    <t>Informações 
Conhecimentos</t>
  </si>
  <si>
    <t>Intervalo de 10
Lanche</t>
  </si>
  <si>
    <t>O respeito e as devolutivas no transcorrer do curso.</t>
  </si>
  <si>
    <t>Foi sarisfatorio</t>
  </si>
  <si>
    <t>Praticidade de execução</t>
  </si>
  <si>
    <t>Visita a minha cidade</t>
  </si>
  <si>
    <t>Carmo do Rio Verde</t>
  </si>
  <si>
    <t>Conteúdo fácil e explicação exatamente</t>
  </si>
  <si>
    <t>Não houve nenhum nessa formação</t>
  </si>
  <si>
    <t>Itapuranga</t>
  </si>
  <si>
    <t>Pontualidade e objetividade.</t>
  </si>
  <si>
    <t>Alimentação, em razão de morarmos distante.</t>
  </si>
  <si>
    <t>Explicação e dinâmica</t>
  </si>
  <si>
    <t>Alimentação</t>
  </si>
  <si>
    <t>São Luiz do Norte</t>
  </si>
  <si>
    <t>A metodologia . E o nivel do conhecimento</t>
  </si>
  <si>
    <t>O acolhimento</t>
  </si>
  <si>
    <t>Campinaçu</t>
  </si>
  <si>
    <t>Pontualidade
Boa explanação</t>
  </si>
  <si>
    <t>Foi muito proveitosa</t>
  </si>
  <si>
    <t>Porangatu</t>
  </si>
  <si>
    <t>Plataforma</t>
  </si>
  <si>
    <t>Mais formações durante o ano.
Maior divulgação</t>
  </si>
  <si>
    <t>Esclarecedor; Trouxe oportunidade de aprender coisas, aspectos novos.</t>
  </si>
  <si>
    <t>Talvez trabalhar os aspectos licitatório</t>
  </si>
  <si>
    <t>Equipe técnica e dinâmica utilizada.</t>
  </si>
  <si>
    <t>Utilizar microfones.</t>
  </si>
  <si>
    <t>Goianésia</t>
  </si>
  <si>
    <t>Clareza e Objetividade</t>
  </si>
  <si>
    <t>Nada a declarar</t>
  </si>
  <si>
    <t>Campinorte</t>
  </si>
  <si>
    <t>Dinâmica e metodologia</t>
  </si>
  <si>
    <t>Lanche e intervalo</t>
  </si>
  <si>
    <t>Interação e explicação</t>
  </si>
  <si>
    <t>Café da manhã e lanche rsrs</t>
  </si>
  <si>
    <t>Morro Agudo de Goiás</t>
  </si>
  <si>
    <t>A clareza dos Monitores</t>
  </si>
  <si>
    <t>Um café pra despertar</t>
  </si>
  <si>
    <t>A forma dinâmica de interação professores/alunos</t>
  </si>
  <si>
    <t>Um cafezinho</t>
  </si>
  <si>
    <t>Aula prática do sistema excelente 
Conteúdo útil para a vivência diária</t>
  </si>
  <si>
    <t>Poderia ter ofertado café</t>
  </si>
  <si>
    <t>Rubiataba</t>
  </si>
  <si>
    <t>As informações foram muito bem desenvolvidas.</t>
  </si>
  <si>
    <t>O tempo foi pouco.</t>
  </si>
  <si>
    <t>Momento que foi explanado a respeito das prestações de contas</t>
  </si>
  <si>
    <t>No laboratório</t>
  </si>
  <si>
    <t>Didática e boa vontade em sanar as dúvidas</t>
  </si>
  <si>
    <t>Café e intervalo a cada duas horas</t>
  </si>
  <si>
    <t>Informações sobre o o Sistema SETE</t>
  </si>
  <si>
    <t>Lanchekkk</t>
  </si>
  <si>
    <t>As explicações</t>
  </si>
  <si>
    <t>Lanche, almoço</t>
  </si>
  <si>
    <t>Santa Tereza de Goiás</t>
  </si>
  <si>
    <t>Tudo</t>
  </si>
  <si>
    <t>Nada a dizer</t>
  </si>
  <si>
    <t>Parte do laboratório</t>
  </si>
  <si>
    <t>Aprendizado</t>
  </si>
  <si>
    <t>Bom</t>
  </si>
  <si>
    <t>Troca de experiência e sanar dúvidas</t>
  </si>
  <si>
    <t>Pausa ou intervalo para não ficar cansativo</t>
  </si>
  <si>
    <t>As informações</t>
  </si>
  <si>
    <t>Santa Rita do Novo Destino</t>
  </si>
  <si>
    <t>Assuntos importantes e bem esclarecidos</t>
  </si>
  <si>
    <t>Recepção e Acolhimento</t>
  </si>
  <si>
    <t>Telefone (XX)XXXXX-XXXX</t>
  </si>
  <si>
    <t xml:space="preserve">Sugestão de temas para futuras capacitações 
(Webinar, vídeos de Youtube, postagens de Instagram, etc.) </t>
  </si>
  <si>
    <t>Creozani Moreira Da Silva</t>
  </si>
  <si>
    <t>959.503.031-72</t>
  </si>
  <si>
    <t>creozanimoreira42@gmail.com</t>
  </si>
  <si>
    <t>(61)99662-8016</t>
  </si>
  <si>
    <t>Água Fria de Goiás</t>
  </si>
  <si>
    <t>muito bem explicado, orientação valiosa</t>
  </si>
  <si>
    <t>horário, computador</t>
  </si>
  <si>
    <t>postagens</t>
  </si>
  <si>
    <t>Wanderley Fernando Silva Macedo</t>
  </si>
  <si>
    <t>055.022.931-06</t>
  </si>
  <si>
    <t>wanderley-wsf@hotmail.com</t>
  </si>
  <si>
    <t>(61)99218-7061</t>
  </si>
  <si>
    <t>Cidade Ocidental</t>
  </si>
  <si>
    <t>Bom conteúdo e Explicação</t>
  </si>
  <si>
    <t>Nenhum</t>
  </si>
  <si>
    <t>Capacitação de Gestores de Transporte Escolar</t>
  </si>
  <si>
    <t>CARLA SILVERIO DA SILVA</t>
  </si>
  <si>
    <t>837.722.351-15</t>
  </si>
  <si>
    <t>carlasilverio.silva@gmail.com</t>
  </si>
  <si>
    <t>(61)98475-2438</t>
  </si>
  <si>
    <t>Santo Antônio do Descoberto</t>
  </si>
  <si>
    <t>orientadores, material didático</t>
  </si>
  <si>
    <t>não tem</t>
  </si>
  <si>
    <t>E-mail encaminhado pelo CECATE/CO, Oficio de convocação feito pelo FNDE, Grupos de WhatsApp</t>
  </si>
  <si>
    <t>Muito bem elaborado, orientadores muito bem preparados, de fácil entendimento e muito importante para nossa atuação.</t>
  </si>
  <si>
    <t>JULIANA SILVIA BRAZ</t>
  </si>
  <si>
    <t>007.503.831-51</t>
  </si>
  <si>
    <t>juianabraz10@gmail.com</t>
  </si>
  <si>
    <t>(61)99922-4481</t>
  </si>
  <si>
    <t>Luziânia</t>
  </si>
  <si>
    <t>prática</t>
  </si>
  <si>
    <t>mais detalhes</t>
  </si>
  <si>
    <t>webinar</t>
  </si>
  <si>
    <t>RAIMUNDO VIEIRA SOARES NETO</t>
  </si>
  <si>
    <t>002.897.261-90</t>
  </si>
  <si>
    <t>raimundooneeto@gmail.com</t>
  </si>
  <si>
    <t>(61)99427-9449</t>
  </si>
  <si>
    <t>Palestra no auditório bem produtiva e aula na sala de informática bem iterativa</t>
  </si>
  <si>
    <t>mais cursos presencial ou On Line</t>
  </si>
  <si>
    <t>Youtube</t>
  </si>
  <si>
    <t>Instagram</t>
  </si>
  <si>
    <t>MARCOS AURELHO DE FRANÇA VIANA</t>
  </si>
  <si>
    <t>635.523.101-34</t>
  </si>
  <si>
    <t>marcosaurelho982@gmail.com</t>
  </si>
  <si>
    <t>(61)99647-2610</t>
  </si>
  <si>
    <t>Cabeceiras</t>
  </si>
  <si>
    <t>A CLAREZA NAS EXPLICAÇÕES E A PACIÊNCIA</t>
  </si>
  <si>
    <t>TER MAIS FORMAÇÃO DESSAS E MAIS TEMPO</t>
  </si>
  <si>
    <t>YOUTUBE, WEBINAR</t>
  </si>
  <si>
    <t>FAZER MAIS FORMAÇÃO COMO ESSA</t>
  </si>
  <si>
    <t>ROZIMEIRE DE BARROS NOGUEIRA</t>
  </si>
  <si>
    <t>417.678.021-53</t>
  </si>
  <si>
    <t>rozimeirenogueira@gmail.com</t>
  </si>
  <si>
    <t>(61)99672-0726</t>
  </si>
  <si>
    <t>PRIMEIRO A APRESENTAÇÃO DO SISTEMA SETE. A CAPACITAÇÃO UNIU TEORIA E PRÁTICA</t>
  </si>
  <si>
    <t>PRA MIM NÃO PRECISA MELHORAR EM NADA</t>
  </si>
  <si>
    <t>REURSOS ; PRESTAÇÃO DE CONTAS</t>
  </si>
  <si>
    <t>ESSA CAPACITAÇÃO FOI UMA DAS MELHORES QUE PARTIVIPEI NESSE ANO DE 2025. tIREI MUITAS DUVIDAS, APRENDI MUITO.</t>
  </si>
  <si>
    <t>Rosana Mantovani Barreto</t>
  </si>
  <si>
    <t>381.256.261-00</t>
  </si>
  <si>
    <t>rosanambarreto@gmail.com</t>
  </si>
  <si>
    <t>(61)99831-0926</t>
  </si>
  <si>
    <t>Clareza e conhecimento do conteudo</t>
  </si>
  <si>
    <t>Tudo ok</t>
  </si>
  <si>
    <t>LUIZ ANTONIO ALVES BRANDAO</t>
  </si>
  <si>
    <t>009.719.041-11</t>
  </si>
  <si>
    <t>uizinhobrandao@gmail.com</t>
  </si>
  <si>
    <t>(61)99955-3065</t>
  </si>
  <si>
    <t>SIMPATIA E EDUCAÇÃO DOS PROFESSORES
FACILIDADE EM MANUZEAR O SISTEMA</t>
  </si>
  <si>
    <t>ESSA FORMAÇÃO PRECISARIA SER AO MENOS A CADA SEMESTRE, OU ATÉ MESMO SEMANAL ON-LINE.</t>
  </si>
  <si>
    <t>REUNIÃO EM VIDEO CONFERÊNCIA.</t>
  </si>
  <si>
    <t>SERIA DE FUNDAMENTAL IMPORTANCIA ESSA CAPACITAÇÃO SER DISPONIBILIZADAS AOS PROFISSIONAIS MOTORISTAS TAMBEM DE CADA MUNICIPIO.,</t>
  </si>
  <si>
    <t>ITHAMIRES ALVES DE OLIVEIRA</t>
  </si>
  <si>
    <t>034.688.963-44</t>
  </si>
  <si>
    <t>ithamiresalves8@gmail.com</t>
  </si>
  <si>
    <t>(61)99137-3101</t>
  </si>
  <si>
    <t>Águas Lindas de Goiás</t>
  </si>
  <si>
    <t>EXELETES PROFISSIONAIS</t>
  </si>
  <si>
    <t>PRA MIM ESTAO DE PARABENS</t>
  </si>
  <si>
    <t>VIDEOS AULAS, WEB</t>
  </si>
  <si>
    <t>EXELENTES</t>
  </si>
  <si>
    <t>MARCIA VIEIRA PORTELA</t>
  </si>
  <si>
    <t>844.253.931-04</t>
  </si>
  <si>
    <t>mportela26@hotmail.com</t>
  </si>
  <si>
    <t>(61)98525-8488</t>
  </si>
  <si>
    <t>clareza nas explicações</t>
  </si>
  <si>
    <t>foi bom</t>
  </si>
  <si>
    <t>presencial</t>
  </si>
  <si>
    <t>EDVALDO NUNES DE AMORIM</t>
  </si>
  <si>
    <t>516.212.151-72</t>
  </si>
  <si>
    <t>edvaldovaldinhonunesamorim@GMAIL.COM</t>
  </si>
  <si>
    <t>(61)99525-7272</t>
  </si>
  <si>
    <t>INTERACAO</t>
  </si>
  <si>
    <t>ALMOCO</t>
  </si>
  <si>
    <t>Nilton Nelson Pereira Da Silva</t>
  </si>
  <si>
    <t>294.982.871-04</t>
  </si>
  <si>
    <t>niltonfl@yahoo.com.br</t>
  </si>
  <si>
    <t>(61)98424-5304</t>
  </si>
  <si>
    <t>Cristalina</t>
  </si>
  <si>
    <t>Os professores muito bom.</t>
  </si>
  <si>
    <t>A Duração do curso deveria ser mais longo.</t>
  </si>
  <si>
    <t>Formação para motorista e monitores</t>
  </si>
  <si>
    <t>JERSON MACHADO</t>
  </si>
  <si>
    <t>476.476.391-53</t>
  </si>
  <si>
    <t>copaiba1969@gmail</t>
  </si>
  <si>
    <t>(61)99632-4995</t>
  </si>
  <si>
    <t>local e o ônibus elétrico</t>
  </si>
  <si>
    <t>formação de motorista e monitores</t>
  </si>
  <si>
    <t>videos de youtube</t>
  </si>
  <si>
    <t>Cícero Lopes Alves</t>
  </si>
  <si>
    <t>635.793.321-04</t>
  </si>
  <si>
    <t>bola.alves@yahoo.com.br</t>
  </si>
  <si>
    <t>(61)99330-3822</t>
  </si>
  <si>
    <t>Alexânia</t>
  </si>
  <si>
    <t>prática e acesso ao professores para tirar dúvidas</t>
  </si>
  <si>
    <t>no email de resposta da inscrição o não consta todos os detalhes do curso (horário início, término, etc). 
o georeferênciamento das rotas deve ser melhor explicado com a prática, pois surge muitas dúvidas e o sistema não está de acordo com os dados que preenchemos para localizar no mapa</t>
  </si>
  <si>
    <t>instagram, videos</t>
  </si>
  <si>
    <t>Curso muito bom, professores dedicados, parabéns.</t>
  </si>
  <si>
    <t>Denilson Marciano Ferreira</t>
  </si>
  <si>
    <t>016.857.731-33</t>
  </si>
  <si>
    <t>cacsformosa@gmail.com</t>
  </si>
  <si>
    <t>(61)99822-8859</t>
  </si>
  <si>
    <t>Formosa</t>
  </si>
  <si>
    <t>Organização</t>
  </si>
  <si>
    <t>Não tenho</t>
  </si>
  <si>
    <t>Anayane Pereira de Sousa</t>
  </si>
  <si>
    <t>705.495.231-62</t>
  </si>
  <si>
    <t>anayanepereiradesousa717@gmail.com</t>
  </si>
  <si>
    <t>(62)99302-6651</t>
  </si>
  <si>
    <t>transparência e qualificação</t>
  </si>
  <si>
    <t>não tem comentário</t>
  </si>
  <si>
    <t>seria ideal inserir no sete uma forma de emitir a carteirinha do estudante após concluir o cadastro do mesmo.</t>
  </si>
  <si>
    <t>Edilaine Nunes da Silva</t>
  </si>
  <si>
    <t>020.148.371-80</t>
  </si>
  <si>
    <t>edilaine25ns@gmail.com</t>
  </si>
  <si>
    <t>(62)99606-5940</t>
  </si>
  <si>
    <t>São João d'Aliança</t>
  </si>
  <si>
    <t>Riqueza de informações. Formadores atenciosos</t>
  </si>
  <si>
    <t>Menor tempo de formação.pra quem mora longe é complicado ficar tanto tempo</t>
  </si>
  <si>
    <t>Prestações de contas em geral</t>
  </si>
  <si>
    <t>Ok</t>
  </si>
  <si>
    <t>Franciene de Alcântara Nunes Sousa</t>
  </si>
  <si>
    <t>803.527.821-53</t>
  </si>
  <si>
    <t>franalcantara02@hotmail.com</t>
  </si>
  <si>
    <t>(61)98574-5969</t>
  </si>
  <si>
    <t>Prestação de Contas</t>
  </si>
  <si>
    <t>Para mim tudo ótimo!</t>
  </si>
  <si>
    <t>Sigpc</t>
  </si>
  <si>
    <t>Silvania Souza Marins Macedo</t>
  </si>
  <si>
    <t>025.266.481-73</t>
  </si>
  <si>
    <t>coordsilvania@gmail.com</t>
  </si>
  <si>
    <t>(61)99854-1683</t>
  </si>
  <si>
    <t>Esclarecimento da prestação de contas, e o que pode gastar com o recurso PNATE</t>
  </si>
  <si>
    <t>Acesso real as plataformas</t>
  </si>
  <si>
    <t>Foi tudo maravilhoso, com muita informação e aprendizado significativo.</t>
  </si>
  <si>
    <t>Wania Aguiar</t>
  </si>
  <si>
    <t>957.507.891-87</t>
  </si>
  <si>
    <t>aguiarwania@gmail.com</t>
  </si>
  <si>
    <t>(61)99831-3553</t>
  </si>
  <si>
    <t>Segurança e propriedade em falar</t>
  </si>
  <si>
    <t>Maior tempo/Menos pressa</t>
  </si>
  <si>
    <t>Parabéns à toda equipe!</t>
  </si>
  <si>
    <t>Maria Ivanilda Gomes Soares</t>
  </si>
  <si>
    <t>647.349.431-68</t>
  </si>
  <si>
    <t>maria.isoares@outlook.com</t>
  </si>
  <si>
    <t>(61)99616-2161</t>
  </si>
  <si>
    <t>Mimoso de Goiás</t>
  </si>
  <si>
    <t>Receptividade e domínio do conteúdo apresentado.</t>
  </si>
  <si>
    <t>Mostrar na prática a parte de sistema.</t>
  </si>
  <si>
    <t>jose silvio Rosa dos santos</t>
  </si>
  <si>
    <t>968.996.381-34</t>
  </si>
  <si>
    <t>Educacaosaojoaodalianca@gmail.com</t>
  </si>
  <si>
    <t>(62)99613-4926</t>
  </si>
  <si>
    <t>aprendi bastante</t>
  </si>
  <si>
    <t>tudo perfeito</t>
  </si>
  <si>
    <t>pessoas bem preparada pra nos atender</t>
  </si>
  <si>
    <t>Valdir José Soares</t>
  </si>
  <si>
    <t>577.343.301-00</t>
  </si>
  <si>
    <t>Valdir.jsoares@outlook.com</t>
  </si>
  <si>
    <t>(61)99148-6115</t>
  </si>
  <si>
    <t>Domínio do conteúdo</t>
  </si>
  <si>
    <t>Parte do sistema pratica - passo-a-passo</t>
  </si>
  <si>
    <t>RICARDO PEREIRA DE SOUSA</t>
  </si>
  <si>
    <t>784.099.261-72</t>
  </si>
  <si>
    <t>ricardorickdesousa@hotmail.com</t>
  </si>
  <si>
    <t>(61)99616-1556</t>
  </si>
  <si>
    <t>A EQUIPE E A AS PALESTRAS</t>
  </si>
  <si>
    <t>DIVULGAÇÃO DO EVENTO, DISPONIBILIZAÇÃO DE UMA CARTEIRINHA PARA OS ESTUDANTES NO FINAL DO CADASTRO.</t>
  </si>
  <si>
    <t>Brasília</t>
  </si>
  <si>
    <t>Alto Paraíso de Goiás</t>
  </si>
  <si>
    <t>Campo Alegre de Goiás</t>
  </si>
  <si>
    <t>Catalão</t>
  </si>
  <si>
    <t>Cocalzinho de Goiás</t>
  </si>
  <si>
    <t>Davinópolis</t>
  </si>
  <si>
    <t>Novo Gama</t>
  </si>
  <si>
    <t>Ouvidor</t>
  </si>
  <si>
    <t>Padre Bernardo</t>
  </si>
  <si>
    <t>Planaltina</t>
  </si>
  <si>
    <t>Três Ranchos</t>
  </si>
  <si>
    <t>Valparaíso de Goiás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</si>
</sst>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7" x14ac:knownFonts="1">
    <font>
      <sz val="12"/>
      <color theme="1"/>
      <name val="Gill Sans MT"/>
      <family val="2"/>
    </font>
    <font>
      <sz val="12"/>
      <color theme="1"/>
      <name val="Gill Sans MT"/>
      <family val="2"/>
    </font>
    <font>
      <sz val="10"/>
      <color theme="1"/>
      <name val="Times New Roman"/>
      <family val="1"/>
    </font>
    <font>
      <sz val="10"/>
      <color rgb="FFFFFFFF"/>
      <name val="Roboto"/>
    </font>
    <font>
      <b/>
      <sz val="10"/>
      <color rgb="FFFFFFFF"/>
      <name val="Roboto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sz val="10"/>
      <color theme="1"/>
      <name val="Arial"/>
      <family val="2"/>
    </font>
    <font>
      <sz val="10"/>
      <color rgb="FF434343"/>
      <name val="Roboto"/>
    </font>
    <font>
      <sz val="5"/>
      <color theme="1" tint="0.499984740745262"/>
      <name val="Arial"/>
      <family val="2"/>
    </font>
    <font>
      <b/>
      <sz val="5"/>
      <color theme="1" tint="0.499984740745262"/>
      <name val="Arial"/>
      <family val="2"/>
    </font>
    <font>
      <sz val="11"/>
      <color theme="0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9" tint="-0.499984740745262"/>
      <name val="Arial"/>
      <family val="2"/>
    </font>
    <font>
      <sz val="10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B3F8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42F65"/>
      </left>
      <right style="medium">
        <color rgb="FF5B3F86"/>
      </right>
      <top style="medium">
        <color rgb="FF442F65"/>
      </top>
      <bottom style="medium">
        <color rgb="FF442F65"/>
      </bottom>
      <diagonal/>
    </border>
    <border>
      <left style="medium">
        <color rgb="FFCCCCCC"/>
      </left>
      <right style="medium">
        <color rgb="FF5B3F86"/>
      </right>
      <top style="medium">
        <color rgb="FF442F65"/>
      </top>
      <bottom style="medium">
        <color rgb="FF442F65"/>
      </bottom>
      <diagonal/>
    </border>
    <border>
      <left style="medium">
        <color rgb="FFCCCCCC"/>
      </left>
      <right style="medium">
        <color rgb="FF442F65"/>
      </right>
      <top style="medium">
        <color rgb="FF442F65"/>
      </top>
      <bottom style="medium">
        <color rgb="FF442F65"/>
      </bottom>
      <diagonal/>
    </border>
    <border>
      <left style="medium">
        <color rgb="FFCCCCCC"/>
      </left>
      <right style="medium">
        <color rgb="FFCCCCCC"/>
      </right>
      <top style="medium">
        <color rgb="FFE8EAED"/>
      </top>
      <bottom style="medium">
        <color rgb="FFCCCCCC"/>
      </bottom>
      <diagonal/>
    </border>
    <border>
      <left style="medium">
        <color rgb="FF442F65"/>
      </left>
      <right style="medium">
        <color rgb="FFFFFFFF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FFFFFF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442F65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442F65"/>
      </left>
      <right style="medium">
        <color rgb="FFF8F9FA"/>
      </right>
      <top style="medium">
        <color rgb="FFCCCCCC"/>
      </top>
      <bottom style="medium">
        <color rgb="FFF8F9FA"/>
      </bottom>
      <diagonal/>
    </border>
    <border>
      <left style="medium">
        <color rgb="FFCCCCCC"/>
      </left>
      <right style="medium">
        <color rgb="FFF8F9FA"/>
      </right>
      <top style="medium">
        <color rgb="FFCCCCCC"/>
      </top>
      <bottom style="medium">
        <color rgb="FFF8F9FA"/>
      </bottom>
      <diagonal/>
    </border>
    <border>
      <left style="medium">
        <color rgb="FF442F65"/>
      </left>
      <right style="medium">
        <color rgb="FFF8F9FA"/>
      </right>
      <top style="medium">
        <color rgb="FFCCCCCC"/>
      </top>
      <bottom style="medium">
        <color rgb="FF442F65"/>
      </bottom>
      <diagonal/>
    </border>
    <border>
      <left style="medium">
        <color rgb="FFCCCCCC"/>
      </left>
      <right style="medium">
        <color rgb="FFF8F9FA"/>
      </right>
      <top style="medium">
        <color rgb="FFCCCCCC"/>
      </top>
      <bottom style="medium">
        <color rgb="FF442F65"/>
      </bottom>
      <diagonal/>
    </border>
    <border>
      <left style="medium">
        <color rgb="FFCCCCCC"/>
      </left>
      <right style="medium">
        <color rgb="FF442F65"/>
      </right>
      <top style="medium">
        <color rgb="FFCCCCCC"/>
      </top>
      <bottom style="medium">
        <color rgb="FF442F65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/>
      <top style="medium">
        <color rgb="FFCCCCCC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8" fillId="5" borderId="8" xfId="0" applyFont="1" applyFill="1" applyBorder="1" applyAlignment="1">
      <alignment vertical="center" wrapText="1"/>
    </xf>
    <xf numFmtId="0" fontId="8" fillId="5" borderId="8" xfId="0" applyFont="1" applyFill="1" applyBorder="1" applyAlignment="1">
      <alignment horizontal="right" vertical="center" wrapText="1"/>
    </xf>
    <xf numFmtId="0" fontId="7" fillId="5" borderId="9" xfId="0" applyFont="1" applyFill="1" applyBorder="1" applyAlignment="1">
      <alignment vertical="center" wrapText="1"/>
    </xf>
    <xf numFmtId="0" fontId="7" fillId="0" borderId="10" xfId="0" applyFont="1" applyBorder="1" applyAlignment="1">
      <alignment wrapText="1"/>
    </xf>
    <xf numFmtId="0" fontId="8" fillId="6" borderId="12" xfId="0" applyFont="1" applyFill="1" applyBorder="1" applyAlignment="1">
      <alignment vertical="center" wrapText="1"/>
    </xf>
    <xf numFmtId="0" fontId="8" fillId="6" borderId="12" xfId="0" applyFont="1" applyFill="1" applyBorder="1" applyAlignment="1">
      <alignment horizontal="right" vertical="center" wrapText="1"/>
    </xf>
    <xf numFmtId="0" fontId="7" fillId="6" borderId="12" xfId="0" applyFont="1" applyFill="1" applyBorder="1" applyAlignment="1">
      <alignment vertical="center" wrapText="1"/>
    </xf>
    <xf numFmtId="0" fontId="8" fillId="6" borderId="9" xfId="0" applyFont="1" applyFill="1" applyBorder="1" applyAlignment="1">
      <alignment vertical="center" wrapText="1"/>
    </xf>
    <xf numFmtId="0" fontId="7" fillId="6" borderId="9" xfId="0" applyFont="1" applyFill="1" applyBorder="1" applyAlignment="1">
      <alignment vertical="center" wrapText="1"/>
    </xf>
    <xf numFmtId="0" fontId="8" fillId="5" borderId="9" xfId="0" applyFont="1" applyFill="1" applyBorder="1" applyAlignment="1">
      <alignment vertical="center" wrapText="1"/>
    </xf>
    <xf numFmtId="0" fontId="4" fillId="3" borderId="4" xfId="0" applyFont="1" applyFill="1" applyBorder="1" applyAlignment="1">
      <alignment vertical="center"/>
    </xf>
    <xf numFmtId="0" fontId="3" fillId="3" borderId="4" xfId="0" applyFont="1" applyFill="1" applyBorder="1" applyAlignment="1">
      <alignment vertical="center"/>
    </xf>
    <xf numFmtId="0" fontId="3" fillId="3" borderId="5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textRotation="90" wrapText="1"/>
    </xf>
    <xf numFmtId="0" fontId="0" fillId="2" borderId="2" xfId="0" applyFill="1" applyBorder="1"/>
    <xf numFmtId="0" fontId="0" fillId="2" borderId="2" xfId="0" applyFill="1" applyBorder="1" applyAlignment="1">
      <alignment horizontal="center" vertical="center"/>
    </xf>
    <xf numFmtId="164" fontId="0" fillId="2" borderId="2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 indent="1"/>
    </xf>
    <xf numFmtId="0" fontId="7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14" fontId="14" fillId="0" borderId="2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5" fillId="10" borderId="16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14" fillId="9" borderId="17" xfId="0" applyFont="1" applyFill="1" applyBorder="1" applyAlignment="1">
      <alignment horizontal="center" vertical="center"/>
    </xf>
    <xf numFmtId="0" fontId="15" fillId="10" borderId="1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1"/>
    </xf>
    <xf numFmtId="9" fontId="7" fillId="0" borderId="0" xfId="1" applyFont="1" applyAlignment="1">
      <alignment horizontal="center" vertical="center"/>
    </xf>
    <xf numFmtId="164" fontId="7" fillId="0" borderId="0" xfId="1" applyNumberFormat="1" applyFont="1" applyAlignment="1">
      <alignment horizontal="center" vertical="center"/>
    </xf>
    <xf numFmtId="0" fontId="7" fillId="2" borderId="0" xfId="0" applyFont="1" applyFill="1"/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center"/>
    </xf>
    <xf numFmtId="0" fontId="16" fillId="11" borderId="2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7" fillId="0" borderId="6" xfId="0" applyFont="1" applyBorder="1"/>
    <xf numFmtId="0" fontId="3" fillId="3" borderId="3" xfId="0" applyFont="1" applyFill="1" applyBorder="1" applyAlignment="1">
      <alignment horizontal="center" vertical="center"/>
    </xf>
    <xf numFmtId="22" fontId="8" fillId="6" borderId="11" xfId="0" applyNumberFormat="1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5" fillId="3" borderId="4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8" fillId="5" borderId="18" xfId="0" applyFont="1" applyFill="1" applyBorder="1" applyAlignment="1">
      <alignment horizontal="right" vertical="center" wrapText="1"/>
    </xf>
    <xf numFmtId="0" fontId="8" fillId="6" borderId="18" xfId="0" applyFont="1" applyFill="1" applyBorder="1" applyAlignment="1">
      <alignment horizontal="right" vertical="center" wrapText="1"/>
    </xf>
    <xf numFmtId="0" fontId="8" fillId="5" borderId="0" xfId="0" applyFont="1" applyFill="1" applyAlignment="1">
      <alignment horizontal="right" vertical="center" wrapText="1"/>
    </xf>
    <xf numFmtId="0" fontId="7" fillId="0" borderId="0" xfId="0" applyFont="1" applyAlignment="1">
      <alignment wrapText="1"/>
    </xf>
    <xf numFmtId="22" fontId="8" fillId="12" borderId="7" xfId="0" applyNumberFormat="1" applyFont="1" applyFill="1" applyBorder="1" applyAlignment="1">
      <alignment horizontal="center" vertical="center" wrapText="1"/>
    </xf>
    <xf numFmtId="0" fontId="8" fillId="12" borderId="8" xfId="0" applyFont="1" applyFill="1" applyBorder="1" applyAlignment="1">
      <alignment vertical="center" wrapText="1"/>
    </xf>
    <xf numFmtId="0" fontId="8" fillId="12" borderId="8" xfId="0" applyFont="1" applyFill="1" applyBorder="1" applyAlignment="1">
      <alignment horizontal="center" vertical="center" wrapText="1"/>
    </xf>
    <xf numFmtId="0" fontId="8" fillId="12" borderId="8" xfId="0" applyFont="1" applyFill="1" applyBorder="1" applyAlignment="1">
      <alignment horizontal="right" vertical="center" wrapText="1"/>
    </xf>
    <xf numFmtId="0" fontId="7" fillId="12" borderId="8" xfId="0" applyFont="1" applyFill="1" applyBorder="1" applyAlignment="1">
      <alignment vertical="center" wrapText="1"/>
    </xf>
    <xf numFmtId="0" fontId="7" fillId="12" borderId="9" xfId="0" applyFont="1" applyFill="1" applyBorder="1" applyAlignment="1">
      <alignment vertical="center" wrapText="1"/>
    </xf>
    <xf numFmtId="0" fontId="7" fillId="12" borderId="10" xfId="0" applyFont="1" applyFill="1" applyBorder="1" applyAlignment="1">
      <alignment wrapText="1"/>
    </xf>
    <xf numFmtId="22" fontId="8" fillId="12" borderId="11" xfId="0" applyNumberFormat="1" applyFont="1" applyFill="1" applyBorder="1" applyAlignment="1">
      <alignment horizontal="center" vertical="center" wrapText="1"/>
    </xf>
    <xf numFmtId="0" fontId="8" fillId="12" borderId="12" xfId="0" applyFont="1" applyFill="1" applyBorder="1" applyAlignment="1">
      <alignment vertical="center" wrapText="1"/>
    </xf>
    <xf numFmtId="0" fontId="8" fillId="12" borderId="12" xfId="0" applyFont="1" applyFill="1" applyBorder="1" applyAlignment="1">
      <alignment horizontal="center" vertical="center" wrapText="1"/>
    </xf>
    <xf numFmtId="0" fontId="8" fillId="12" borderId="12" xfId="0" applyFont="1" applyFill="1" applyBorder="1" applyAlignment="1">
      <alignment horizontal="right" vertical="center" wrapText="1"/>
    </xf>
    <xf numFmtId="0" fontId="7" fillId="12" borderId="12" xfId="0" applyFont="1" applyFill="1" applyBorder="1" applyAlignment="1">
      <alignment vertical="center" wrapText="1"/>
    </xf>
    <xf numFmtId="0" fontId="8" fillId="12" borderId="9" xfId="0" applyFont="1" applyFill="1" applyBorder="1" applyAlignment="1">
      <alignment vertical="center" wrapText="1"/>
    </xf>
    <xf numFmtId="0" fontId="14" fillId="12" borderId="2" xfId="0" applyFont="1" applyFill="1" applyBorder="1" applyAlignment="1">
      <alignment horizontal="center" vertical="center"/>
    </xf>
    <xf numFmtId="0" fontId="14" fillId="12" borderId="2" xfId="0" applyFont="1" applyFill="1" applyBorder="1" applyAlignment="1">
      <alignment horizontal="left" vertical="center" indent="1"/>
    </xf>
    <xf numFmtId="22" fontId="8" fillId="5" borderId="13" xfId="0" applyNumberFormat="1" applyFont="1" applyFill="1" applyBorder="1" applyAlignment="1">
      <alignment horizontal="center" vertical="center" wrapText="1"/>
    </xf>
    <xf numFmtId="22" fontId="8" fillId="6" borderId="7" xfId="0" applyNumberFormat="1" applyFont="1" applyFill="1" applyBorder="1" applyAlignment="1">
      <alignment horizontal="center" vertical="center" wrapText="1"/>
    </xf>
    <xf numFmtId="22" fontId="8" fillId="5" borderId="11" xfId="0" applyNumberFormat="1" applyFont="1" applyFill="1" applyBorder="1" applyAlignment="1">
      <alignment horizontal="center" vertical="center" wrapText="1"/>
    </xf>
    <xf numFmtId="0" fontId="8" fillId="5" borderId="14" xfId="0" applyFont="1" applyFill="1" applyBorder="1" applyAlignment="1">
      <alignment vertical="center" wrapText="1"/>
    </xf>
    <xf numFmtId="0" fontId="8" fillId="6" borderId="8" xfId="0" applyFont="1" applyFill="1" applyBorder="1" applyAlignment="1">
      <alignment vertical="center" wrapText="1"/>
    </xf>
    <xf numFmtId="0" fontId="8" fillId="5" borderId="12" xfId="0" applyFont="1" applyFill="1" applyBorder="1" applyAlignment="1">
      <alignment vertical="center" wrapText="1"/>
    </xf>
    <xf numFmtId="0" fontId="8" fillId="5" borderId="14" xfId="0" applyFont="1" applyFill="1" applyBorder="1" applyAlignment="1">
      <alignment horizontal="center" vertical="center" wrapText="1"/>
    </xf>
    <xf numFmtId="0" fontId="8" fillId="6" borderId="8" xfId="0" applyFont="1" applyFill="1" applyBorder="1" applyAlignment="1">
      <alignment horizontal="center" vertical="center" wrapText="1"/>
    </xf>
    <xf numFmtId="0" fontId="8" fillId="5" borderId="12" xfId="0" applyFont="1" applyFill="1" applyBorder="1" applyAlignment="1">
      <alignment horizontal="center" vertical="center" wrapText="1"/>
    </xf>
    <xf numFmtId="0" fontId="8" fillId="5" borderId="14" xfId="0" applyFont="1" applyFill="1" applyBorder="1" applyAlignment="1">
      <alignment horizontal="right" vertical="center" wrapText="1"/>
    </xf>
    <xf numFmtId="0" fontId="8" fillId="6" borderId="8" xfId="0" applyFont="1" applyFill="1" applyBorder="1" applyAlignment="1">
      <alignment horizontal="right" vertical="center" wrapText="1"/>
    </xf>
    <xf numFmtId="0" fontId="8" fillId="5" borderId="12" xfId="0" applyFont="1" applyFill="1" applyBorder="1" applyAlignment="1">
      <alignment horizontal="right" vertical="center" wrapText="1"/>
    </xf>
    <xf numFmtId="0" fontId="7" fillId="5" borderId="14" xfId="0" applyFont="1" applyFill="1" applyBorder="1" applyAlignment="1">
      <alignment vertical="center" wrapText="1"/>
    </xf>
    <xf numFmtId="0" fontId="7" fillId="6" borderId="8" xfId="0" applyFont="1" applyFill="1" applyBorder="1" applyAlignment="1">
      <alignment vertical="center" wrapText="1"/>
    </xf>
    <xf numFmtId="0" fontId="7" fillId="5" borderId="12" xfId="0" applyFont="1" applyFill="1" applyBorder="1" applyAlignment="1">
      <alignment vertical="center" wrapText="1"/>
    </xf>
    <xf numFmtId="0" fontId="7" fillId="5" borderId="15" xfId="0" applyFont="1" applyFill="1" applyBorder="1" applyAlignment="1">
      <alignment vertical="center" wrapText="1"/>
    </xf>
    <xf numFmtId="0" fontId="7" fillId="0" borderId="12" xfId="0" applyFont="1" applyBorder="1" applyAlignment="1">
      <alignment wrapText="1"/>
    </xf>
    <xf numFmtId="0" fontId="7" fillId="0" borderId="8" xfId="0" applyFont="1" applyBorder="1" applyAlignment="1">
      <alignment wrapText="1"/>
    </xf>
    <xf numFmtId="0" fontId="8" fillId="5" borderId="10" xfId="0" applyFont="1" applyFill="1" applyBorder="1" applyAlignment="1">
      <alignment horizontal="right" vertical="center" wrapText="1"/>
    </xf>
    <xf numFmtId="0" fontId="8" fillId="6" borderId="10" xfId="0" applyFont="1" applyFill="1" applyBorder="1" applyAlignment="1">
      <alignment horizontal="right" vertical="center" wrapText="1"/>
    </xf>
    <xf numFmtId="0" fontId="7" fillId="0" borderId="18" xfId="0" applyFont="1" applyBorder="1" applyAlignment="1">
      <alignment wrapText="1"/>
    </xf>
    <xf numFmtId="0" fontId="8" fillId="6" borderId="0" xfId="0" applyFont="1" applyFill="1" applyAlignment="1">
      <alignment horizontal="right" vertical="center" wrapText="1"/>
    </xf>
    <xf numFmtId="0" fontId="0" fillId="0" borderId="10" xfId="0" applyBorder="1"/>
    <xf numFmtId="0" fontId="7" fillId="2" borderId="0" xfId="0" applyFont="1" applyFill="1" applyAlignment="1">
      <alignment horizontal="right" vertical="center"/>
    </xf>
    <xf numFmtId="0" fontId="12" fillId="4" borderId="0" xfId="0" applyFont="1" applyFill="1" applyAlignment="1">
      <alignment horizontal="center" vertical="center"/>
    </xf>
    <xf numFmtId="0" fontId="7" fillId="0" borderId="2" xfId="0" applyFont="1" applyBorder="1" applyAlignment="1">
      <alignment horizontal="right" vertical="center"/>
    </xf>
    <xf numFmtId="0" fontId="11" fillId="7" borderId="0" xfId="0" applyFont="1" applyFill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vertical="center" wrapText="1"/>
    </xf>
    <xf numFmtId="0" fontId="8" fillId="6" borderId="0" xfId="0" applyFont="1" applyFill="1" applyBorder="1" applyAlignment="1">
      <alignment horizontal="right" vertical="center" wrapText="1"/>
    </xf>
    <xf numFmtId="0" fontId="7" fillId="0" borderId="0" xfId="0" applyFont="1" applyBorder="1" applyAlignment="1">
      <alignment wrapText="1"/>
    </xf>
    <xf numFmtId="0" fontId="14" fillId="13" borderId="2" xfId="0" applyFont="1" applyFill="1" applyBorder="1" applyAlignment="1">
      <alignment horizontal="center" vertical="center"/>
    </xf>
    <xf numFmtId="0" fontId="14" fillId="13" borderId="2" xfId="0" applyFont="1" applyFill="1" applyBorder="1" applyAlignment="1">
      <alignment horizontal="left" vertical="center" indent="1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FFCD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Todos!$N$5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E-4510-8F42-35154F25B434}"/>
            </c:ext>
          </c:extLst>
        </c:ser>
        <c:ser>
          <c:idx val="1"/>
          <c:order val="1"/>
          <c:tx>
            <c:strRef>
              <c:f>Todos!$O$5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Todos!$O$6:$O$12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E-4510-8F42-35154F25B434}"/>
            </c:ext>
          </c:extLst>
        </c:ser>
        <c:ser>
          <c:idx val="2"/>
          <c:order val="2"/>
          <c:tx>
            <c:strRef>
              <c:f>Todos!$P$5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Todos!$P$6:$P$12</c:f>
              <c:numCache>
                <c:formatCode>0.0%</c:formatCode>
                <c:ptCount val="7"/>
                <c:pt idx="0">
                  <c:v>0</c:v>
                </c:pt>
                <c:pt idx="1">
                  <c:v>0.08</c:v>
                </c:pt>
                <c:pt idx="2">
                  <c:v>0.04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0E-4510-8F42-35154F25B434}"/>
            </c:ext>
          </c:extLst>
        </c:ser>
        <c:ser>
          <c:idx val="3"/>
          <c:order val="3"/>
          <c:tx>
            <c:strRef>
              <c:f>Todos!$Q$5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Todos!$Q$6:$Q$12</c:f>
              <c:numCache>
                <c:formatCode>0.0%</c:formatCode>
                <c:ptCount val="7"/>
                <c:pt idx="0">
                  <c:v>0.08</c:v>
                </c:pt>
                <c:pt idx="1">
                  <c:v>0.24</c:v>
                </c:pt>
                <c:pt idx="2">
                  <c:v>0.2</c:v>
                </c:pt>
                <c:pt idx="3">
                  <c:v>0.28000000000000003</c:v>
                </c:pt>
                <c:pt idx="4">
                  <c:v>0.08</c:v>
                </c:pt>
                <c:pt idx="5">
                  <c:v>0.24</c:v>
                </c:pt>
                <c:pt idx="6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0E-4510-8F42-35154F25B434}"/>
            </c:ext>
          </c:extLst>
        </c:ser>
        <c:ser>
          <c:idx val="4"/>
          <c:order val="4"/>
          <c:tx>
            <c:strRef>
              <c:f>Todos!$R$5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Todos!$M$6:$M$12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Todos!$R$6:$R$12</c:f>
              <c:numCache>
                <c:formatCode>0.0%</c:formatCode>
                <c:ptCount val="7"/>
                <c:pt idx="0">
                  <c:v>0.92</c:v>
                </c:pt>
                <c:pt idx="1">
                  <c:v>0.68</c:v>
                </c:pt>
                <c:pt idx="2">
                  <c:v>0.76</c:v>
                </c:pt>
                <c:pt idx="3">
                  <c:v>0.72</c:v>
                </c:pt>
                <c:pt idx="4">
                  <c:v>0.92</c:v>
                </c:pt>
                <c:pt idx="5">
                  <c:v>0.76</c:v>
                </c:pt>
                <c:pt idx="6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0E-4510-8F42-35154F25B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CACS!$N$5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01-4361-B35C-2076A2B285F1}"/>
            </c:ext>
          </c:extLst>
        </c:ser>
        <c:ser>
          <c:idx val="1"/>
          <c:order val="1"/>
          <c:tx>
            <c:strRef>
              <c:f>CACS!$O$5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CACS!$O$6:$O$12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01-4361-B35C-2076A2B285F1}"/>
            </c:ext>
          </c:extLst>
        </c:ser>
        <c:ser>
          <c:idx val="2"/>
          <c:order val="2"/>
          <c:tx>
            <c:strRef>
              <c:f>CACS!$P$5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CACS!$P$6:$P$12</c:f>
              <c:numCache>
                <c:formatCode>0.0%</c:formatCode>
                <c:ptCount val="7"/>
                <c:pt idx="0">
                  <c:v>0</c:v>
                </c:pt>
                <c:pt idx="1">
                  <c:v>0.2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01-4361-B35C-2076A2B285F1}"/>
            </c:ext>
          </c:extLst>
        </c:ser>
        <c:ser>
          <c:idx val="3"/>
          <c:order val="3"/>
          <c:tx>
            <c:strRef>
              <c:f>CACS!$Q$5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CACS!$Q$6:$Q$12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01-4361-B35C-2076A2B285F1}"/>
            </c:ext>
          </c:extLst>
        </c:ser>
        <c:ser>
          <c:idx val="4"/>
          <c:order val="4"/>
          <c:tx>
            <c:strRef>
              <c:f>CACS!$R$5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CACS!$M$6:$M$12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CACS!$R$6:$R$12</c:f>
              <c:numCache>
                <c:formatCode>0.0%</c:formatCode>
                <c:ptCount val="7"/>
                <c:pt idx="0">
                  <c:v>1</c:v>
                </c:pt>
                <c:pt idx="1">
                  <c:v>0.8</c:v>
                </c:pt>
                <c:pt idx="2">
                  <c:v>1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01-4361-B35C-2076A2B28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GESTORES!$N$5</c:f>
              <c:strCache>
                <c:ptCount val="1"/>
                <c:pt idx="0">
                  <c:v>1 - Ruim</c:v>
                </c:pt>
              </c:strCache>
            </c:strRef>
          </c:tx>
          <c:spPr>
            <a:solidFill>
              <a:srgbClr val="FF0000"/>
            </a:solidFill>
            <a:ln w="19050">
              <a:noFill/>
            </a:ln>
            <a:effectLst/>
          </c:spPr>
          <c:invertIfNegative val="0"/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GESTORES!$N$6:$N$12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6-4242-BC4D-4640E2418CAA}"/>
            </c:ext>
          </c:extLst>
        </c:ser>
        <c:ser>
          <c:idx val="1"/>
          <c:order val="1"/>
          <c:tx>
            <c:strRef>
              <c:f>GESTORES!$O$5</c:f>
              <c:strCache>
                <c:ptCount val="1"/>
                <c:pt idx="0">
                  <c:v>2 -  Regular</c:v>
                </c:pt>
              </c:strCache>
            </c:strRef>
          </c:tx>
          <c:spPr>
            <a:solidFill>
              <a:srgbClr val="FFC000"/>
            </a:solidFill>
            <a:ln w="19050">
              <a:noFill/>
            </a:ln>
            <a:effectLst/>
          </c:spPr>
          <c:invertIfNegative val="0"/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GESTORES!$O$6:$O$12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16-4242-BC4D-4640E2418CAA}"/>
            </c:ext>
          </c:extLst>
        </c:ser>
        <c:ser>
          <c:idx val="2"/>
          <c:order val="2"/>
          <c:tx>
            <c:strRef>
              <c:f>GESTORES!$P$5</c:f>
              <c:strCache>
                <c:ptCount val="1"/>
                <c:pt idx="0">
                  <c:v>3 -  Neutro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GESTORES!$P$6:$P$12</c:f>
              <c:numCache>
                <c:formatCode>0.0%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16-4242-BC4D-4640E2418CAA}"/>
            </c:ext>
          </c:extLst>
        </c:ser>
        <c:ser>
          <c:idx val="3"/>
          <c:order val="3"/>
          <c:tx>
            <c:strRef>
              <c:f>GESTORES!$Q$5</c:f>
              <c:strCache>
                <c:ptCount val="1"/>
                <c:pt idx="0">
                  <c:v>4 -  Muito Bom</c:v>
                </c:pt>
              </c:strCache>
            </c:strRef>
          </c:tx>
          <c:spPr>
            <a:solidFill>
              <a:srgbClr val="FFFF0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GESTORES!$Q$6:$Q$12</c:f>
              <c:numCache>
                <c:formatCode>0.0%</c:formatCode>
                <c:ptCount val="7"/>
                <c:pt idx="0">
                  <c:v>0.1</c:v>
                </c:pt>
                <c:pt idx="1">
                  <c:v>0.3</c:v>
                </c:pt>
                <c:pt idx="2">
                  <c:v>0.25</c:v>
                </c:pt>
                <c:pt idx="3">
                  <c:v>0.3</c:v>
                </c:pt>
                <c:pt idx="4">
                  <c:v>0.05</c:v>
                </c:pt>
                <c:pt idx="5">
                  <c:v>0.25</c:v>
                </c:pt>
                <c:pt idx="6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16-4242-BC4D-4640E2418CAA}"/>
            </c:ext>
          </c:extLst>
        </c:ser>
        <c:ser>
          <c:idx val="4"/>
          <c:order val="4"/>
          <c:tx>
            <c:strRef>
              <c:f>GESTORES!$R$5</c:f>
              <c:strCache>
                <c:ptCount val="1"/>
                <c:pt idx="0">
                  <c:v>5 - Excelente</c:v>
                </c:pt>
              </c:strCache>
            </c:strRef>
          </c:tx>
          <c:spPr>
            <a:solidFill>
              <a:srgbClr val="00B050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GESTORES!$M$6:$M$12</c:f>
              <c:strCache>
                <c:ptCount val="7"/>
                <c:pt idx="0">
                  <c:v>Inscrição </c:v>
                </c:pt>
                <c:pt idx="1">
                  <c:v>Divulgação </c:v>
                </c:pt>
                <c:pt idx="2">
                  <c:v>Data da Formação </c:v>
                </c:pt>
                <c:pt idx="3">
                  <c:v>Horário da Formação </c:v>
                </c:pt>
                <c:pt idx="4">
                  <c:v>Local da Formação </c:v>
                </c:pt>
                <c:pt idx="5">
                  <c:v>Duração da Formação </c:v>
                </c:pt>
                <c:pt idx="6">
                  <c:v>Como você avalia a Formação </c:v>
                </c:pt>
              </c:strCache>
            </c:strRef>
          </c:cat>
          <c:val>
            <c:numRef>
              <c:f>GESTORES!$R$6:$R$12</c:f>
              <c:numCache>
                <c:formatCode>0.0%</c:formatCode>
                <c:ptCount val="7"/>
                <c:pt idx="0">
                  <c:v>0.9</c:v>
                </c:pt>
                <c:pt idx="1">
                  <c:v>0.65</c:v>
                </c:pt>
                <c:pt idx="2">
                  <c:v>0.7</c:v>
                </c:pt>
                <c:pt idx="3">
                  <c:v>0.7</c:v>
                </c:pt>
                <c:pt idx="4">
                  <c:v>0.95</c:v>
                </c:pt>
                <c:pt idx="5">
                  <c:v>0.75</c:v>
                </c:pt>
                <c:pt idx="6">
                  <c:v>0.95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16-4242-BC4D-4640E2418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3920719"/>
        <c:axId val="1573937999"/>
      </c:barChart>
      <c:valAx>
        <c:axId val="1573937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20719"/>
        <c:crosses val="autoZero"/>
        <c:crossBetween val="between"/>
      </c:valAx>
      <c:catAx>
        <c:axId val="1573920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573937999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56812956519971"/>
          <c:y val="0.90090971638253958"/>
          <c:w val="0.72304461942257214"/>
          <c:h val="7.320031597991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'Resumo '!$F$42</c:f>
              <c:strCache>
                <c:ptCount val="1"/>
                <c:pt idx="0">
                  <c:v>Nº de Avaliações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25400">
              <a:noFill/>
            </a:ln>
          </c:spPr>
          <c:explosion val="5"/>
          <c:dPt>
            <c:idx val="1"/>
            <c:bubble3D val="0"/>
            <c:spPr>
              <a:solidFill>
                <a:srgbClr val="FFCD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2-BE7D-4BA3-A136-F9F438ADC8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'Resumo '!$E$43:$E$44</c:f>
              <c:strCache>
                <c:ptCount val="2"/>
                <c:pt idx="0">
                  <c:v>CACS</c:v>
                </c:pt>
                <c:pt idx="1">
                  <c:v>GESTORES</c:v>
                </c:pt>
              </c:strCache>
            </c:strRef>
          </c:cat>
          <c:val>
            <c:numRef>
              <c:f>'Resumo '!$F$43:$F$44</c:f>
              <c:numCache>
                <c:formatCode>General</c:formatCode>
                <c:ptCount val="2"/>
                <c:pt idx="0">
                  <c:v>5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E7D-4BA3-A136-F9F438ADC8D9}"/>
            </c:ext>
          </c:extLst>
        </c:ser>
        <c:ser>
          <c:idx val="0"/>
          <c:order val="1"/>
          <c:tx>
            <c:strRef>
              <c:f>'Resumo '!$G$34</c:f>
              <c:strCache>
                <c:ptCount val="1"/>
                <c:pt idx="0">
                  <c:v>CACS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rgbClr val="FFCD2F"/>
              </a:solidFill>
            </c:spPr>
            <c:extLst>
              <c:ext xmlns:c16="http://schemas.microsoft.com/office/drawing/2014/chart" uri="{C3380CC4-5D6E-409C-BE32-E72D297353CC}">
                <c16:uniqueId val="{0000000C-BE7D-4BA3-A136-F9F438ADC8D9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BE7D-4BA3-A136-F9F438ADC8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'Resumo '!$E$43:$E$44</c:f>
              <c:strCache>
                <c:ptCount val="2"/>
                <c:pt idx="0">
                  <c:v>CACS</c:v>
                </c:pt>
                <c:pt idx="1">
                  <c:v>GESTORES</c:v>
                </c:pt>
              </c:strCache>
            </c:strRef>
          </c:cat>
          <c:val>
            <c:numRef>
              <c:f>'Resumo '!$G$35:$G$36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E7D-4BA3-A136-F9F438ADC8D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219940</xdr:colOff>
      <xdr:row>2</xdr:row>
      <xdr:rowOff>9525</xdr:rowOff>
    </xdr:from>
    <xdr:to>
      <xdr:col>30</xdr:col>
      <xdr:colOff>120360</xdr:colOff>
      <xdr:row>13</xdr:row>
      <xdr:rowOff>228600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195C50-D8D4-336A-2C67-3F3ACACA21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1276349</xdr:colOff>
      <xdr:row>13</xdr:row>
      <xdr:rowOff>9525</xdr:rowOff>
    </xdr:from>
    <xdr:to>
      <xdr:col>14</xdr:col>
      <xdr:colOff>466724</xdr:colOff>
      <xdr:row>24</xdr:row>
      <xdr:rowOff>228600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575E78E-27A5-47A2-A8F5-D631E50B5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14</xdr:row>
      <xdr:rowOff>0</xdr:rowOff>
    </xdr:from>
    <xdr:to>
      <xdr:col>18</xdr:col>
      <xdr:colOff>575829</xdr:colOff>
      <xdr:row>25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D77BFC5-3938-468A-84DF-53DFED50E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314325</xdr:colOff>
      <xdr:row>39</xdr:row>
      <xdr:rowOff>23812</xdr:rowOff>
    </xdr:from>
    <xdr:to>
      <xdr:col>12</xdr:col>
      <xdr:colOff>590550</xdr:colOff>
      <xdr:row>49</xdr:row>
      <xdr:rowOff>4762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EC7C01-7A9E-1338-7402-F1BE8F39EC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F349-0C43-482B-9AE7-FF09C1F6FABC}">
  <dimension ref="A1:AD163"/>
  <sheetViews>
    <sheetView topLeftCell="Q1" zoomScale="85" zoomScaleNormal="85" workbookViewId="0">
      <selection activeCell="V2" sqref="V2:V26"/>
    </sheetView>
  </sheetViews>
  <sheetFormatPr defaultColWidth="9" defaultRowHeight="19.2" x14ac:dyDescent="0.5"/>
  <cols>
    <col min="1" max="1" width="22.5" style="52" customWidth="1"/>
    <col min="2" max="2" width="30.5" style="47" bestFit="1" customWidth="1"/>
    <col min="3" max="3" width="28.3984375" style="47" customWidth="1"/>
    <col min="4" max="4" width="32.5" style="47" customWidth="1"/>
    <col min="5" max="5" width="15.3984375" style="52" customWidth="1"/>
    <col min="6" max="6" width="23.69921875" style="52" customWidth="1"/>
    <col min="7" max="7" width="17.5" style="52" customWidth="1"/>
    <col min="8" max="14" width="9" style="47" customWidth="1"/>
    <col min="15" max="15" width="60.3984375" style="47" bestFit="1" customWidth="1"/>
    <col min="16" max="16" width="88.19921875" style="47" bestFit="1" customWidth="1"/>
    <col min="17" max="17" width="25.69921875" style="47" bestFit="1" customWidth="1"/>
    <col min="18" max="18" width="25" style="47" bestFit="1" customWidth="1"/>
    <col min="19" max="19" width="85.5" style="47" bestFit="1" customWidth="1"/>
    <col min="20" max="20" width="44.3984375" style="47" bestFit="1" customWidth="1"/>
    <col min="21" max="21" width="56.69921875" style="47" bestFit="1" customWidth="1"/>
    <col min="22" max="22" width="20.59765625" style="47" customWidth="1"/>
    <col min="23" max="24" width="12" style="47" customWidth="1"/>
    <col min="25" max="25" width="11.5" style="47" customWidth="1"/>
    <col min="26" max="26" width="19.59765625" style="47" customWidth="1"/>
    <col min="27" max="28" width="9" style="47"/>
    <col min="29" max="29" width="41.59765625" style="47" customWidth="1"/>
    <col min="30" max="30" width="20.69921875" style="47" customWidth="1"/>
    <col min="31" max="16384" width="9" style="47"/>
  </cols>
  <sheetData>
    <row r="1" spans="1:30" customFormat="1" ht="27" thickBot="1" x14ac:dyDescent="0.55000000000000004">
      <c r="A1" s="49" t="s">
        <v>0</v>
      </c>
      <c r="B1" s="14" t="s">
        <v>10</v>
      </c>
      <c r="C1" s="14" t="s">
        <v>11</v>
      </c>
      <c r="D1" s="14" t="s">
        <v>12</v>
      </c>
      <c r="E1" s="53" t="s">
        <v>163</v>
      </c>
      <c r="F1" s="55" t="s">
        <v>13</v>
      </c>
      <c r="G1" s="55" t="s">
        <v>14</v>
      </c>
      <c r="H1" s="15" t="s">
        <v>15</v>
      </c>
      <c r="I1" s="15" t="s">
        <v>16</v>
      </c>
      <c r="J1" s="15" t="s">
        <v>17</v>
      </c>
      <c r="K1" s="15" t="s">
        <v>18</v>
      </c>
      <c r="L1" s="15" t="s">
        <v>19</v>
      </c>
      <c r="M1" s="15" t="s">
        <v>20</v>
      </c>
      <c r="N1" s="15" t="s">
        <v>21</v>
      </c>
      <c r="O1" s="15" t="s">
        <v>22</v>
      </c>
      <c r="P1" s="15" t="s">
        <v>23</v>
      </c>
      <c r="Q1" s="15" t="s">
        <v>24</v>
      </c>
      <c r="R1" s="15" t="s">
        <v>25</v>
      </c>
      <c r="S1" s="108" t="s">
        <v>164</v>
      </c>
      <c r="T1" s="15" t="s">
        <v>5</v>
      </c>
      <c r="U1" s="16" t="s">
        <v>1</v>
      </c>
      <c r="V1" s="48"/>
      <c r="W1" s="48"/>
      <c r="X1" s="48"/>
      <c r="Y1" s="48"/>
      <c r="Z1" s="48"/>
      <c r="AA1" s="48"/>
      <c r="AB1" s="48"/>
    </row>
    <row r="2" spans="1:30" ht="27" thickBot="1" x14ac:dyDescent="0.55000000000000004">
      <c r="A2" s="63">
        <v>45987.704340277778</v>
      </c>
      <c r="B2" s="64" t="s">
        <v>283</v>
      </c>
      <c r="C2" s="64" t="s">
        <v>284</v>
      </c>
      <c r="D2" s="64" t="s">
        <v>285</v>
      </c>
      <c r="E2" s="65" t="s">
        <v>286</v>
      </c>
      <c r="F2" s="65" t="s">
        <v>287</v>
      </c>
      <c r="G2" s="65" t="s">
        <v>26</v>
      </c>
      <c r="H2" s="66">
        <v>5</v>
      </c>
      <c r="I2" s="66">
        <v>5</v>
      </c>
      <c r="J2" s="66">
        <v>5</v>
      </c>
      <c r="K2" s="66">
        <v>5</v>
      </c>
      <c r="L2" s="66">
        <v>5</v>
      </c>
      <c r="M2" s="64">
        <v>5</v>
      </c>
      <c r="N2" s="64">
        <v>5</v>
      </c>
      <c r="O2" s="64" t="s">
        <v>288</v>
      </c>
      <c r="P2" s="67" t="s">
        <v>289</v>
      </c>
      <c r="Q2" s="67" t="s">
        <v>27</v>
      </c>
      <c r="R2" s="64"/>
      <c r="S2" s="75"/>
      <c r="T2" s="69" t="s">
        <v>8</v>
      </c>
      <c r="U2" s="69"/>
      <c r="V2" s="4" t="str">
        <f>+F2</f>
        <v>Formosa</v>
      </c>
      <c r="W2" s="5"/>
      <c r="X2" s="59"/>
      <c r="Y2" s="7"/>
      <c r="Z2" s="7"/>
    </row>
    <row r="3" spans="1:30" ht="27" thickBot="1" x14ac:dyDescent="0.55000000000000004">
      <c r="A3" s="70">
        <v>45987.705439814818</v>
      </c>
      <c r="B3" s="71" t="s">
        <v>297</v>
      </c>
      <c r="C3" s="71" t="s">
        <v>298</v>
      </c>
      <c r="D3" s="71" t="s">
        <v>299</v>
      </c>
      <c r="E3" s="72" t="s">
        <v>300</v>
      </c>
      <c r="F3" s="72" t="s">
        <v>301</v>
      </c>
      <c r="G3" s="72" t="s">
        <v>26</v>
      </c>
      <c r="H3" s="73">
        <v>5</v>
      </c>
      <c r="I3" s="73">
        <v>5</v>
      </c>
      <c r="J3" s="73">
        <v>5</v>
      </c>
      <c r="K3" s="73">
        <v>4</v>
      </c>
      <c r="L3" s="73">
        <v>4</v>
      </c>
      <c r="M3" s="71">
        <v>4</v>
      </c>
      <c r="N3" s="71">
        <v>5</v>
      </c>
      <c r="O3" s="71" t="s">
        <v>302</v>
      </c>
      <c r="P3" s="74" t="s">
        <v>303</v>
      </c>
      <c r="Q3" s="71" t="s">
        <v>29</v>
      </c>
      <c r="R3" s="71"/>
      <c r="S3" s="68" t="s">
        <v>304</v>
      </c>
      <c r="T3" s="69" t="s">
        <v>31</v>
      </c>
      <c r="U3" s="69" t="s">
        <v>305</v>
      </c>
      <c r="V3" s="4" t="str">
        <f t="shared" ref="V3:V26" si="0">+F3</f>
        <v>São João d'Aliança</v>
      </c>
      <c r="W3" s="89"/>
      <c r="X3" s="59"/>
      <c r="Y3" s="7"/>
      <c r="Z3" s="7"/>
    </row>
    <row r="4" spans="1:30" ht="27" thickBot="1" x14ac:dyDescent="0.55000000000000004">
      <c r="A4" s="63">
        <v>45987.706250000003</v>
      </c>
      <c r="B4" s="64" t="s">
        <v>306</v>
      </c>
      <c r="C4" s="64" t="s">
        <v>307</v>
      </c>
      <c r="D4" s="64" t="s">
        <v>308</v>
      </c>
      <c r="E4" s="65" t="s">
        <v>309</v>
      </c>
      <c r="F4" s="65" t="s">
        <v>263</v>
      </c>
      <c r="G4" s="65" t="s">
        <v>26</v>
      </c>
      <c r="H4" s="66">
        <v>5</v>
      </c>
      <c r="I4" s="66">
        <v>5</v>
      </c>
      <c r="J4" s="66">
        <v>5</v>
      </c>
      <c r="K4" s="66">
        <v>5</v>
      </c>
      <c r="L4" s="66">
        <v>5</v>
      </c>
      <c r="M4" s="64">
        <v>5</v>
      </c>
      <c r="N4" s="64">
        <v>5</v>
      </c>
      <c r="O4" s="64" t="s">
        <v>310</v>
      </c>
      <c r="P4" s="67" t="s">
        <v>311</v>
      </c>
      <c r="Q4" s="67" t="s">
        <v>27</v>
      </c>
      <c r="R4" s="64"/>
      <c r="S4" s="68" t="s">
        <v>312</v>
      </c>
      <c r="T4" s="69" t="s">
        <v>6</v>
      </c>
      <c r="U4" s="69"/>
      <c r="V4" s="4" t="str">
        <f t="shared" si="0"/>
        <v>Cristalina</v>
      </c>
      <c r="W4" s="88"/>
      <c r="X4" s="60"/>
      <c r="Y4" s="7"/>
      <c r="Z4" s="7"/>
    </row>
    <row r="5" spans="1:30" ht="27" thickBot="1" x14ac:dyDescent="0.55000000000000004">
      <c r="A5" s="70">
        <v>45987.70752314815</v>
      </c>
      <c r="B5" s="71" t="s">
        <v>313</v>
      </c>
      <c r="C5" s="71" t="s">
        <v>314</v>
      </c>
      <c r="D5" s="71" t="s">
        <v>315</v>
      </c>
      <c r="E5" s="72" t="s">
        <v>316</v>
      </c>
      <c r="F5" s="72" t="s">
        <v>169</v>
      </c>
      <c r="G5" s="72" t="s">
        <v>26</v>
      </c>
      <c r="H5" s="73">
        <v>5</v>
      </c>
      <c r="I5" s="73">
        <v>3</v>
      </c>
      <c r="J5" s="73">
        <v>5</v>
      </c>
      <c r="K5" s="73">
        <v>5</v>
      </c>
      <c r="L5" s="73">
        <v>5</v>
      </c>
      <c r="M5" s="71">
        <v>5</v>
      </c>
      <c r="N5" s="71">
        <v>5</v>
      </c>
      <c r="O5" s="71" t="s">
        <v>317</v>
      </c>
      <c r="P5" s="74" t="s">
        <v>318</v>
      </c>
      <c r="Q5" s="71" t="s">
        <v>29</v>
      </c>
      <c r="R5" s="71"/>
      <c r="S5" s="75"/>
      <c r="T5" s="69" t="s">
        <v>7</v>
      </c>
      <c r="U5" s="69" t="s">
        <v>319</v>
      </c>
      <c r="V5" s="4" t="str">
        <f t="shared" si="0"/>
        <v>Água Fria de Goiás</v>
      </c>
      <c r="W5" s="89"/>
      <c r="X5" s="59"/>
      <c r="Y5" s="7"/>
      <c r="Z5" s="7"/>
    </row>
    <row r="6" spans="1:30" ht="27" thickBot="1" x14ac:dyDescent="0.55000000000000004">
      <c r="A6" s="63">
        <v>45987.707638888889</v>
      </c>
      <c r="B6" s="64" t="s">
        <v>320</v>
      </c>
      <c r="C6" s="64" t="s">
        <v>321</v>
      </c>
      <c r="D6" s="64" t="s">
        <v>322</v>
      </c>
      <c r="E6" s="65" t="s">
        <v>323</v>
      </c>
      <c r="F6" s="65" t="s">
        <v>210</v>
      </c>
      <c r="G6" s="65" t="s">
        <v>26</v>
      </c>
      <c r="H6" s="66">
        <v>5</v>
      </c>
      <c r="I6" s="66">
        <v>5</v>
      </c>
      <c r="J6" s="66">
        <v>5</v>
      </c>
      <c r="K6" s="66">
        <v>5</v>
      </c>
      <c r="L6" s="66">
        <v>5</v>
      </c>
      <c r="M6" s="64">
        <v>5</v>
      </c>
      <c r="N6" s="64">
        <v>5</v>
      </c>
      <c r="O6" s="64" t="s">
        <v>324</v>
      </c>
      <c r="P6" s="67" t="s">
        <v>325</v>
      </c>
      <c r="Q6" s="64" t="s">
        <v>29</v>
      </c>
      <c r="R6" s="64"/>
      <c r="S6" s="68"/>
      <c r="T6" s="69" t="s">
        <v>31</v>
      </c>
      <c r="U6" s="69" t="s">
        <v>326</v>
      </c>
      <c r="V6" s="4" t="str">
        <f t="shared" si="0"/>
        <v>Cabeceiras</v>
      </c>
      <c r="W6" s="88"/>
      <c r="X6" s="60"/>
      <c r="Y6" s="7"/>
      <c r="Z6" s="7"/>
    </row>
    <row r="7" spans="1:30" ht="27" thickBot="1" x14ac:dyDescent="0.55000000000000004">
      <c r="A7" s="70">
        <v>45987.699560185189</v>
      </c>
      <c r="B7" s="71" t="s">
        <v>165</v>
      </c>
      <c r="C7" s="71" t="s">
        <v>166</v>
      </c>
      <c r="D7" s="71" t="s">
        <v>167</v>
      </c>
      <c r="E7" s="72" t="s">
        <v>168</v>
      </c>
      <c r="F7" s="72" t="s">
        <v>169</v>
      </c>
      <c r="G7" s="72" t="s">
        <v>28</v>
      </c>
      <c r="H7" s="73">
        <v>5</v>
      </c>
      <c r="I7" s="73">
        <v>5</v>
      </c>
      <c r="J7" s="73">
        <v>5</v>
      </c>
      <c r="K7" s="73">
        <v>4</v>
      </c>
      <c r="L7" s="73">
        <v>5</v>
      </c>
      <c r="M7" s="71">
        <v>5</v>
      </c>
      <c r="N7" s="71">
        <v>5</v>
      </c>
      <c r="O7" s="71" t="s">
        <v>170</v>
      </c>
      <c r="P7" s="74" t="s">
        <v>171</v>
      </c>
      <c r="Q7" s="71" t="s">
        <v>29</v>
      </c>
      <c r="R7" s="71"/>
      <c r="S7" s="68" t="s">
        <v>172</v>
      </c>
      <c r="T7" s="69" t="s">
        <v>31</v>
      </c>
      <c r="U7" s="69"/>
      <c r="V7" s="4" t="str">
        <f t="shared" si="0"/>
        <v>Água Fria de Goiás</v>
      </c>
      <c r="W7" s="89"/>
      <c r="X7" s="59"/>
      <c r="Y7" s="7"/>
      <c r="Z7" s="7"/>
    </row>
    <row r="8" spans="1:30" ht="27" thickBot="1" x14ac:dyDescent="0.55000000000000004">
      <c r="A8" s="63">
        <v>45987.699583333335</v>
      </c>
      <c r="B8" s="64" t="s">
        <v>173</v>
      </c>
      <c r="C8" s="64" t="s">
        <v>174</v>
      </c>
      <c r="D8" s="64" t="s">
        <v>175</v>
      </c>
      <c r="E8" s="65" t="s">
        <v>176</v>
      </c>
      <c r="F8" s="65" t="s">
        <v>177</v>
      </c>
      <c r="G8" s="65" t="s">
        <v>28</v>
      </c>
      <c r="H8" s="66">
        <v>5</v>
      </c>
      <c r="I8" s="66">
        <v>4</v>
      </c>
      <c r="J8" s="66">
        <v>5</v>
      </c>
      <c r="K8" s="66">
        <v>5</v>
      </c>
      <c r="L8" s="66">
        <v>5</v>
      </c>
      <c r="M8" s="64">
        <v>5</v>
      </c>
      <c r="N8" s="64">
        <v>5</v>
      </c>
      <c r="O8" s="64" t="s">
        <v>178</v>
      </c>
      <c r="P8" s="67" t="s">
        <v>179</v>
      </c>
      <c r="Q8" s="67" t="s">
        <v>29</v>
      </c>
      <c r="R8" s="64"/>
      <c r="S8" s="68" t="s">
        <v>180</v>
      </c>
      <c r="T8" s="69" t="s">
        <v>31</v>
      </c>
      <c r="U8" s="69"/>
      <c r="V8" s="4" t="str">
        <f t="shared" si="0"/>
        <v>Cidade Ocidental</v>
      </c>
      <c r="W8" s="88"/>
      <c r="X8" s="60"/>
      <c r="Y8" s="7"/>
      <c r="Z8" s="7"/>
    </row>
    <row r="9" spans="1:30" ht="30" thickBot="1" x14ac:dyDescent="0.55000000000000004">
      <c r="A9" s="70">
        <v>45987.699837962966</v>
      </c>
      <c r="B9" s="71" t="s">
        <v>181</v>
      </c>
      <c r="C9" s="71" t="s">
        <v>182</v>
      </c>
      <c r="D9" s="71" t="s">
        <v>183</v>
      </c>
      <c r="E9" s="72" t="s">
        <v>184</v>
      </c>
      <c r="F9" s="72" t="s">
        <v>185</v>
      </c>
      <c r="G9" s="72" t="s">
        <v>28</v>
      </c>
      <c r="H9" s="73">
        <v>5</v>
      </c>
      <c r="I9" s="73">
        <v>4</v>
      </c>
      <c r="J9" s="73">
        <v>4</v>
      </c>
      <c r="K9" s="73">
        <v>4</v>
      </c>
      <c r="L9" s="73">
        <v>4</v>
      </c>
      <c r="M9" s="71">
        <v>4</v>
      </c>
      <c r="N9" s="71">
        <v>5</v>
      </c>
      <c r="O9" s="71" t="s">
        <v>186</v>
      </c>
      <c r="P9" s="74" t="s">
        <v>187</v>
      </c>
      <c r="Q9" s="74" t="s">
        <v>29</v>
      </c>
      <c r="R9" s="71"/>
      <c r="S9" s="68"/>
      <c r="T9" s="69" t="s">
        <v>188</v>
      </c>
      <c r="U9" s="69" t="s">
        <v>189</v>
      </c>
      <c r="V9" s="4" t="str">
        <f t="shared" si="0"/>
        <v>Santo Antônio do Descoberto</v>
      </c>
      <c r="W9" s="89"/>
      <c r="X9" s="59"/>
      <c r="Y9" s="7"/>
      <c r="Z9" s="7"/>
    </row>
    <row r="10" spans="1:30" ht="27" thickBot="1" x14ac:dyDescent="0.55000000000000004">
      <c r="A10" s="63">
        <v>45987.700277777774</v>
      </c>
      <c r="B10" s="64" t="s">
        <v>190</v>
      </c>
      <c r="C10" s="64" t="s">
        <v>191</v>
      </c>
      <c r="D10" s="64" t="s">
        <v>192</v>
      </c>
      <c r="E10" s="65" t="s">
        <v>193</v>
      </c>
      <c r="F10" s="65" t="s">
        <v>194</v>
      </c>
      <c r="G10" s="65" t="s">
        <v>28</v>
      </c>
      <c r="H10" s="66">
        <v>5</v>
      </c>
      <c r="I10" s="66">
        <v>5</v>
      </c>
      <c r="J10" s="66">
        <v>4</v>
      </c>
      <c r="K10" s="66">
        <v>4</v>
      </c>
      <c r="L10" s="66">
        <v>5</v>
      </c>
      <c r="M10" s="64">
        <v>4</v>
      </c>
      <c r="N10" s="64">
        <v>5</v>
      </c>
      <c r="O10" s="64" t="s">
        <v>195</v>
      </c>
      <c r="P10" s="67" t="s">
        <v>196</v>
      </c>
      <c r="Q10" s="67" t="s">
        <v>29</v>
      </c>
      <c r="R10" s="64"/>
      <c r="S10" s="68" t="s">
        <v>197</v>
      </c>
      <c r="T10" s="69" t="s">
        <v>8</v>
      </c>
      <c r="U10" s="69"/>
      <c r="V10" s="4" t="str">
        <f t="shared" si="0"/>
        <v>Luziânia</v>
      </c>
      <c r="W10" s="88"/>
      <c r="X10" s="60"/>
      <c r="Y10" s="7"/>
      <c r="Z10" s="7"/>
    </row>
    <row r="11" spans="1:30" ht="27" thickBot="1" x14ac:dyDescent="0.55000000000000004">
      <c r="A11" s="70">
        <v>45987.701053240744</v>
      </c>
      <c r="B11" s="71" t="s">
        <v>198</v>
      </c>
      <c r="C11" s="71" t="s">
        <v>199</v>
      </c>
      <c r="D11" s="71" t="s">
        <v>200</v>
      </c>
      <c r="E11" s="72" t="s">
        <v>201</v>
      </c>
      <c r="F11" s="65" t="s">
        <v>185</v>
      </c>
      <c r="G11" s="72" t="s">
        <v>28</v>
      </c>
      <c r="H11" s="73">
        <v>5</v>
      </c>
      <c r="I11" s="73">
        <v>5</v>
      </c>
      <c r="J11" s="73">
        <v>5</v>
      </c>
      <c r="K11" s="73">
        <v>5</v>
      </c>
      <c r="L11" s="73">
        <v>5</v>
      </c>
      <c r="M11" s="71">
        <v>5</v>
      </c>
      <c r="N11" s="71">
        <v>5</v>
      </c>
      <c r="O11" s="71" t="s">
        <v>202</v>
      </c>
      <c r="P11" s="74" t="s">
        <v>203</v>
      </c>
      <c r="Q11" s="71" t="s">
        <v>29</v>
      </c>
      <c r="R11" s="71"/>
      <c r="S11" s="68" t="s">
        <v>204</v>
      </c>
      <c r="T11" s="69" t="s">
        <v>205</v>
      </c>
      <c r="U11" s="69"/>
      <c r="V11" s="4" t="str">
        <f t="shared" si="0"/>
        <v>Santo Antônio do Descoberto</v>
      </c>
      <c r="W11" s="89"/>
      <c r="X11" s="59"/>
      <c r="Y11" s="7"/>
      <c r="Z11" s="7"/>
    </row>
    <row r="12" spans="1:30" ht="27" thickBot="1" x14ac:dyDescent="0.55000000000000004">
      <c r="A12" s="63">
        <v>45987.701458333337</v>
      </c>
      <c r="B12" s="64" t="s">
        <v>206</v>
      </c>
      <c r="C12" s="64" t="s">
        <v>207</v>
      </c>
      <c r="D12" s="64" t="s">
        <v>208</v>
      </c>
      <c r="E12" s="65" t="s">
        <v>209</v>
      </c>
      <c r="F12" s="65" t="s">
        <v>210</v>
      </c>
      <c r="G12" s="65" t="s">
        <v>28</v>
      </c>
      <c r="H12" s="66">
        <v>5</v>
      </c>
      <c r="I12" s="66">
        <v>5</v>
      </c>
      <c r="J12" s="66">
        <v>5</v>
      </c>
      <c r="K12" s="66">
        <v>5</v>
      </c>
      <c r="L12" s="66">
        <v>5</v>
      </c>
      <c r="M12" s="64">
        <v>5</v>
      </c>
      <c r="N12" s="64">
        <v>5</v>
      </c>
      <c r="O12" s="64" t="s">
        <v>211</v>
      </c>
      <c r="P12" s="67" t="s">
        <v>212</v>
      </c>
      <c r="Q12" s="64" t="s">
        <v>29</v>
      </c>
      <c r="R12" s="64"/>
      <c r="S12" s="75" t="s">
        <v>213</v>
      </c>
      <c r="T12" s="69" t="s">
        <v>31</v>
      </c>
      <c r="U12" s="69" t="s">
        <v>214</v>
      </c>
      <c r="V12" s="4" t="str">
        <f t="shared" si="0"/>
        <v>Cabeceiras</v>
      </c>
      <c r="W12" s="88"/>
      <c r="X12" s="60"/>
      <c r="Y12" s="7"/>
      <c r="Z12" s="7"/>
    </row>
    <row r="13" spans="1:30" ht="30" thickBot="1" x14ac:dyDescent="0.55000000000000004">
      <c r="A13" s="70">
        <v>45987.701481481483</v>
      </c>
      <c r="B13" s="71" t="s">
        <v>215</v>
      </c>
      <c r="C13" s="71" t="s">
        <v>216</v>
      </c>
      <c r="D13" s="71" t="s">
        <v>217</v>
      </c>
      <c r="E13" s="72" t="s">
        <v>218</v>
      </c>
      <c r="F13" s="72" t="s">
        <v>169</v>
      </c>
      <c r="G13" s="72" t="s">
        <v>28</v>
      </c>
      <c r="H13" s="73">
        <v>5</v>
      </c>
      <c r="I13" s="73">
        <v>4</v>
      </c>
      <c r="J13" s="73">
        <v>5</v>
      </c>
      <c r="K13" s="73">
        <v>5</v>
      </c>
      <c r="L13" s="73">
        <v>5</v>
      </c>
      <c r="M13" s="71">
        <v>4</v>
      </c>
      <c r="N13" s="71">
        <v>5</v>
      </c>
      <c r="O13" s="71" t="s">
        <v>219</v>
      </c>
      <c r="P13" s="74" t="s">
        <v>220</v>
      </c>
      <c r="Q13" s="71" t="s">
        <v>29</v>
      </c>
      <c r="R13" s="71"/>
      <c r="S13" s="68" t="s">
        <v>221</v>
      </c>
      <c r="T13" s="69" t="s">
        <v>31</v>
      </c>
      <c r="U13" s="69" t="s">
        <v>222</v>
      </c>
      <c r="V13" s="4" t="str">
        <f t="shared" si="0"/>
        <v>Água Fria de Goiás</v>
      </c>
      <c r="W13" s="9"/>
      <c r="X13" s="60"/>
      <c r="Y13" s="100"/>
      <c r="Z13" s="100"/>
    </row>
    <row r="14" spans="1:30" ht="27" thickBot="1" x14ac:dyDescent="0.55000000000000004">
      <c r="A14" s="63">
        <v>45987.70208333333</v>
      </c>
      <c r="B14" s="64" t="s">
        <v>223</v>
      </c>
      <c r="C14" s="64" t="s">
        <v>224</v>
      </c>
      <c r="D14" s="64" t="s">
        <v>225</v>
      </c>
      <c r="E14" s="65" t="s">
        <v>226</v>
      </c>
      <c r="F14" s="65" t="s">
        <v>194</v>
      </c>
      <c r="G14" s="65" t="s">
        <v>28</v>
      </c>
      <c r="H14" s="66">
        <v>5</v>
      </c>
      <c r="I14" s="66">
        <v>5</v>
      </c>
      <c r="J14" s="66">
        <v>5</v>
      </c>
      <c r="K14" s="66">
        <v>5</v>
      </c>
      <c r="L14" s="66">
        <v>5</v>
      </c>
      <c r="M14" s="64">
        <v>5</v>
      </c>
      <c r="N14" s="64">
        <v>5</v>
      </c>
      <c r="O14" s="64" t="s">
        <v>227</v>
      </c>
      <c r="P14" s="67" t="s">
        <v>228</v>
      </c>
      <c r="Q14" s="67" t="s">
        <v>29</v>
      </c>
      <c r="R14" s="64"/>
      <c r="S14" s="75"/>
      <c r="T14" s="69" t="s">
        <v>8</v>
      </c>
      <c r="U14" s="69"/>
      <c r="V14" s="4" t="str">
        <f t="shared" si="0"/>
        <v>Luziânia</v>
      </c>
      <c r="W14" s="95"/>
      <c r="X14" s="98"/>
      <c r="Y14" s="100"/>
      <c r="Z14" s="100"/>
    </row>
    <row r="15" spans="1:30" ht="43.2" thickBot="1" x14ac:dyDescent="0.55000000000000004">
      <c r="A15" s="70">
        <v>45987.702164351853</v>
      </c>
      <c r="B15" s="71" t="s">
        <v>229</v>
      </c>
      <c r="C15" s="71" t="s">
        <v>230</v>
      </c>
      <c r="D15" s="71" t="s">
        <v>231</v>
      </c>
      <c r="E15" s="72" t="s">
        <v>232</v>
      </c>
      <c r="F15" s="72" t="s">
        <v>210</v>
      </c>
      <c r="G15" s="72" t="s">
        <v>28</v>
      </c>
      <c r="H15" s="73">
        <v>5</v>
      </c>
      <c r="I15" s="73">
        <v>5</v>
      </c>
      <c r="J15" s="73">
        <v>5</v>
      </c>
      <c r="K15" s="73">
        <v>5</v>
      </c>
      <c r="L15" s="73">
        <v>5</v>
      </c>
      <c r="M15" s="71">
        <v>5</v>
      </c>
      <c r="N15" s="71">
        <v>5</v>
      </c>
      <c r="O15" s="71" t="s">
        <v>233</v>
      </c>
      <c r="P15" s="74" t="s">
        <v>234</v>
      </c>
      <c r="Q15" s="74" t="s">
        <v>29</v>
      </c>
      <c r="R15" s="71"/>
      <c r="S15" s="68" t="s">
        <v>235</v>
      </c>
      <c r="T15" s="69" t="s">
        <v>31</v>
      </c>
      <c r="U15" s="69" t="s">
        <v>236</v>
      </c>
      <c r="V15" s="4" t="str">
        <f t="shared" si="0"/>
        <v>Cabeceiras</v>
      </c>
      <c r="W15" s="94"/>
      <c r="X15" s="98"/>
      <c r="Y15" s="100"/>
      <c r="Z15" s="100"/>
      <c r="AC15"/>
      <c r="AD15"/>
    </row>
    <row r="16" spans="1:30" ht="27" thickBot="1" x14ac:dyDescent="0.55000000000000004">
      <c r="A16" s="63">
        <v>45987.702488425923</v>
      </c>
      <c r="B16" s="64" t="s">
        <v>237</v>
      </c>
      <c r="C16" s="64" t="s">
        <v>238</v>
      </c>
      <c r="D16" s="64" t="s">
        <v>239</v>
      </c>
      <c r="E16" s="65" t="s">
        <v>240</v>
      </c>
      <c r="F16" s="65" t="s">
        <v>241</v>
      </c>
      <c r="G16" s="65" t="s">
        <v>28</v>
      </c>
      <c r="H16" s="66">
        <v>5</v>
      </c>
      <c r="I16" s="66">
        <v>5</v>
      </c>
      <c r="J16" s="66">
        <v>5</v>
      </c>
      <c r="K16" s="66">
        <v>5</v>
      </c>
      <c r="L16" s="66">
        <v>5</v>
      </c>
      <c r="M16" s="64">
        <v>5</v>
      </c>
      <c r="N16" s="64">
        <v>5</v>
      </c>
      <c r="O16" s="64" t="s">
        <v>242</v>
      </c>
      <c r="P16" s="67" t="s">
        <v>243</v>
      </c>
      <c r="Q16" s="67" t="s">
        <v>29</v>
      </c>
      <c r="R16" s="64"/>
      <c r="S16" s="68" t="s">
        <v>244</v>
      </c>
      <c r="T16" s="69" t="s">
        <v>31</v>
      </c>
      <c r="U16" s="69" t="s">
        <v>245</v>
      </c>
      <c r="V16" s="4" t="str">
        <f t="shared" si="0"/>
        <v>Águas Lindas de Goiás</v>
      </c>
      <c r="W16" s="95"/>
      <c r="X16" s="98"/>
      <c r="Y16" s="100"/>
      <c r="Z16" s="100"/>
      <c r="AC16"/>
      <c r="AD16"/>
    </row>
    <row r="17" spans="1:30" ht="27" thickBot="1" x14ac:dyDescent="0.55000000000000004">
      <c r="A17" s="70">
        <v>45987.702557870369</v>
      </c>
      <c r="B17" s="71" t="s">
        <v>246</v>
      </c>
      <c r="C17" s="71" t="s">
        <v>247</v>
      </c>
      <c r="D17" s="71" t="s">
        <v>248</v>
      </c>
      <c r="E17" s="72" t="s">
        <v>249</v>
      </c>
      <c r="F17" s="72" t="s">
        <v>194</v>
      </c>
      <c r="G17" s="72" t="s">
        <v>28</v>
      </c>
      <c r="H17" s="73">
        <v>5</v>
      </c>
      <c r="I17" s="73">
        <v>5</v>
      </c>
      <c r="J17" s="73">
        <v>5</v>
      </c>
      <c r="K17" s="73">
        <v>5</v>
      </c>
      <c r="L17" s="73">
        <v>5</v>
      </c>
      <c r="M17" s="71">
        <v>5</v>
      </c>
      <c r="N17" s="71">
        <v>5</v>
      </c>
      <c r="O17" s="71" t="s">
        <v>250</v>
      </c>
      <c r="P17" s="74" t="s">
        <v>251</v>
      </c>
      <c r="Q17" s="71" t="s">
        <v>29</v>
      </c>
      <c r="R17" s="71"/>
      <c r="S17" s="68" t="s">
        <v>252</v>
      </c>
      <c r="T17" s="69" t="s">
        <v>8</v>
      </c>
      <c r="U17" s="69"/>
      <c r="V17" s="4" t="str">
        <f t="shared" si="0"/>
        <v>Luziânia</v>
      </c>
      <c r="W17" s="94"/>
      <c r="X17" s="98"/>
      <c r="Y17" s="100"/>
      <c r="Z17" s="100"/>
      <c r="AC17"/>
      <c r="AD17"/>
    </row>
    <row r="18" spans="1:30" ht="27" thickBot="1" x14ac:dyDescent="0.55000000000000004">
      <c r="A18" s="63">
        <v>45987.702824074076</v>
      </c>
      <c r="B18" s="64" t="s">
        <v>253</v>
      </c>
      <c r="C18" s="64" t="s">
        <v>254</v>
      </c>
      <c r="D18" s="64" t="s">
        <v>255</v>
      </c>
      <c r="E18" s="65" t="s">
        <v>256</v>
      </c>
      <c r="F18" s="65" t="s">
        <v>177</v>
      </c>
      <c r="G18" s="65" t="s">
        <v>28</v>
      </c>
      <c r="H18" s="66">
        <v>5</v>
      </c>
      <c r="I18" s="66">
        <v>5</v>
      </c>
      <c r="J18" s="66">
        <v>4</v>
      </c>
      <c r="K18" s="66">
        <v>4</v>
      </c>
      <c r="L18" s="66">
        <v>5</v>
      </c>
      <c r="M18" s="64">
        <v>5</v>
      </c>
      <c r="N18" s="64">
        <v>5</v>
      </c>
      <c r="O18" s="64" t="s">
        <v>257</v>
      </c>
      <c r="P18" s="67" t="s">
        <v>258</v>
      </c>
      <c r="Q18" s="67" t="s">
        <v>30</v>
      </c>
      <c r="R18" s="64"/>
      <c r="S18" s="68"/>
      <c r="T18" s="69" t="s">
        <v>8</v>
      </c>
      <c r="U18" s="69"/>
      <c r="V18" s="4" t="str">
        <f t="shared" si="0"/>
        <v>Cidade Ocidental</v>
      </c>
      <c r="W18" s="5"/>
      <c r="X18" s="59"/>
      <c r="Y18" s="7"/>
      <c r="Z18" s="7"/>
    </row>
    <row r="19" spans="1:30" ht="27" thickBot="1" x14ac:dyDescent="0.55000000000000004">
      <c r="A19" s="70">
        <v>45987.703055555554</v>
      </c>
      <c r="B19" s="71" t="s">
        <v>259</v>
      </c>
      <c r="C19" s="71" t="s">
        <v>260</v>
      </c>
      <c r="D19" s="71" t="s">
        <v>261</v>
      </c>
      <c r="E19" s="72" t="s">
        <v>262</v>
      </c>
      <c r="F19" s="72" t="s">
        <v>263</v>
      </c>
      <c r="G19" s="72" t="s">
        <v>28</v>
      </c>
      <c r="H19" s="73">
        <v>4</v>
      </c>
      <c r="I19" s="73">
        <v>4</v>
      </c>
      <c r="J19" s="73">
        <v>4</v>
      </c>
      <c r="K19" s="73">
        <v>4</v>
      </c>
      <c r="L19" s="73">
        <v>5</v>
      </c>
      <c r="M19" s="71">
        <v>4</v>
      </c>
      <c r="N19" s="71">
        <v>4</v>
      </c>
      <c r="O19" s="71" t="s">
        <v>264</v>
      </c>
      <c r="P19" s="74" t="s">
        <v>265</v>
      </c>
      <c r="Q19" s="74" t="s">
        <v>29</v>
      </c>
      <c r="R19" s="71"/>
      <c r="S19" s="68" t="s">
        <v>266</v>
      </c>
      <c r="T19" s="69" t="s">
        <v>31</v>
      </c>
      <c r="U19" s="69"/>
      <c r="V19" s="4" t="str">
        <f t="shared" si="0"/>
        <v>Cristalina</v>
      </c>
      <c r="W19" s="9"/>
      <c r="X19" s="60"/>
      <c r="Y19" s="7"/>
      <c r="Z19" s="7"/>
    </row>
    <row r="20" spans="1:30" ht="19.8" thickBot="1" x14ac:dyDescent="0.55000000000000004">
      <c r="A20" s="63">
        <v>45987.703773148147</v>
      </c>
      <c r="B20" s="64" t="s">
        <v>267</v>
      </c>
      <c r="C20" s="64" t="s">
        <v>268</v>
      </c>
      <c r="D20" s="64" t="s">
        <v>269</v>
      </c>
      <c r="E20" s="65" t="s">
        <v>270</v>
      </c>
      <c r="F20" s="65" t="s">
        <v>263</v>
      </c>
      <c r="G20" s="65" t="s">
        <v>28</v>
      </c>
      <c r="H20" s="66">
        <v>5</v>
      </c>
      <c r="I20" s="66">
        <v>5</v>
      </c>
      <c r="J20" s="66">
        <v>5</v>
      </c>
      <c r="K20" s="66">
        <v>5</v>
      </c>
      <c r="L20" s="66">
        <v>5</v>
      </c>
      <c r="M20" s="64">
        <v>5</v>
      </c>
      <c r="N20" s="64">
        <v>5</v>
      </c>
      <c r="O20" s="64" t="s">
        <v>271</v>
      </c>
      <c r="P20" s="67" t="s">
        <v>272</v>
      </c>
      <c r="Q20" s="64" t="s">
        <v>30</v>
      </c>
      <c r="R20" s="64"/>
      <c r="S20" s="68" t="s">
        <v>273</v>
      </c>
      <c r="T20" s="69" t="s">
        <v>31</v>
      </c>
      <c r="U20" s="69"/>
      <c r="V20" s="4" t="str">
        <f t="shared" si="0"/>
        <v>Cristalina</v>
      </c>
      <c r="W20" s="5"/>
      <c r="X20" s="59"/>
      <c r="Y20" s="7"/>
      <c r="Z20" s="7"/>
    </row>
    <row r="21" spans="1:30" ht="40.200000000000003" thickBot="1" x14ac:dyDescent="0.55000000000000004">
      <c r="A21" s="70">
        <v>45987.703935185185</v>
      </c>
      <c r="B21" s="71" t="s">
        <v>274</v>
      </c>
      <c r="C21" s="71" t="s">
        <v>275</v>
      </c>
      <c r="D21" s="71" t="s">
        <v>276</v>
      </c>
      <c r="E21" s="72" t="s">
        <v>277</v>
      </c>
      <c r="F21" s="72" t="s">
        <v>278</v>
      </c>
      <c r="G21" s="72" t="s">
        <v>28</v>
      </c>
      <c r="H21" s="73">
        <v>4</v>
      </c>
      <c r="I21" s="73">
        <v>3</v>
      </c>
      <c r="J21" s="73">
        <v>4</v>
      </c>
      <c r="K21" s="73">
        <v>4</v>
      </c>
      <c r="L21" s="73">
        <v>5</v>
      </c>
      <c r="M21" s="71">
        <v>5</v>
      </c>
      <c r="N21" s="71">
        <v>5</v>
      </c>
      <c r="O21" s="71" t="s">
        <v>279</v>
      </c>
      <c r="P21" s="74" t="s">
        <v>280</v>
      </c>
      <c r="Q21" s="74" t="s">
        <v>29</v>
      </c>
      <c r="R21" s="71"/>
      <c r="S21" s="68" t="s">
        <v>281</v>
      </c>
      <c r="T21" s="69" t="s">
        <v>8</v>
      </c>
      <c r="U21" s="69" t="s">
        <v>282</v>
      </c>
      <c r="V21" s="4" t="str">
        <f t="shared" si="0"/>
        <v>Alexânia</v>
      </c>
      <c r="W21" s="9"/>
      <c r="X21" s="60"/>
      <c r="Y21" s="110"/>
      <c r="Z21" s="110"/>
    </row>
    <row r="22" spans="1:30" ht="30" thickBot="1" x14ac:dyDescent="0.55000000000000004">
      <c r="A22" s="63">
        <v>45987.704571759263</v>
      </c>
      <c r="B22" s="64" t="s">
        <v>290</v>
      </c>
      <c r="C22" s="64" t="s">
        <v>291</v>
      </c>
      <c r="D22" s="64" t="s">
        <v>292</v>
      </c>
      <c r="E22" s="65" t="s">
        <v>293</v>
      </c>
      <c r="F22" s="65" t="s">
        <v>278</v>
      </c>
      <c r="G22" s="65" t="s">
        <v>28</v>
      </c>
      <c r="H22" s="66">
        <v>5</v>
      </c>
      <c r="I22" s="66">
        <v>4</v>
      </c>
      <c r="J22" s="66">
        <v>5</v>
      </c>
      <c r="K22" s="66">
        <v>5</v>
      </c>
      <c r="L22" s="66">
        <v>5</v>
      </c>
      <c r="M22" s="64">
        <v>5</v>
      </c>
      <c r="N22" s="64">
        <v>5</v>
      </c>
      <c r="O22" s="64" t="s">
        <v>294</v>
      </c>
      <c r="P22" s="67" t="s">
        <v>295</v>
      </c>
      <c r="Q22" s="67" t="s">
        <v>30</v>
      </c>
      <c r="R22" s="64"/>
      <c r="S22" s="75" t="s">
        <v>252</v>
      </c>
      <c r="T22" s="69" t="s">
        <v>8</v>
      </c>
      <c r="U22" s="69" t="s">
        <v>296</v>
      </c>
      <c r="V22" s="4" t="str">
        <f t="shared" si="0"/>
        <v>Alexânia</v>
      </c>
      <c r="W22" s="88"/>
      <c r="X22" s="109"/>
      <c r="Y22" s="110"/>
      <c r="Z22" s="110"/>
    </row>
    <row r="23" spans="1:30" ht="30" thickBot="1" x14ac:dyDescent="0.55000000000000004">
      <c r="A23" s="70">
        <v>45987.708715277775</v>
      </c>
      <c r="B23" s="71" t="s">
        <v>327</v>
      </c>
      <c r="C23" s="71" t="s">
        <v>328</v>
      </c>
      <c r="D23" s="71" t="s">
        <v>329</v>
      </c>
      <c r="E23" s="72" t="s">
        <v>330</v>
      </c>
      <c r="F23" s="72" t="s">
        <v>331</v>
      </c>
      <c r="G23" s="72" t="s">
        <v>28</v>
      </c>
      <c r="H23" s="73">
        <v>5</v>
      </c>
      <c r="I23" s="73">
        <v>5</v>
      </c>
      <c r="J23" s="73">
        <v>5</v>
      </c>
      <c r="K23" s="73">
        <v>5</v>
      </c>
      <c r="L23" s="73">
        <v>5</v>
      </c>
      <c r="M23" s="71">
        <v>5</v>
      </c>
      <c r="N23" s="71">
        <v>5</v>
      </c>
      <c r="O23" s="71" t="s">
        <v>332</v>
      </c>
      <c r="P23" s="74" t="s">
        <v>333</v>
      </c>
      <c r="Q23" s="74" t="s">
        <v>29</v>
      </c>
      <c r="R23" s="71"/>
      <c r="S23" s="68"/>
      <c r="T23" s="69" t="s">
        <v>57</v>
      </c>
      <c r="U23" s="69"/>
      <c r="V23" s="4" t="str">
        <f t="shared" si="0"/>
        <v>Mimoso de Goiás</v>
      </c>
      <c r="W23" s="96"/>
      <c r="X23" s="61"/>
      <c r="Y23" s="62"/>
      <c r="Z23" s="62"/>
    </row>
    <row r="24" spans="1:30" ht="27" thickBot="1" x14ac:dyDescent="0.55000000000000004">
      <c r="A24" s="63">
        <v>45987.708738425928</v>
      </c>
      <c r="B24" s="64" t="s">
        <v>334</v>
      </c>
      <c r="C24" s="64" t="s">
        <v>335</v>
      </c>
      <c r="D24" s="64" t="s">
        <v>336</v>
      </c>
      <c r="E24" s="65" t="s">
        <v>337</v>
      </c>
      <c r="F24" s="65" t="s">
        <v>301</v>
      </c>
      <c r="G24" s="65" t="s">
        <v>28</v>
      </c>
      <c r="H24" s="66">
        <v>5</v>
      </c>
      <c r="I24" s="66">
        <v>5</v>
      </c>
      <c r="J24" s="66">
        <v>5</v>
      </c>
      <c r="K24" s="66">
        <v>5</v>
      </c>
      <c r="L24" s="66">
        <v>5</v>
      </c>
      <c r="M24" s="64">
        <v>5</v>
      </c>
      <c r="N24" s="64">
        <v>5</v>
      </c>
      <c r="O24" s="64" t="s">
        <v>338</v>
      </c>
      <c r="P24" s="67" t="s">
        <v>339</v>
      </c>
      <c r="Q24" s="64" t="s">
        <v>29</v>
      </c>
      <c r="R24" s="64"/>
      <c r="S24" s="75"/>
      <c r="T24" s="69" t="s">
        <v>31</v>
      </c>
      <c r="U24" s="69" t="s">
        <v>340</v>
      </c>
      <c r="V24" s="4" t="str">
        <f t="shared" si="0"/>
        <v>São João d'Aliança</v>
      </c>
      <c r="W24" s="97"/>
      <c r="X24" s="99"/>
      <c r="Y24" s="62"/>
      <c r="Z24" s="62"/>
    </row>
    <row r="25" spans="1:30" ht="30" thickBot="1" x14ac:dyDescent="0.55000000000000004">
      <c r="A25" s="70">
        <v>45987.709826388891</v>
      </c>
      <c r="B25" s="71" t="s">
        <v>341</v>
      </c>
      <c r="C25" s="71" t="s">
        <v>342</v>
      </c>
      <c r="D25" s="71" t="s">
        <v>343</v>
      </c>
      <c r="E25" s="72" t="s">
        <v>344</v>
      </c>
      <c r="F25" s="72" t="s">
        <v>331</v>
      </c>
      <c r="G25" s="72" t="s">
        <v>28</v>
      </c>
      <c r="H25" s="73">
        <v>5</v>
      </c>
      <c r="I25" s="73">
        <v>5</v>
      </c>
      <c r="J25" s="73">
        <v>3</v>
      </c>
      <c r="K25" s="73">
        <v>5</v>
      </c>
      <c r="L25" s="73">
        <v>5</v>
      </c>
      <c r="M25" s="71">
        <v>4</v>
      </c>
      <c r="N25" s="71">
        <v>5</v>
      </c>
      <c r="O25" s="71" t="s">
        <v>345</v>
      </c>
      <c r="P25" s="74" t="s">
        <v>346</v>
      </c>
      <c r="Q25" s="71" t="s">
        <v>29</v>
      </c>
      <c r="R25" s="71"/>
      <c r="S25" s="75"/>
      <c r="T25" s="69" t="s">
        <v>57</v>
      </c>
      <c r="U25" s="69"/>
      <c r="V25" s="4" t="str">
        <f t="shared" si="0"/>
        <v>Mimoso de Goiás</v>
      </c>
      <c r="W25" s="96"/>
      <c r="X25" s="61"/>
      <c r="Y25" s="62"/>
      <c r="Z25" s="62"/>
    </row>
    <row r="26" spans="1:30" ht="27" thickBot="1" x14ac:dyDescent="0.55000000000000004">
      <c r="A26" s="63">
        <v>45987.711817129632</v>
      </c>
      <c r="B26" s="64" t="s">
        <v>347</v>
      </c>
      <c r="C26" s="64" t="s">
        <v>348</v>
      </c>
      <c r="D26" s="64" t="s">
        <v>349</v>
      </c>
      <c r="E26" s="65" t="s">
        <v>350</v>
      </c>
      <c r="F26" s="65" t="s">
        <v>287</v>
      </c>
      <c r="G26" s="65" t="s">
        <v>28</v>
      </c>
      <c r="H26" s="66">
        <v>5</v>
      </c>
      <c r="I26" s="66">
        <v>4</v>
      </c>
      <c r="J26" s="66">
        <v>5</v>
      </c>
      <c r="K26" s="66">
        <v>5</v>
      </c>
      <c r="L26" s="66">
        <v>5</v>
      </c>
      <c r="M26" s="64">
        <v>5</v>
      </c>
      <c r="N26" s="64">
        <v>5</v>
      </c>
      <c r="O26" s="64" t="s">
        <v>351</v>
      </c>
      <c r="P26" s="67" t="s">
        <v>352</v>
      </c>
      <c r="Q26" s="64" t="s">
        <v>29</v>
      </c>
      <c r="R26" s="64"/>
      <c r="S26" s="68"/>
      <c r="T26" s="69" t="s">
        <v>31</v>
      </c>
      <c r="U26" s="69"/>
      <c r="V26" s="4" t="str">
        <f t="shared" si="0"/>
        <v>Formosa</v>
      </c>
      <c r="W26" s="96"/>
      <c r="X26" s="61"/>
      <c r="Y26"/>
      <c r="Z26"/>
    </row>
    <row r="27" spans="1:30" ht="19.8" thickBot="1" x14ac:dyDescent="0.55000000000000004">
      <c r="A27" s="70"/>
      <c r="B27" s="71"/>
      <c r="C27" s="71"/>
      <c r="D27" s="71"/>
      <c r="E27" s="72"/>
      <c r="F27" s="72"/>
      <c r="G27" s="72"/>
      <c r="H27" s="73"/>
      <c r="I27" s="73"/>
      <c r="J27" s="73"/>
      <c r="K27" s="73"/>
      <c r="L27" s="73"/>
      <c r="M27" s="71"/>
      <c r="N27" s="71"/>
      <c r="O27" s="71"/>
      <c r="P27" s="74"/>
      <c r="Q27" s="74"/>
      <c r="R27" s="71"/>
      <c r="S27" s="68"/>
      <c r="T27" s="69"/>
      <c r="U27" s="69"/>
      <c r="V27" s="7"/>
      <c r="W27" s="7"/>
      <c r="X27" s="62"/>
      <c r="Y27"/>
      <c r="Z27"/>
      <c r="AC27"/>
      <c r="AD27"/>
    </row>
    <row r="28" spans="1:30" ht="19.8" thickBot="1" x14ac:dyDescent="0.55000000000000004">
      <c r="A28" s="63"/>
      <c r="B28" s="64"/>
      <c r="C28" s="64"/>
      <c r="D28" s="64"/>
      <c r="E28" s="65"/>
      <c r="F28" s="65"/>
      <c r="G28" s="65"/>
      <c r="H28" s="66"/>
      <c r="I28" s="66"/>
      <c r="J28" s="66"/>
      <c r="K28" s="66"/>
      <c r="L28" s="66"/>
      <c r="M28" s="64"/>
      <c r="N28" s="64"/>
      <c r="O28" s="64"/>
      <c r="P28" s="67"/>
      <c r="Q28" s="67"/>
      <c r="R28" s="64"/>
      <c r="S28" s="68"/>
      <c r="T28" s="69"/>
      <c r="U28" s="69"/>
      <c r="V28" s="7"/>
      <c r="W28" s="7"/>
      <c r="X28" s="62"/>
      <c r="Y28"/>
      <c r="Z28"/>
      <c r="AC28"/>
      <c r="AD28"/>
    </row>
    <row r="29" spans="1:30" ht="19.8" thickBot="1" x14ac:dyDescent="0.55000000000000004">
      <c r="A29" s="70"/>
      <c r="B29" s="71"/>
      <c r="C29" s="71"/>
      <c r="D29" s="71"/>
      <c r="E29" s="72"/>
      <c r="F29" s="72"/>
      <c r="G29" s="72"/>
      <c r="H29" s="73"/>
      <c r="I29" s="73"/>
      <c r="J29" s="73"/>
      <c r="K29" s="73"/>
      <c r="L29" s="73"/>
      <c r="M29" s="71"/>
      <c r="N29" s="71"/>
      <c r="O29" s="71"/>
      <c r="P29" s="74"/>
      <c r="Q29" s="74"/>
      <c r="R29" s="71"/>
      <c r="S29" s="68"/>
      <c r="T29" s="69"/>
      <c r="U29" s="69"/>
      <c r="V29" s="7"/>
      <c r="W29" s="7"/>
      <c r="X29" s="62"/>
      <c r="Y29"/>
      <c r="Z29"/>
      <c r="AC29"/>
      <c r="AD29"/>
    </row>
    <row r="30" spans="1:30" ht="19.8" thickBot="1" x14ac:dyDescent="0.55000000000000004">
      <c r="A30" s="63"/>
      <c r="B30" s="64"/>
      <c r="C30" s="64"/>
      <c r="D30" s="64"/>
      <c r="E30" s="65"/>
      <c r="F30" s="65"/>
      <c r="G30" s="65"/>
      <c r="H30" s="66"/>
      <c r="I30" s="66"/>
      <c r="J30" s="66"/>
      <c r="K30" s="66"/>
      <c r="L30" s="66"/>
      <c r="M30" s="64"/>
      <c r="N30" s="64"/>
      <c r="O30" s="64"/>
      <c r="P30" s="67"/>
      <c r="Q30" s="67"/>
      <c r="R30" s="64"/>
      <c r="S30" s="68"/>
      <c r="T30" s="69"/>
      <c r="U30" s="69"/>
      <c r="V30" s="7"/>
      <c r="W30" s="7"/>
      <c r="X30" s="62"/>
      <c r="Y30"/>
      <c r="Z30"/>
      <c r="AC30"/>
      <c r="AD30"/>
    </row>
    <row r="31" spans="1:30" ht="19.8" thickBot="1" x14ac:dyDescent="0.55000000000000004">
      <c r="A31" s="70"/>
      <c r="B31" s="71"/>
      <c r="C31" s="71"/>
      <c r="D31" s="71"/>
      <c r="E31" s="72"/>
      <c r="F31" s="72"/>
      <c r="G31" s="72"/>
      <c r="H31" s="73"/>
      <c r="I31" s="73"/>
      <c r="J31" s="73"/>
      <c r="K31" s="73"/>
      <c r="L31" s="73"/>
      <c r="M31" s="71"/>
      <c r="N31" s="71"/>
      <c r="O31" s="71"/>
      <c r="P31" s="74"/>
      <c r="Q31" s="71"/>
      <c r="R31" s="71"/>
      <c r="S31" s="68"/>
      <c r="T31" s="69"/>
      <c r="U31" s="69"/>
      <c r="V31" s="7"/>
      <c r="W31" s="7"/>
      <c r="X31" s="62"/>
      <c r="Y31"/>
      <c r="Z31"/>
      <c r="AC31"/>
      <c r="AD31"/>
    </row>
    <row r="32" spans="1:30" ht="19.8" thickBot="1" x14ac:dyDescent="0.55000000000000004">
      <c r="A32" s="63"/>
      <c r="B32" s="64"/>
      <c r="C32" s="64"/>
      <c r="D32" s="64"/>
      <c r="E32" s="65"/>
      <c r="F32" s="65"/>
      <c r="G32" s="65"/>
      <c r="H32" s="66"/>
      <c r="I32" s="66"/>
      <c r="J32" s="66"/>
      <c r="K32" s="66"/>
      <c r="L32" s="66"/>
      <c r="M32" s="64"/>
      <c r="N32" s="64"/>
      <c r="O32" s="64"/>
      <c r="P32" s="67"/>
      <c r="Q32" s="67"/>
      <c r="R32" s="64"/>
      <c r="S32" s="68"/>
      <c r="T32" s="69"/>
      <c r="U32" s="69"/>
      <c r="V32" s="7"/>
      <c r="W32" s="7"/>
      <c r="X32" s="62"/>
      <c r="Y32"/>
      <c r="Z32"/>
      <c r="AC32"/>
      <c r="AD32"/>
    </row>
    <row r="33" spans="1:30" ht="19.8" thickBot="1" x14ac:dyDescent="0.55000000000000004">
      <c r="A33" s="70"/>
      <c r="B33" s="71"/>
      <c r="C33" s="71"/>
      <c r="D33" s="71"/>
      <c r="E33" s="72"/>
      <c r="F33" s="72"/>
      <c r="G33" s="72"/>
      <c r="H33" s="73"/>
      <c r="I33" s="73"/>
      <c r="J33" s="73"/>
      <c r="K33" s="73"/>
      <c r="L33" s="73"/>
      <c r="M33" s="71"/>
      <c r="N33" s="71"/>
      <c r="O33" s="71"/>
      <c r="P33" s="74"/>
      <c r="Q33" s="74"/>
      <c r="R33" s="71"/>
      <c r="S33" s="68"/>
      <c r="T33" s="69"/>
      <c r="U33" s="69"/>
      <c r="V33" s="7"/>
      <c r="W33" s="7"/>
      <c r="X33" s="62"/>
      <c r="Y33"/>
      <c r="Z33"/>
      <c r="AC33"/>
      <c r="AD33"/>
    </row>
    <row r="34" spans="1:30" ht="19.8" thickBot="1" x14ac:dyDescent="0.55000000000000004">
      <c r="A34" s="63"/>
      <c r="B34" s="64"/>
      <c r="C34" s="64"/>
      <c r="D34" s="64"/>
      <c r="E34" s="65"/>
      <c r="F34" s="65"/>
      <c r="G34" s="65"/>
      <c r="H34" s="66"/>
      <c r="I34" s="66"/>
      <c r="J34" s="66"/>
      <c r="K34" s="66"/>
      <c r="L34" s="66"/>
      <c r="M34" s="64"/>
      <c r="N34" s="64"/>
      <c r="O34" s="64"/>
      <c r="P34" s="67"/>
      <c r="Q34" s="64"/>
      <c r="R34" s="64"/>
      <c r="S34" s="75"/>
      <c r="T34" s="69"/>
      <c r="U34" s="69"/>
      <c r="V34" s="7"/>
      <c r="W34" s="7"/>
      <c r="X34" s="62"/>
      <c r="Y34"/>
      <c r="Z34"/>
      <c r="AC34"/>
      <c r="AD34"/>
    </row>
    <row r="35" spans="1:30" ht="19.8" thickBot="1" x14ac:dyDescent="0.55000000000000004">
      <c r="A35" s="70"/>
      <c r="B35" s="71"/>
      <c r="C35" s="71"/>
      <c r="D35" s="71"/>
      <c r="E35" s="72"/>
      <c r="F35" s="72"/>
      <c r="G35" s="72"/>
      <c r="H35" s="73"/>
      <c r="I35" s="73"/>
      <c r="J35" s="73"/>
      <c r="K35" s="73"/>
      <c r="L35" s="73"/>
      <c r="M35" s="73"/>
      <c r="N35" s="73"/>
      <c r="O35" s="71"/>
      <c r="P35" s="71"/>
      <c r="Q35" s="71"/>
      <c r="R35" s="74"/>
      <c r="S35" s="74"/>
      <c r="T35" s="71"/>
      <c r="U35" s="75"/>
      <c r="V35" s="7"/>
      <c r="W35" s="7"/>
      <c r="X35" s="62"/>
      <c r="Y35"/>
      <c r="Z35"/>
      <c r="AA35" s="7"/>
      <c r="AB35" s="7"/>
      <c r="AC35"/>
      <c r="AD35"/>
    </row>
    <row r="36" spans="1:30" ht="19.8" thickBot="1" x14ac:dyDescent="0.55000000000000004">
      <c r="A36" s="63"/>
      <c r="B36" s="64"/>
      <c r="C36" s="64"/>
      <c r="D36" s="64"/>
      <c r="E36" s="65"/>
      <c r="F36" s="65"/>
      <c r="G36" s="65"/>
      <c r="H36" s="66"/>
      <c r="I36" s="66"/>
      <c r="J36" s="66"/>
      <c r="K36" s="66"/>
      <c r="L36" s="66"/>
      <c r="M36" s="66"/>
      <c r="N36" s="66"/>
      <c r="O36" s="64"/>
      <c r="P36" s="64"/>
      <c r="Q36" s="64"/>
      <c r="R36" s="67"/>
      <c r="S36" s="67"/>
      <c r="T36" s="64"/>
      <c r="U36" s="68"/>
      <c r="V36" s="7"/>
      <c r="W36" s="7"/>
      <c r="X36" s="62"/>
      <c r="Y36"/>
      <c r="Z36"/>
      <c r="AA36" s="7"/>
      <c r="AB36" s="7"/>
      <c r="AC36"/>
      <c r="AD36"/>
    </row>
    <row r="37" spans="1:30" ht="19.8" thickBot="1" x14ac:dyDescent="0.55000000000000004">
      <c r="A37" s="70"/>
      <c r="B37" s="71"/>
      <c r="C37" s="71"/>
      <c r="D37" s="71"/>
      <c r="E37" s="72"/>
      <c r="F37" s="72"/>
      <c r="G37" s="72"/>
      <c r="H37" s="73"/>
      <c r="I37" s="73"/>
      <c r="J37" s="73"/>
      <c r="K37" s="73"/>
      <c r="L37" s="73"/>
      <c r="M37" s="73"/>
      <c r="N37" s="73"/>
      <c r="O37" s="71"/>
      <c r="P37" s="71"/>
      <c r="Q37" s="71"/>
      <c r="R37" s="74"/>
      <c r="S37" s="74"/>
      <c r="T37" s="71"/>
      <c r="U37" s="68"/>
      <c r="V37" s="7"/>
      <c r="W37" s="7"/>
      <c r="X37" s="62"/>
      <c r="Y37"/>
      <c r="Z37"/>
      <c r="AA37" s="7"/>
      <c r="AB37" s="7"/>
      <c r="AC37"/>
      <c r="AD37"/>
    </row>
    <row r="38" spans="1:30" ht="19.8" thickBot="1" x14ac:dyDescent="0.55000000000000004">
      <c r="A38" s="63"/>
      <c r="B38" s="64"/>
      <c r="C38" s="64"/>
      <c r="D38" s="64"/>
      <c r="E38" s="65"/>
      <c r="F38" s="65"/>
      <c r="G38" s="65"/>
      <c r="H38" s="66"/>
      <c r="I38" s="66"/>
      <c r="J38" s="66"/>
      <c r="K38" s="66"/>
      <c r="L38" s="66"/>
      <c r="M38" s="66"/>
      <c r="N38" s="66"/>
      <c r="O38" s="64"/>
      <c r="P38" s="64"/>
      <c r="Q38" s="64"/>
      <c r="R38" s="67"/>
      <c r="S38" s="67"/>
      <c r="T38" s="64"/>
      <c r="U38" s="68"/>
      <c r="V38" s="7"/>
      <c r="W38" s="7"/>
      <c r="X38" s="62"/>
      <c r="Y38"/>
      <c r="Z38"/>
      <c r="AA38" s="7"/>
      <c r="AB38" s="7"/>
      <c r="AC38"/>
      <c r="AD38"/>
    </row>
    <row r="39" spans="1:30" ht="19.8" thickBot="1" x14ac:dyDescent="0.55000000000000004">
      <c r="A39" s="70"/>
      <c r="B39" s="71"/>
      <c r="C39" s="71"/>
      <c r="D39" s="71"/>
      <c r="E39" s="72"/>
      <c r="F39" s="72"/>
      <c r="G39" s="72"/>
      <c r="H39" s="73"/>
      <c r="I39" s="73"/>
      <c r="J39" s="73"/>
      <c r="K39" s="73"/>
      <c r="L39" s="73"/>
      <c r="M39" s="73"/>
      <c r="N39" s="73"/>
      <c r="O39" s="71"/>
      <c r="P39" s="71"/>
      <c r="Q39" s="71"/>
      <c r="R39" s="74"/>
      <c r="S39" s="74"/>
      <c r="T39" s="71"/>
      <c r="U39" s="68"/>
      <c r="V39" s="7"/>
      <c r="W39" s="7"/>
      <c r="X39" s="62"/>
      <c r="Y39"/>
      <c r="Z39"/>
      <c r="AA39" s="7"/>
      <c r="AB39" s="7"/>
      <c r="AC39"/>
      <c r="AD39"/>
    </row>
    <row r="40" spans="1:30" ht="19.8" thickBot="1" x14ac:dyDescent="0.55000000000000004">
      <c r="A40" s="63"/>
      <c r="B40" s="64"/>
      <c r="C40" s="64"/>
      <c r="D40" s="64"/>
      <c r="E40" s="65"/>
      <c r="F40" s="65"/>
      <c r="G40" s="65"/>
      <c r="H40" s="66"/>
      <c r="I40" s="66"/>
      <c r="J40" s="66"/>
      <c r="K40" s="66"/>
      <c r="L40" s="66"/>
      <c r="M40" s="66"/>
      <c r="N40" s="66"/>
      <c r="O40" s="64"/>
      <c r="P40" s="64"/>
      <c r="Q40" s="64"/>
      <c r="R40" s="67"/>
      <c r="S40" s="67"/>
      <c r="T40" s="64"/>
      <c r="U40" s="75"/>
      <c r="V40" s="7"/>
      <c r="W40" s="7"/>
      <c r="X40" s="62"/>
      <c r="Y40"/>
      <c r="Z40"/>
      <c r="AA40" s="7"/>
      <c r="AB40" s="7"/>
      <c r="AC40"/>
      <c r="AD40"/>
    </row>
    <row r="41" spans="1:30" ht="19.8" thickBot="1" x14ac:dyDescent="0.55000000000000004">
      <c r="A41" s="70"/>
      <c r="B41" s="71"/>
      <c r="C41" s="71"/>
      <c r="D41" s="71"/>
      <c r="E41" s="72"/>
      <c r="F41" s="72"/>
      <c r="G41" s="72"/>
      <c r="H41" s="73"/>
      <c r="I41" s="73"/>
      <c r="J41" s="73"/>
      <c r="K41" s="73"/>
      <c r="L41" s="73"/>
      <c r="M41" s="73"/>
      <c r="N41" s="73"/>
      <c r="O41" s="71"/>
      <c r="P41" s="71"/>
      <c r="Q41" s="71"/>
      <c r="R41" s="74"/>
      <c r="S41" s="74"/>
      <c r="T41" s="71"/>
      <c r="U41" s="68"/>
      <c r="V41" s="7"/>
      <c r="W41" s="7"/>
      <c r="X41" s="62"/>
      <c r="Y41"/>
      <c r="Z41"/>
      <c r="AA41" s="7"/>
      <c r="AB41" s="7"/>
      <c r="AC41"/>
      <c r="AD41"/>
    </row>
    <row r="42" spans="1:30" ht="19.8" thickBot="1" x14ac:dyDescent="0.55000000000000004">
      <c r="A42" s="63"/>
      <c r="B42" s="64"/>
      <c r="C42" s="64"/>
      <c r="D42" s="64"/>
      <c r="E42" s="65"/>
      <c r="F42" s="65"/>
      <c r="G42" s="65"/>
      <c r="H42" s="66"/>
      <c r="I42" s="66"/>
      <c r="J42" s="66"/>
      <c r="K42" s="66"/>
      <c r="L42" s="66"/>
      <c r="M42" s="66"/>
      <c r="N42" s="66"/>
      <c r="O42" s="64"/>
      <c r="P42" s="64"/>
      <c r="Q42" s="64"/>
      <c r="R42" s="67"/>
      <c r="S42" s="67"/>
      <c r="T42" s="64"/>
      <c r="U42" s="68"/>
      <c r="V42" s="7"/>
      <c r="W42" s="7"/>
      <c r="X42" s="62"/>
      <c r="Y42"/>
      <c r="Z42"/>
      <c r="AA42" s="7"/>
      <c r="AB42" s="7"/>
      <c r="AC42"/>
      <c r="AD42"/>
    </row>
    <row r="43" spans="1:30" ht="19.8" thickBot="1" x14ac:dyDescent="0.55000000000000004">
      <c r="A43" s="70"/>
      <c r="B43" s="71"/>
      <c r="C43" s="71"/>
      <c r="D43" s="71"/>
      <c r="E43" s="72"/>
      <c r="F43" s="72"/>
      <c r="G43" s="72"/>
      <c r="H43" s="73"/>
      <c r="I43" s="73"/>
      <c r="J43" s="73"/>
      <c r="K43" s="73"/>
      <c r="L43" s="73"/>
      <c r="M43" s="73"/>
      <c r="N43" s="73"/>
      <c r="O43" s="71"/>
      <c r="P43" s="71"/>
      <c r="Q43" s="71"/>
      <c r="R43" s="74"/>
      <c r="S43" s="71"/>
      <c r="T43" s="71"/>
      <c r="U43" s="75"/>
      <c r="V43" s="7"/>
      <c r="W43" s="7"/>
      <c r="X43" s="62"/>
      <c r="Y43"/>
      <c r="Z43"/>
      <c r="AA43" s="7"/>
      <c r="AB43" s="7"/>
      <c r="AC43"/>
      <c r="AD43"/>
    </row>
    <row r="44" spans="1:30" ht="19.8" thickBot="1" x14ac:dyDescent="0.55000000000000004">
      <c r="A44" s="63"/>
      <c r="B44" s="64"/>
      <c r="C44" s="64"/>
      <c r="D44" s="64"/>
      <c r="E44" s="65"/>
      <c r="F44" s="65"/>
      <c r="G44" s="65"/>
      <c r="H44" s="66"/>
      <c r="I44" s="66"/>
      <c r="J44" s="66"/>
      <c r="K44" s="66"/>
      <c r="L44" s="66"/>
      <c r="M44" s="66"/>
      <c r="N44" s="66"/>
      <c r="O44" s="64"/>
      <c r="P44" s="64"/>
      <c r="Q44" s="64"/>
      <c r="R44" s="67"/>
      <c r="S44" s="67"/>
      <c r="T44" s="64"/>
      <c r="U44" s="68"/>
      <c r="V44" s="7"/>
      <c r="W44" s="7"/>
      <c r="X44" s="62"/>
      <c r="Y44"/>
      <c r="Z44"/>
      <c r="AA44" s="7"/>
      <c r="AB44" s="7"/>
      <c r="AC44"/>
      <c r="AD44"/>
    </row>
    <row r="45" spans="1:30" ht="19.8" thickBot="1" x14ac:dyDescent="0.55000000000000004">
      <c r="A45" s="50"/>
      <c r="B45" s="8"/>
      <c r="C45" s="8"/>
      <c r="D45" s="8"/>
      <c r="E45" s="54"/>
      <c r="F45" s="54"/>
      <c r="G45" s="54"/>
      <c r="H45" s="9"/>
      <c r="I45" s="9"/>
      <c r="J45" s="9"/>
      <c r="K45" s="9"/>
      <c r="L45" s="9"/>
      <c r="M45" s="9"/>
      <c r="N45" s="9"/>
      <c r="O45" s="8"/>
      <c r="P45" s="8"/>
      <c r="Q45" s="8"/>
      <c r="R45" s="10"/>
      <c r="S45" s="10"/>
      <c r="T45" s="8"/>
      <c r="U45" s="12"/>
      <c r="V45" s="7"/>
      <c r="W45" s="7"/>
      <c r="X45" s="7"/>
      <c r="Y45" s="7"/>
      <c r="Z45" s="7"/>
      <c r="AA45" s="7"/>
      <c r="AB45" s="7"/>
      <c r="AC45"/>
      <c r="AD45"/>
    </row>
    <row r="46" spans="1:30" ht="19.8" thickBot="1" x14ac:dyDescent="0.55000000000000004">
      <c r="A46" s="79"/>
      <c r="B46" s="82"/>
      <c r="C46" s="82"/>
      <c r="D46" s="82"/>
      <c r="E46" s="85"/>
      <c r="F46" s="85"/>
      <c r="G46" s="85"/>
      <c r="H46" s="88"/>
      <c r="I46" s="88"/>
      <c r="J46" s="88"/>
      <c r="K46" s="88"/>
      <c r="L46" s="88"/>
      <c r="M46" s="88"/>
      <c r="N46" s="88"/>
      <c r="O46" s="82"/>
      <c r="P46" s="82"/>
      <c r="Q46" s="82"/>
      <c r="R46" s="91"/>
      <c r="S46" s="91"/>
      <c r="T46" s="82"/>
      <c r="U46" s="12"/>
      <c r="V46" s="7"/>
      <c r="W46" s="7"/>
      <c r="X46" s="7"/>
      <c r="Y46" s="7"/>
      <c r="Z46" s="7"/>
      <c r="AA46" s="7"/>
      <c r="AB46" s="7"/>
      <c r="AC46"/>
      <c r="AD46"/>
    </row>
    <row r="47" spans="1:30" ht="19.8" thickBot="1" x14ac:dyDescent="0.55000000000000004">
      <c r="A47" s="80"/>
      <c r="B47" s="83"/>
      <c r="C47" s="83"/>
      <c r="D47" s="83"/>
      <c r="E47" s="86"/>
      <c r="F47" s="86"/>
      <c r="G47" s="86"/>
      <c r="H47" s="89"/>
      <c r="I47" s="89"/>
      <c r="J47" s="89"/>
      <c r="K47" s="89"/>
      <c r="L47" s="89"/>
      <c r="M47" s="89"/>
      <c r="N47" s="89"/>
      <c r="O47" s="83"/>
      <c r="P47" s="83"/>
      <c r="Q47" s="83"/>
      <c r="R47" s="92"/>
      <c r="S47" s="83"/>
      <c r="T47" s="83"/>
      <c r="U47" s="13"/>
      <c r="V47" s="7"/>
      <c r="W47" s="7"/>
      <c r="X47" s="7"/>
      <c r="Y47" s="7"/>
      <c r="Z47" s="7"/>
      <c r="AA47" s="7"/>
      <c r="AB47" s="7"/>
      <c r="AC47"/>
      <c r="AD47"/>
    </row>
    <row r="48" spans="1:30" ht="19.8" thickBot="1" x14ac:dyDescent="0.55000000000000004">
      <c r="A48" s="79"/>
      <c r="B48" s="82"/>
      <c r="C48" s="82"/>
      <c r="D48" s="82"/>
      <c r="E48" s="85"/>
      <c r="F48" s="85"/>
      <c r="G48" s="85"/>
      <c r="H48" s="88"/>
      <c r="I48" s="88"/>
      <c r="J48" s="88"/>
      <c r="K48" s="88"/>
      <c r="L48" s="88"/>
      <c r="M48" s="88"/>
      <c r="N48" s="88"/>
      <c r="O48" s="82"/>
      <c r="P48" s="82"/>
      <c r="Q48" s="82"/>
      <c r="R48" s="91"/>
      <c r="S48" s="82"/>
      <c r="T48" s="82"/>
      <c r="U48" s="11"/>
      <c r="V48" s="7"/>
      <c r="W48" s="7"/>
      <c r="X48" s="7"/>
      <c r="Y48" s="7"/>
      <c r="Z48" s="7"/>
      <c r="AA48" s="7"/>
      <c r="AB48" s="7"/>
      <c r="AC48"/>
      <c r="AD48"/>
    </row>
    <row r="49" spans="1:30" ht="19.8" thickBot="1" x14ac:dyDescent="0.55000000000000004">
      <c r="A49" s="80"/>
      <c r="B49" s="83"/>
      <c r="C49" s="83"/>
      <c r="D49" s="83"/>
      <c r="E49" s="86"/>
      <c r="F49" s="86"/>
      <c r="G49" s="86"/>
      <c r="H49" s="89"/>
      <c r="I49" s="89"/>
      <c r="J49" s="89"/>
      <c r="K49" s="89"/>
      <c r="L49" s="89"/>
      <c r="M49" s="89"/>
      <c r="N49" s="89"/>
      <c r="O49" s="83"/>
      <c r="P49" s="83"/>
      <c r="Q49" s="83"/>
      <c r="R49" s="92"/>
      <c r="S49" s="92"/>
      <c r="T49" s="83"/>
      <c r="U49" s="6"/>
      <c r="V49" s="7"/>
      <c r="W49" s="7"/>
      <c r="X49" s="7"/>
      <c r="Y49" s="7"/>
      <c r="Z49" s="7"/>
      <c r="AA49" s="7"/>
      <c r="AB49" s="7"/>
      <c r="AC49"/>
      <c r="AD49"/>
    </row>
    <row r="50" spans="1:30" ht="19.8" thickBot="1" x14ac:dyDescent="0.55000000000000004">
      <c r="A50" s="79"/>
      <c r="B50" s="82"/>
      <c r="C50" s="82"/>
      <c r="D50" s="82"/>
      <c r="E50" s="85"/>
      <c r="F50" s="85"/>
      <c r="G50" s="85"/>
      <c r="H50" s="88"/>
      <c r="I50" s="88"/>
      <c r="J50" s="88"/>
      <c r="K50" s="88"/>
      <c r="L50" s="88"/>
      <c r="M50" s="88"/>
      <c r="N50" s="88"/>
      <c r="O50" s="82"/>
      <c r="P50" s="82"/>
      <c r="Q50" s="82"/>
      <c r="R50" s="91"/>
      <c r="S50" s="91"/>
      <c r="T50" s="82"/>
      <c r="U50" s="12"/>
      <c r="V50" s="7"/>
      <c r="W50" s="7"/>
      <c r="X50" s="7"/>
      <c r="Y50" s="7"/>
      <c r="Z50" s="7"/>
      <c r="AA50" s="7"/>
      <c r="AB50" s="7"/>
      <c r="AC50"/>
      <c r="AD50"/>
    </row>
    <row r="51" spans="1:30" ht="19.8" thickBot="1" x14ac:dyDescent="0.55000000000000004">
      <c r="A51" s="80"/>
      <c r="B51" s="83"/>
      <c r="C51" s="83"/>
      <c r="D51" s="83"/>
      <c r="E51" s="86"/>
      <c r="F51" s="86"/>
      <c r="G51" s="86"/>
      <c r="H51" s="89"/>
      <c r="I51" s="89"/>
      <c r="J51" s="89"/>
      <c r="K51" s="89"/>
      <c r="L51" s="89"/>
      <c r="M51" s="89"/>
      <c r="N51" s="89"/>
      <c r="O51" s="83"/>
      <c r="P51" s="83"/>
      <c r="Q51" s="83"/>
      <c r="R51" s="92"/>
      <c r="S51" s="92"/>
      <c r="T51" s="83"/>
      <c r="U51" s="6"/>
      <c r="V51" s="7"/>
      <c r="W51" s="7"/>
      <c r="X51" s="7"/>
      <c r="Y51" s="7"/>
      <c r="Z51" s="7"/>
      <c r="AA51" s="7"/>
      <c r="AB51" s="7"/>
      <c r="AC51"/>
      <c r="AD51"/>
    </row>
    <row r="52" spans="1:30" ht="19.8" thickBot="1" x14ac:dyDescent="0.55000000000000004">
      <c r="A52" s="79"/>
      <c r="B52" s="82"/>
      <c r="C52" s="82"/>
      <c r="D52" s="82"/>
      <c r="E52" s="85"/>
      <c r="F52" s="85"/>
      <c r="G52" s="85"/>
      <c r="H52" s="88"/>
      <c r="I52" s="88"/>
      <c r="J52" s="88"/>
      <c r="K52" s="88"/>
      <c r="L52" s="88"/>
      <c r="M52" s="88"/>
      <c r="N52" s="88"/>
      <c r="O52" s="82"/>
      <c r="P52" s="82"/>
      <c r="Q52" s="82"/>
      <c r="R52" s="91"/>
      <c r="S52" s="91"/>
      <c r="T52" s="82"/>
      <c r="U52" s="12"/>
      <c r="V52" s="7"/>
      <c r="W52" s="7"/>
      <c r="X52" s="7"/>
      <c r="Y52" s="7"/>
      <c r="Z52" s="7"/>
      <c r="AA52" s="7"/>
      <c r="AB52" s="7"/>
      <c r="AC52"/>
      <c r="AD52"/>
    </row>
    <row r="53" spans="1:30" ht="19.8" thickBot="1" x14ac:dyDescent="0.55000000000000004">
      <c r="A53" s="80"/>
      <c r="B53" s="83"/>
      <c r="C53" s="83"/>
      <c r="D53" s="83"/>
      <c r="E53" s="86"/>
      <c r="F53" s="86"/>
      <c r="G53" s="86"/>
      <c r="H53" s="89"/>
      <c r="I53" s="89"/>
      <c r="J53" s="89"/>
      <c r="K53" s="89"/>
      <c r="L53" s="89"/>
      <c r="M53" s="89"/>
      <c r="N53" s="89"/>
      <c r="O53" s="83"/>
      <c r="P53" s="83"/>
      <c r="Q53" s="83"/>
      <c r="R53" s="92"/>
      <c r="S53" s="83"/>
      <c r="T53" s="83"/>
      <c r="U53" s="6"/>
      <c r="V53" s="7"/>
      <c r="W53" s="7"/>
      <c r="X53" s="7"/>
      <c r="Y53" s="7"/>
      <c r="Z53" s="7"/>
      <c r="AA53" s="7"/>
      <c r="AB53" s="7"/>
      <c r="AC53"/>
      <c r="AD53"/>
    </row>
    <row r="54" spans="1:30" ht="19.8" thickBot="1" x14ac:dyDescent="0.55000000000000004">
      <c r="A54" s="79"/>
      <c r="B54" s="82"/>
      <c r="C54" s="82"/>
      <c r="D54" s="82"/>
      <c r="E54" s="85"/>
      <c r="F54" s="85"/>
      <c r="G54" s="85"/>
      <c r="H54" s="88"/>
      <c r="I54" s="88"/>
      <c r="J54" s="88"/>
      <c r="K54" s="88"/>
      <c r="L54" s="88"/>
      <c r="M54" s="88"/>
      <c r="N54" s="88"/>
      <c r="O54" s="82"/>
      <c r="P54" s="82"/>
      <c r="Q54" s="82"/>
      <c r="R54" s="91"/>
      <c r="S54" s="91"/>
      <c r="T54" s="82"/>
      <c r="U54" s="12"/>
      <c r="V54" s="7"/>
      <c r="W54" s="7"/>
      <c r="X54" s="7"/>
      <c r="Y54" s="7"/>
      <c r="Z54" s="7"/>
      <c r="AA54" s="7"/>
      <c r="AB54" s="7"/>
      <c r="AC54"/>
      <c r="AD54"/>
    </row>
    <row r="55" spans="1:30" ht="19.8" thickBot="1" x14ac:dyDescent="0.55000000000000004">
      <c r="A55" s="80"/>
      <c r="B55" s="83"/>
      <c r="C55" s="83"/>
      <c r="D55" s="83"/>
      <c r="E55" s="86"/>
      <c r="F55" s="86"/>
      <c r="G55" s="86"/>
      <c r="H55" s="89"/>
      <c r="I55" s="89"/>
      <c r="J55" s="89"/>
      <c r="K55" s="89"/>
      <c r="L55" s="89"/>
      <c r="M55" s="89"/>
      <c r="N55" s="89"/>
      <c r="O55" s="83"/>
      <c r="P55" s="83"/>
      <c r="Q55" s="83"/>
      <c r="R55" s="92"/>
      <c r="S55" s="92"/>
      <c r="T55" s="83"/>
      <c r="U55" s="6"/>
      <c r="V55" s="7"/>
      <c r="W55" s="7"/>
      <c r="X55" s="7"/>
      <c r="Y55" s="7"/>
      <c r="Z55" s="7"/>
      <c r="AA55" s="7"/>
      <c r="AB55" s="7"/>
      <c r="AC55"/>
      <c r="AD55"/>
    </row>
    <row r="56" spans="1:30" ht="19.8" thickBot="1" x14ac:dyDescent="0.55000000000000004">
      <c r="A56" s="79"/>
      <c r="B56" s="82"/>
      <c r="C56" s="82"/>
      <c r="D56" s="82"/>
      <c r="E56" s="85"/>
      <c r="F56" s="85"/>
      <c r="G56" s="85"/>
      <c r="H56" s="88"/>
      <c r="I56" s="88"/>
      <c r="J56" s="88"/>
      <c r="K56" s="88"/>
      <c r="L56" s="88"/>
      <c r="M56" s="88"/>
      <c r="N56" s="88"/>
      <c r="O56" s="82"/>
      <c r="P56" s="82"/>
      <c r="Q56" s="82"/>
      <c r="R56" s="91"/>
      <c r="S56" s="82"/>
      <c r="T56" s="82"/>
      <c r="U56" s="12"/>
      <c r="V56" s="7"/>
      <c r="W56" s="7"/>
      <c r="X56" s="7"/>
      <c r="Y56" s="7"/>
      <c r="Z56" s="7"/>
      <c r="AA56" s="7"/>
      <c r="AB56" s="7"/>
      <c r="AC56"/>
      <c r="AD56"/>
    </row>
    <row r="57" spans="1:30" ht="19.8" thickBot="1" x14ac:dyDescent="0.55000000000000004">
      <c r="A57" s="80"/>
      <c r="B57" s="83"/>
      <c r="C57" s="83"/>
      <c r="D57" s="83"/>
      <c r="E57" s="86"/>
      <c r="F57" s="86"/>
      <c r="G57" s="86"/>
      <c r="H57" s="89"/>
      <c r="I57" s="89"/>
      <c r="J57" s="89"/>
      <c r="K57" s="89"/>
      <c r="L57" s="89"/>
      <c r="M57" s="89"/>
      <c r="N57" s="89"/>
      <c r="O57" s="83"/>
      <c r="P57" s="83"/>
      <c r="Q57" s="83"/>
      <c r="R57" s="92"/>
      <c r="S57" s="83"/>
      <c r="T57" s="83"/>
      <c r="U57" s="13"/>
      <c r="V57" s="7"/>
      <c r="W57" s="7"/>
      <c r="X57" s="7"/>
      <c r="Y57" s="7"/>
      <c r="Z57" s="7"/>
      <c r="AA57" s="7"/>
      <c r="AB57" s="7"/>
      <c r="AC57"/>
      <c r="AD57"/>
    </row>
    <row r="58" spans="1:30" ht="19.8" thickBot="1" x14ac:dyDescent="0.55000000000000004">
      <c r="A58" s="79"/>
      <c r="B58" s="82"/>
      <c r="C58" s="82"/>
      <c r="D58" s="82"/>
      <c r="E58" s="85"/>
      <c r="F58" s="85"/>
      <c r="G58" s="85"/>
      <c r="H58" s="88"/>
      <c r="I58" s="88"/>
      <c r="J58" s="88"/>
      <c r="K58" s="88"/>
      <c r="L58" s="88"/>
      <c r="M58" s="88"/>
      <c r="N58" s="88"/>
      <c r="O58" s="82"/>
      <c r="P58" s="82"/>
      <c r="Q58" s="82"/>
      <c r="R58" s="91"/>
      <c r="S58" s="82"/>
      <c r="T58" s="82"/>
      <c r="U58" s="11"/>
      <c r="V58" s="7"/>
      <c r="W58" s="7"/>
      <c r="X58" s="7"/>
      <c r="Y58" s="7"/>
      <c r="Z58" s="7"/>
      <c r="AA58" s="7"/>
      <c r="AB58" s="7"/>
      <c r="AC58"/>
      <c r="AD58"/>
    </row>
    <row r="59" spans="1:30" ht="19.8" thickBot="1" x14ac:dyDescent="0.55000000000000004">
      <c r="A59" s="80"/>
      <c r="B59" s="83"/>
      <c r="C59" s="83"/>
      <c r="D59" s="83"/>
      <c r="E59" s="86"/>
      <c r="F59" s="86"/>
      <c r="G59" s="86"/>
      <c r="H59" s="89"/>
      <c r="I59" s="89"/>
      <c r="J59" s="89"/>
      <c r="K59" s="89"/>
      <c r="L59" s="89"/>
      <c r="M59" s="89"/>
      <c r="N59" s="89"/>
      <c r="O59" s="83"/>
      <c r="P59" s="83"/>
      <c r="Q59" s="83"/>
      <c r="R59" s="92"/>
      <c r="S59" s="92"/>
      <c r="T59" s="83"/>
      <c r="U59" s="6"/>
      <c r="V59" s="7"/>
      <c r="W59" s="7"/>
      <c r="X59" s="7"/>
      <c r="Y59" s="7"/>
      <c r="Z59" s="7"/>
      <c r="AA59" s="7"/>
      <c r="AB59" s="7"/>
      <c r="AC59"/>
      <c r="AD59"/>
    </row>
    <row r="60" spans="1:30" ht="19.8" thickBot="1" x14ac:dyDescent="0.55000000000000004">
      <c r="A60" s="79"/>
      <c r="B60" s="82"/>
      <c r="C60" s="82"/>
      <c r="D60" s="82"/>
      <c r="E60" s="85"/>
      <c r="F60" s="85"/>
      <c r="G60" s="85"/>
      <c r="H60" s="88"/>
      <c r="I60" s="88"/>
      <c r="J60" s="88"/>
      <c r="K60" s="88"/>
      <c r="L60" s="88"/>
      <c r="M60" s="88"/>
      <c r="N60" s="88"/>
      <c r="O60" s="82"/>
      <c r="P60" s="82"/>
      <c r="Q60" s="82"/>
      <c r="R60" s="91"/>
      <c r="S60" s="82"/>
      <c r="T60" s="82"/>
      <c r="U60" s="12"/>
      <c r="V60" s="7"/>
      <c r="W60" s="7"/>
      <c r="X60" s="7"/>
      <c r="Y60" s="7"/>
      <c r="Z60" s="7"/>
      <c r="AA60" s="7"/>
      <c r="AB60" s="7"/>
      <c r="AC60"/>
      <c r="AD60"/>
    </row>
    <row r="61" spans="1:30" ht="19.8" thickBot="1" x14ac:dyDescent="0.55000000000000004">
      <c r="A61" s="80"/>
      <c r="B61" s="83"/>
      <c r="C61" s="83"/>
      <c r="D61" s="83"/>
      <c r="E61" s="86"/>
      <c r="F61" s="86"/>
      <c r="G61" s="86"/>
      <c r="H61" s="89"/>
      <c r="I61" s="89"/>
      <c r="J61" s="89"/>
      <c r="K61" s="89"/>
      <c r="L61" s="89"/>
      <c r="M61" s="89"/>
      <c r="N61" s="89"/>
      <c r="O61" s="83"/>
      <c r="P61" s="83"/>
      <c r="Q61" s="83"/>
      <c r="R61" s="92"/>
      <c r="S61" s="83"/>
      <c r="T61" s="83"/>
      <c r="U61" s="13"/>
      <c r="V61" s="7"/>
      <c r="W61" s="7"/>
      <c r="X61" s="7"/>
      <c r="Y61" s="7"/>
      <c r="Z61" s="7"/>
      <c r="AA61" s="7"/>
      <c r="AB61" s="7"/>
      <c r="AC61"/>
      <c r="AD61"/>
    </row>
    <row r="62" spans="1:30" ht="19.8" thickBot="1" x14ac:dyDescent="0.55000000000000004">
      <c r="A62" s="79"/>
      <c r="B62" s="82"/>
      <c r="C62" s="82"/>
      <c r="D62" s="82"/>
      <c r="E62" s="85"/>
      <c r="F62" s="85"/>
      <c r="G62" s="85"/>
      <c r="H62" s="88"/>
      <c r="I62" s="88"/>
      <c r="J62" s="88"/>
      <c r="K62" s="88"/>
      <c r="L62" s="88"/>
      <c r="M62" s="88"/>
      <c r="N62" s="88"/>
      <c r="O62" s="82"/>
      <c r="P62" s="82"/>
      <c r="Q62" s="82"/>
      <c r="R62" s="91"/>
      <c r="S62" s="91"/>
      <c r="T62" s="82"/>
      <c r="U62" s="12"/>
      <c r="V62" s="7"/>
      <c r="W62" s="7"/>
      <c r="X62" s="7"/>
      <c r="Y62" s="7"/>
      <c r="Z62" s="7"/>
      <c r="AA62" s="7"/>
      <c r="AB62" s="7"/>
      <c r="AC62"/>
      <c r="AD62"/>
    </row>
    <row r="63" spans="1:30" ht="19.8" thickBot="1" x14ac:dyDescent="0.55000000000000004">
      <c r="A63" s="78"/>
      <c r="B63" s="81"/>
      <c r="C63" s="81"/>
      <c r="D63" s="81"/>
      <c r="E63" s="84"/>
      <c r="F63" s="84"/>
      <c r="G63" s="84"/>
      <c r="H63" s="87"/>
      <c r="I63" s="87"/>
      <c r="J63" s="87"/>
      <c r="K63" s="87"/>
      <c r="L63" s="87"/>
      <c r="M63" s="87"/>
      <c r="N63" s="87"/>
      <c r="O63" s="81"/>
      <c r="P63" s="81"/>
      <c r="Q63" s="81"/>
      <c r="R63" s="90"/>
      <c r="S63" s="90"/>
      <c r="T63" s="81"/>
      <c r="U63" s="93"/>
      <c r="V63" s="7"/>
      <c r="W63" s="7"/>
      <c r="X63" s="7"/>
      <c r="Y63" s="7"/>
      <c r="Z63" s="7"/>
      <c r="AA63" s="7"/>
      <c r="AB63" s="7"/>
      <c r="AC63"/>
      <c r="AD63"/>
    </row>
    <row r="64" spans="1:30" ht="19.8" thickBot="1" x14ac:dyDescent="0.55000000000000004">
      <c r="A64" s="51"/>
      <c r="B64" s="7"/>
      <c r="C64" s="7"/>
      <c r="D64" s="7"/>
      <c r="E64" s="51"/>
      <c r="F64" s="51"/>
      <c r="G64" s="51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/>
      <c r="AD64"/>
    </row>
    <row r="65" spans="1:30" ht="19.8" thickBot="1" x14ac:dyDescent="0.55000000000000004">
      <c r="A65" s="51"/>
      <c r="B65" s="7"/>
      <c r="C65" s="7"/>
      <c r="D65" s="7"/>
      <c r="E65" s="51"/>
      <c r="F65" s="51"/>
      <c r="G65" s="51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/>
      <c r="AD65"/>
    </row>
    <row r="66" spans="1:30" ht="19.8" thickBot="1" x14ac:dyDescent="0.55000000000000004">
      <c r="A66" s="51"/>
      <c r="B66" s="7"/>
      <c r="C66" s="7"/>
      <c r="D66" s="7"/>
      <c r="E66" s="51"/>
      <c r="F66" s="51"/>
      <c r="G66" s="51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/>
      <c r="AD66"/>
    </row>
    <row r="67" spans="1:30" ht="19.8" thickBot="1" x14ac:dyDescent="0.55000000000000004">
      <c r="A67" s="51"/>
      <c r="B67" s="7"/>
      <c r="C67" s="7"/>
      <c r="D67" s="7"/>
      <c r="E67" s="51"/>
      <c r="F67" s="51"/>
      <c r="G67" s="51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/>
      <c r="AD67"/>
    </row>
    <row r="68" spans="1:30" ht="19.8" thickBot="1" x14ac:dyDescent="0.55000000000000004">
      <c r="A68" s="51"/>
      <c r="B68" s="7"/>
      <c r="C68" s="7"/>
      <c r="D68" s="7"/>
      <c r="E68" s="51"/>
      <c r="F68" s="51"/>
      <c r="G68" s="51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/>
      <c r="AD68"/>
    </row>
    <row r="69" spans="1:30" ht="19.8" thickBot="1" x14ac:dyDescent="0.55000000000000004">
      <c r="A69" s="51"/>
      <c r="B69" s="7"/>
      <c r="C69" s="7"/>
      <c r="D69" s="7"/>
      <c r="E69" s="51"/>
      <c r="F69" s="51"/>
      <c r="G69" s="51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/>
      <c r="AD69"/>
    </row>
    <row r="70" spans="1:30" ht="19.8" thickBot="1" x14ac:dyDescent="0.55000000000000004">
      <c r="A70" s="51"/>
      <c r="B70" s="7"/>
      <c r="C70" s="7"/>
      <c r="D70" s="7"/>
      <c r="E70" s="51"/>
      <c r="F70" s="51"/>
      <c r="G70" s="51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/>
      <c r="AD70"/>
    </row>
    <row r="71" spans="1:30" ht="19.8" thickBot="1" x14ac:dyDescent="0.55000000000000004">
      <c r="A71" s="51"/>
      <c r="B71" s="7"/>
      <c r="C71" s="7"/>
      <c r="D71" s="7"/>
      <c r="E71" s="51"/>
      <c r="F71" s="51"/>
      <c r="G71" s="51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/>
      <c r="AD71"/>
    </row>
    <row r="72" spans="1:30" ht="19.8" thickBot="1" x14ac:dyDescent="0.55000000000000004">
      <c r="A72" s="51"/>
      <c r="B72" s="7"/>
      <c r="C72" s="7"/>
      <c r="D72" s="7"/>
      <c r="E72" s="51"/>
      <c r="F72" s="51"/>
      <c r="G72" s="51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/>
      <c r="AD72"/>
    </row>
    <row r="73" spans="1:30" ht="19.8" thickBot="1" x14ac:dyDescent="0.55000000000000004">
      <c r="A73" s="51"/>
      <c r="B73" s="7"/>
      <c r="C73" s="7"/>
      <c r="D73" s="7"/>
      <c r="E73" s="51"/>
      <c r="F73" s="51"/>
      <c r="G73" s="51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/>
      <c r="AD73"/>
    </row>
    <row r="74" spans="1:30" ht="19.8" thickBot="1" x14ac:dyDescent="0.55000000000000004">
      <c r="A74" s="51"/>
      <c r="B74" s="7"/>
      <c r="C74" s="7"/>
      <c r="D74" s="7"/>
      <c r="E74" s="51"/>
      <c r="F74" s="51"/>
      <c r="G74" s="51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/>
      <c r="AD74"/>
    </row>
    <row r="75" spans="1:30" ht="19.8" thickBot="1" x14ac:dyDescent="0.55000000000000004">
      <c r="A75" s="51"/>
      <c r="B75" s="7"/>
      <c r="C75" s="7"/>
      <c r="D75" s="7"/>
      <c r="E75" s="51"/>
      <c r="F75" s="51"/>
      <c r="G75" s="51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/>
      <c r="AD75"/>
    </row>
    <row r="76" spans="1:30" ht="19.8" thickBot="1" x14ac:dyDescent="0.55000000000000004">
      <c r="A76" s="51"/>
      <c r="B76" s="7"/>
      <c r="C76" s="7"/>
      <c r="D76" s="7"/>
      <c r="E76" s="51"/>
      <c r="F76" s="51"/>
      <c r="G76" s="51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/>
      <c r="AD76"/>
    </row>
    <row r="77" spans="1:30" ht="19.8" thickBot="1" x14ac:dyDescent="0.55000000000000004">
      <c r="A77" s="51"/>
      <c r="B77" s="7"/>
      <c r="C77" s="7"/>
      <c r="D77" s="7"/>
      <c r="E77" s="51"/>
      <c r="F77" s="51"/>
      <c r="G77" s="51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/>
      <c r="AD77"/>
    </row>
    <row r="78" spans="1:30" ht="19.8" thickBot="1" x14ac:dyDescent="0.55000000000000004">
      <c r="A78" s="51"/>
      <c r="B78" s="7"/>
      <c r="C78" s="7"/>
      <c r="D78" s="7"/>
      <c r="E78" s="51"/>
      <c r="F78" s="51"/>
      <c r="G78" s="51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/>
      <c r="AD78"/>
    </row>
    <row r="79" spans="1:30" ht="19.8" thickBot="1" x14ac:dyDescent="0.55000000000000004">
      <c r="A79" s="51"/>
      <c r="B79" s="7"/>
      <c r="C79" s="7"/>
      <c r="D79" s="7"/>
      <c r="E79" s="51"/>
      <c r="F79" s="51"/>
      <c r="G79" s="51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/>
      <c r="AD79"/>
    </row>
    <row r="80" spans="1:30" ht="19.8" thickBot="1" x14ac:dyDescent="0.55000000000000004">
      <c r="A80" s="51"/>
      <c r="B80" s="7"/>
      <c r="C80" s="7"/>
      <c r="D80" s="7"/>
      <c r="E80" s="51"/>
      <c r="F80" s="51"/>
      <c r="G80" s="51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/>
      <c r="AD80"/>
    </row>
    <row r="81" spans="1:30" ht="19.8" thickBot="1" x14ac:dyDescent="0.55000000000000004">
      <c r="A81" s="51"/>
      <c r="B81" s="7"/>
      <c r="C81" s="7"/>
      <c r="D81" s="7"/>
      <c r="E81" s="51"/>
      <c r="F81" s="51"/>
      <c r="G81" s="51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/>
      <c r="AD81"/>
    </row>
    <row r="82" spans="1:30" ht="19.8" thickBot="1" x14ac:dyDescent="0.55000000000000004">
      <c r="A82" s="51"/>
      <c r="B82" s="7"/>
      <c r="C82" s="7"/>
      <c r="D82" s="7"/>
      <c r="E82" s="51"/>
      <c r="F82" s="51"/>
      <c r="G82" s="51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/>
      <c r="AD82"/>
    </row>
    <row r="83" spans="1:30" ht="19.8" thickBot="1" x14ac:dyDescent="0.55000000000000004">
      <c r="A83" s="51"/>
      <c r="B83" s="7"/>
      <c r="C83" s="7"/>
      <c r="D83" s="7"/>
      <c r="E83" s="51"/>
      <c r="F83" s="51"/>
      <c r="G83" s="51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/>
      <c r="AD83"/>
    </row>
    <row r="84" spans="1:30" ht="19.8" thickBot="1" x14ac:dyDescent="0.55000000000000004">
      <c r="A84" s="51"/>
      <c r="B84" s="7"/>
      <c r="C84" s="7"/>
      <c r="D84" s="7"/>
      <c r="E84" s="51"/>
      <c r="F84" s="51"/>
      <c r="G84" s="51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/>
      <c r="AD84"/>
    </row>
    <row r="85" spans="1:30" ht="19.8" thickBot="1" x14ac:dyDescent="0.55000000000000004">
      <c r="A85" s="51"/>
      <c r="B85" s="7"/>
      <c r="C85" s="7"/>
      <c r="D85" s="7"/>
      <c r="E85" s="51"/>
      <c r="F85" s="51"/>
      <c r="G85" s="51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/>
      <c r="AD85"/>
    </row>
    <row r="86" spans="1:30" ht="19.8" thickBot="1" x14ac:dyDescent="0.55000000000000004">
      <c r="A86" s="51"/>
      <c r="B86" s="7"/>
      <c r="C86" s="7"/>
      <c r="D86" s="7"/>
      <c r="E86" s="51"/>
      <c r="F86" s="51"/>
      <c r="G86" s="51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/>
      <c r="AD86"/>
    </row>
    <row r="87" spans="1:30" ht="19.8" thickBot="1" x14ac:dyDescent="0.55000000000000004">
      <c r="A87" s="51"/>
      <c r="B87" s="7"/>
      <c r="C87" s="7"/>
      <c r="D87" s="7"/>
      <c r="E87" s="51"/>
      <c r="F87" s="51"/>
      <c r="G87" s="51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/>
      <c r="AD87"/>
    </row>
    <row r="88" spans="1:30" ht="19.8" thickBot="1" x14ac:dyDescent="0.55000000000000004">
      <c r="A88" s="51"/>
      <c r="B88" s="7"/>
      <c r="C88" s="7"/>
      <c r="D88" s="7"/>
      <c r="E88" s="51"/>
      <c r="F88" s="51"/>
      <c r="G88" s="51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/>
      <c r="AD88"/>
    </row>
    <row r="89" spans="1:30" ht="19.8" thickBot="1" x14ac:dyDescent="0.55000000000000004">
      <c r="A89" s="51"/>
      <c r="B89" s="7"/>
      <c r="C89" s="7"/>
      <c r="D89" s="7"/>
      <c r="E89" s="51"/>
      <c r="F89" s="51"/>
      <c r="G89" s="51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/>
      <c r="AD89"/>
    </row>
    <row r="90" spans="1:30" ht="19.8" thickBot="1" x14ac:dyDescent="0.55000000000000004">
      <c r="A90" s="51"/>
      <c r="B90" s="7"/>
      <c r="C90" s="7"/>
      <c r="D90" s="7"/>
      <c r="E90" s="51"/>
      <c r="F90" s="51"/>
      <c r="G90" s="51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/>
      <c r="AD90"/>
    </row>
    <row r="91" spans="1:30" ht="19.8" thickBot="1" x14ac:dyDescent="0.55000000000000004">
      <c r="A91" s="51"/>
      <c r="B91" s="7"/>
      <c r="C91" s="7"/>
      <c r="D91" s="7"/>
      <c r="E91" s="51"/>
      <c r="F91" s="51"/>
      <c r="G91" s="51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/>
      <c r="AD91"/>
    </row>
    <row r="92" spans="1:30" ht="19.8" thickBot="1" x14ac:dyDescent="0.55000000000000004">
      <c r="A92" s="51"/>
      <c r="B92" s="7"/>
      <c r="C92" s="7"/>
      <c r="D92" s="7"/>
      <c r="E92" s="51"/>
      <c r="F92" s="51"/>
      <c r="G92" s="51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/>
      <c r="AD92"/>
    </row>
    <row r="93" spans="1:30" ht="19.8" thickBot="1" x14ac:dyDescent="0.55000000000000004">
      <c r="A93" s="51"/>
      <c r="B93" s="7"/>
      <c r="C93" s="7"/>
      <c r="D93" s="7"/>
      <c r="E93" s="51"/>
      <c r="F93" s="51"/>
      <c r="G93" s="51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/>
      <c r="AD93"/>
    </row>
    <row r="94" spans="1:30" ht="19.8" thickBot="1" x14ac:dyDescent="0.55000000000000004">
      <c r="A94" s="51"/>
      <c r="B94" s="7"/>
      <c r="C94" s="7"/>
      <c r="D94" s="7"/>
      <c r="E94" s="51"/>
      <c r="F94" s="51"/>
      <c r="G94" s="51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/>
      <c r="AD94"/>
    </row>
    <row r="95" spans="1:30" ht="19.8" thickBot="1" x14ac:dyDescent="0.55000000000000004">
      <c r="A95" s="51"/>
      <c r="B95" s="7"/>
      <c r="C95" s="7"/>
      <c r="D95" s="7"/>
      <c r="E95" s="51"/>
      <c r="F95" s="51"/>
      <c r="G95" s="51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/>
      <c r="AD95"/>
    </row>
    <row r="96" spans="1:30" ht="19.8" thickBot="1" x14ac:dyDescent="0.55000000000000004">
      <c r="A96" s="51"/>
      <c r="B96" s="7"/>
      <c r="C96" s="7"/>
      <c r="D96" s="7"/>
      <c r="E96" s="51"/>
      <c r="F96" s="51"/>
      <c r="G96" s="51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/>
      <c r="AD96"/>
    </row>
    <row r="97" spans="1:30" ht="19.8" thickBot="1" x14ac:dyDescent="0.55000000000000004">
      <c r="A97" s="51"/>
      <c r="B97" s="7"/>
      <c r="C97" s="7"/>
      <c r="D97" s="7"/>
      <c r="E97" s="51"/>
      <c r="F97" s="51"/>
      <c r="G97" s="51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/>
      <c r="AD97"/>
    </row>
    <row r="98" spans="1:30" ht="19.8" thickBot="1" x14ac:dyDescent="0.55000000000000004">
      <c r="A98" s="51"/>
      <c r="B98" s="7"/>
      <c r="C98" s="7"/>
      <c r="D98" s="7"/>
      <c r="E98" s="51"/>
      <c r="F98" s="51"/>
      <c r="G98" s="51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/>
      <c r="AD98"/>
    </row>
    <row r="99" spans="1:30" ht="19.8" thickBot="1" x14ac:dyDescent="0.55000000000000004">
      <c r="A99" s="51"/>
      <c r="B99" s="7"/>
      <c r="C99" s="7"/>
      <c r="D99" s="7"/>
      <c r="E99" s="51"/>
      <c r="F99" s="51"/>
      <c r="G99" s="51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/>
      <c r="AD99"/>
    </row>
    <row r="100" spans="1:30" ht="19.8" thickBot="1" x14ac:dyDescent="0.55000000000000004">
      <c r="A100" s="51"/>
      <c r="B100" s="7"/>
      <c r="C100" s="7"/>
      <c r="D100" s="7"/>
      <c r="E100" s="51"/>
      <c r="F100" s="51"/>
      <c r="G100" s="51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/>
      <c r="AD100"/>
    </row>
    <row r="101" spans="1:30" ht="19.8" thickBot="1" x14ac:dyDescent="0.55000000000000004">
      <c r="A101" s="51"/>
      <c r="B101" s="7"/>
      <c r="C101" s="7"/>
      <c r="D101" s="7"/>
      <c r="E101" s="51"/>
      <c r="F101" s="51"/>
      <c r="G101" s="51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/>
      <c r="AD101"/>
    </row>
    <row r="102" spans="1:30" ht="19.8" thickBot="1" x14ac:dyDescent="0.55000000000000004">
      <c r="A102" s="51"/>
      <c r="B102" s="7"/>
      <c r="C102" s="7"/>
      <c r="D102" s="7"/>
      <c r="E102" s="51"/>
      <c r="F102" s="51"/>
      <c r="G102" s="51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/>
      <c r="AD102"/>
    </row>
    <row r="103" spans="1:30" ht="19.8" thickBot="1" x14ac:dyDescent="0.55000000000000004">
      <c r="A103" s="51"/>
      <c r="B103" s="7"/>
      <c r="C103" s="7"/>
      <c r="D103" s="7"/>
      <c r="E103" s="51"/>
      <c r="F103" s="51"/>
      <c r="G103" s="51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/>
      <c r="AD103"/>
    </row>
    <row r="104" spans="1:30" ht="19.8" thickBot="1" x14ac:dyDescent="0.55000000000000004">
      <c r="A104" s="51"/>
      <c r="B104" s="7"/>
      <c r="C104" s="7"/>
      <c r="D104" s="7"/>
      <c r="E104" s="51"/>
      <c r="F104" s="51"/>
      <c r="G104" s="51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/>
      <c r="AD104"/>
    </row>
    <row r="105" spans="1:30" ht="19.8" thickBot="1" x14ac:dyDescent="0.55000000000000004">
      <c r="A105" s="51"/>
      <c r="B105" s="7"/>
      <c r="C105" s="7"/>
      <c r="D105" s="7"/>
      <c r="E105" s="51"/>
      <c r="F105" s="51"/>
      <c r="G105" s="51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/>
      <c r="AD105"/>
    </row>
    <row r="106" spans="1:30" ht="19.8" thickBot="1" x14ac:dyDescent="0.55000000000000004">
      <c r="A106" s="51"/>
      <c r="B106" s="7"/>
      <c r="C106" s="7"/>
      <c r="D106" s="7"/>
      <c r="E106" s="51"/>
      <c r="F106" s="51"/>
      <c r="G106" s="51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/>
      <c r="AD106"/>
    </row>
    <row r="107" spans="1:30" ht="19.8" thickBot="1" x14ac:dyDescent="0.55000000000000004">
      <c r="A107" s="51"/>
      <c r="B107" s="7"/>
      <c r="C107" s="7"/>
      <c r="D107" s="7"/>
      <c r="E107" s="51"/>
      <c r="F107" s="51"/>
      <c r="G107" s="51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/>
      <c r="AD107"/>
    </row>
    <row r="108" spans="1:30" ht="19.8" thickBot="1" x14ac:dyDescent="0.55000000000000004">
      <c r="A108" s="51"/>
      <c r="B108" s="7"/>
      <c r="C108" s="7"/>
      <c r="D108" s="7"/>
      <c r="E108" s="51"/>
      <c r="F108" s="51"/>
      <c r="G108" s="51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/>
      <c r="AD108"/>
    </row>
    <row r="109" spans="1:30" ht="19.8" thickBot="1" x14ac:dyDescent="0.55000000000000004">
      <c r="A109" s="51"/>
      <c r="B109" s="7"/>
      <c r="C109" s="7"/>
      <c r="D109" s="7"/>
      <c r="E109" s="51"/>
      <c r="F109" s="51"/>
      <c r="G109" s="51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/>
      <c r="AD109"/>
    </row>
    <row r="110" spans="1:30" ht="19.8" thickBot="1" x14ac:dyDescent="0.55000000000000004">
      <c r="A110" s="51"/>
      <c r="B110" s="7"/>
      <c r="C110" s="7"/>
      <c r="D110" s="7"/>
      <c r="E110" s="51"/>
      <c r="F110" s="51"/>
      <c r="G110" s="51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/>
      <c r="AD110"/>
    </row>
    <row r="111" spans="1:30" ht="19.8" thickBot="1" x14ac:dyDescent="0.55000000000000004">
      <c r="A111" s="51"/>
      <c r="B111" s="7"/>
      <c r="C111" s="7"/>
      <c r="D111" s="7"/>
      <c r="E111" s="51"/>
      <c r="F111" s="51"/>
      <c r="G111" s="51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/>
      <c r="AD111"/>
    </row>
    <row r="112" spans="1:30" ht="19.8" thickBot="1" x14ac:dyDescent="0.55000000000000004">
      <c r="A112" s="51"/>
      <c r="B112" s="7"/>
      <c r="C112" s="7"/>
      <c r="D112" s="7"/>
      <c r="E112" s="51"/>
      <c r="F112" s="51"/>
      <c r="G112" s="51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/>
      <c r="AD112"/>
    </row>
    <row r="113" spans="1:30" ht="19.8" thickBot="1" x14ac:dyDescent="0.55000000000000004">
      <c r="A113" s="51"/>
      <c r="B113" s="7"/>
      <c r="C113" s="7"/>
      <c r="D113" s="7"/>
      <c r="E113" s="51"/>
      <c r="F113" s="51"/>
      <c r="G113" s="51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/>
      <c r="AD113"/>
    </row>
    <row r="114" spans="1:30" ht="19.8" thickBot="1" x14ac:dyDescent="0.55000000000000004">
      <c r="A114" s="51"/>
      <c r="B114" s="7"/>
      <c r="C114" s="7"/>
      <c r="D114" s="7"/>
      <c r="E114" s="51"/>
      <c r="F114" s="51"/>
      <c r="G114" s="51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/>
      <c r="AD114"/>
    </row>
    <row r="115" spans="1:30" ht="19.8" thickBot="1" x14ac:dyDescent="0.55000000000000004">
      <c r="A115" s="51"/>
      <c r="B115" s="7"/>
      <c r="C115" s="7"/>
      <c r="D115" s="7"/>
      <c r="E115" s="51"/>
      <c r="F115" s="51"/>
      <c r="G115" s="51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/>
      <c r="AD115"/>
    </row>
    <row r="116" spans="1:30" ht="19.8" thickBot="1" x14ac:dyDescent="0.55000000000000004">
      <c r="A116" s="51"/>
      <c r="B116" s="7"/>
      <c r="C116" s="7"/>
      <c r="D116" s="7"/>
      <c r="E116" s="51"/>
      <c r="F116" s="51"/>
      <c r="G116" s="51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/>
      <c r="AD116"/>
    </row>
    <row r="117" spans="1:30" ht="19.8" thickBot="1" x14ac:dyDescent="0.55000000000000004">
      <c r="A117" s="51"/>
      <c r="B117" s="7"/>
      <c r="C117" s="7"/>
      <c r="D117" s="7"/>
      <c r="E117" s="51"/>
      <c r="F117" s="51"/>
      <c r="G117" s="51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/>
      <c r="AD117"/>
    </row>
    <row r="118" spans="1:30" ht="19.8" thickBot="1" x14ac:dyDescent="0.55000000000000004">
      <c r="A118" s="51"/>
      <c r="B118" s="7"/>
      <c r="C118" s="7"/>
      <c r="D118" s="7"/>
      <c r="E118" s="51"/>
      <c r="F118" s="51"/>
      <c r="G118" s="51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/>
      <c r="AD118"/>
    </row>
    <row r="119" spans="1:30" ht="19.8" thickBot="1" x14ac:dyDescent="0.55000000000000004">
      <c r="A119" s="51"/>
      <c r="B119" s="7"/>
      <c r="C119" s="7"/>
      <c r="D119" s="7"/>
      <c r="E119" s="51"/>
      <c r="F119" s="51"/>
      <c r="G119" s="51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/>
      <c r="AD119"/>
    </row>
    <row r="120" spans="1:30" ht="19.8" thickBot="1" x14ac:dyDescent="0.55000000000000004">
      <c r="A120" s="51"/>
      <c r="B120" s="7"/>
      <c r="C120" s="7"/>
      <c r="D120" s="7"/>
      <c r="E120" s="51"/>
      <c r="F120" s="51"/>
      <c r="G120" s="51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/>
      <c r="AD120"/>
    </row>
    <row r="121" spans="1:30" ht="19.8" thickBot="1" x14ac:dyDescent="0.55000000000000004">
      <c r="A121" s="51"/>
      <c r="B121" s="7"/>
      <c r="C121" s="7"/>
      <c r="D121" s="7"/>
      <c r="E121" s="51"/>
      <c r="F121" s="51"/>
      <c r="G121" s="51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/>
      <c r="AD121"/>
    </row>
    <row r="122" spans="1:30" ht="19.8" thickBot="1" x14ac:dyDescent="0.55000000000000004">
      <c r="A122" s="51"/>
      <c r="B122" s="7"/>
      <c r="C122" s="7"/>
      <c r="D122" s="7"/>
      <c r="E122" s="51"/>
      <c r="F122" s="51"/>
      <c r="G122" s="51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/>
      <c r="AD122"/>
    </row>
    <row r="123" spans="1:30" ht="19.8" thickBot="1" x14ac:dyDescent="0.55000000000000004">
      <c r="A123" s="51"/>
      <c r="B123" s="7"/>
      <c r="C123" s="7"/>
      <c r="D123" s="7"/>
      <c r="E123" s="51"/>
      <c r="F123" s="51"/>
      <c r="G123" s="51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/>
      <c r="AD123"/>
    </row>
    <row r="124" spans="1:30" ht="19.8" thickBot="1" x14ac:dyDescent="0.55000000000000004">
      <c r="A124" s="51"/>
      <c r="B124" s="7"/>
      <c r="C124" s="7"/>
      <c r="D124" s="7"/>
      <c r="E124" s="51"/>
      <c r="F124" s="51"/>
      <c r="G124" s="51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/>
      <c r="AD124"/>
    </row>
    <row r="125" spans="1:30" ht="19.8" thickBot="1" x14ac:dyDescent="0.55000000000000004">
      <c r="A125" s="51"/>
      <c r="B125" s="7"/>
      <c r="C125" s="7"/>
      <c r="D125" s="7"/>
      <c r="E125" s="51"/>
      <c r="F125" s="51"/>
      <c r="G125" s="51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/>
      <c r="AD125"/>
    </row>
    <row r="126" spans="1:30" ht="19.8" thickBot="1" x14ac:dyDescent="0.55000000000000004">
      <c r="A126" s="51"/>
      <c r="B126" s="7"/>
      <c r="C126" s="7"/>
      <c r="D126" s="7"/>
      <c r="E126" s="51"/>
      <c r="F126" s="51"/>
      <c r="G126" s="51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/>
      <c r="AD126"/>
    </row>
    <row r="127" spans="1:30" ht="19.8" thickBot="1" x14ac:dyDescent="0.55000000000000004">
      <c r="A127" s="51"/>
      <c r="B127" s="7"/>
      <c r="C127" s="7"/>
      <c r="D127" s="7"/>
      <c r="E127" s="51"/>
      <c r="F127" s="51"/>
      <c r="G127" s="51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/>
      <c r="AD127"/>
    </row>
    <row r="128" spans="1:30" ht="19.8" thickBot="1" x14ac:dyDescent="0.55000000000000004">
      <c r="A128" s="51"/>
      <c r="B128" s="7"/>
      <c r="C128" s="7"/>
      <c r="D128" s="7"/>
      <c r="E128" s="51"/>
      <c r="F128" s="51"/>
      <c r="G128" s="51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/>
      <c r="AD128"/>
    </row>
    <row r="129" spans="1:30" ht="19.8" thickBot="1" x14ac:dyDescent="0.55000000000000004">
      <c r="A129" s="51"/>
      <c r="B129" s="7"/>
      <c r="C129" s="7"/>
      <c r="D129" s="7"/>
      <c r="E129" s="51"/>
      <c r="F129" s="51"/>
      <c r="G129" s="51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/>
      <c r="AD129"/>
    </row>
    <row r="130" spans="1:30" ht="19.8" thickBot="1" x14ac:dyDescent="0.55000000000000004">
      <c r="A130" s="51"/>
      <c r="B130" s="7"/>
      <c r="C130" s="7"/>
      <c r="D130" s="7"/>
      <c r="E130" s="51"/>
      <c r="F130" s="51"/>
      <c r="G130" s="51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/>
      <c r="AD130"/>
    </row>
    <row r="131" spans="1:30" ht="19.8" thickBot="1" x14ac:dyDescent="0.55000000000000004">
      <c r="A131" s="51"/>
      <c r="B131" s="7"/>
      <c r="C131" s="7"/>
      <c r="D131" s="7"/>
      <c r="E131" s="51"/>
      <c r="F131" s="51"/>
      <c r="G131" s="51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/>
      <c r="AD131"/>
    </row>
    <row r="132" spans="1:30" ht="19.8" thickBot="1" x14ac:dyDescent="0.55000000000000004">
      <c r="A132" s="51"/>
      <c r="B132" s="7"/>
      <c r="C132" s="7"/>
      <c r="D132" s="7"/>
      <c r="E132" s="51"/>
      <c r="F132" s="51"/>
      <c r="G132" s="51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/>
      <c r="AD132"/>
    </row>
    <row r="133" spans="1:30" ht="19.8" thickBot="1" x14ac:dyDescent="0.55000000000000004">
      <c r="A133" s="51"/>
      <c r="B133" s="7"/>
      <c r="C133" s="7"/>
      <c r="D133" s="7"/>
      <c r="E133" s="51"/>
      <c r="F133" s="51"/>
      <c r="G133" s="51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/>
      <c r="AD133"/>
    </row>
    <row r="134" spans="1:30" ht="19.8" thickBot="1" x14ac:dyDescent="0.55000000000000004">
      <c r="A134" s="51"/>
      <c r="B134" s="7"/>
      <c r="C134" s="7"/>
      <c r="D134" s="7"/>
      <c r="E134" s="51"/>
      <c r="F134" s="51"/>
      <c r="G134" s="51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/>
      <c r="AD134"/>
    </row>
    <row r="135" spans="1:30" ht="19.8" thickBot="1" x14ac:dyDescent="0.55000000000000004">
      <c r="A135" s="51"/>
      <c r="B135" s="7"/>
      <c r="C135" s="7"/>
      <c r="D135" s="7"/>
      <c r="E135" s="51"/>
      <c r="F135" s="51"/>
      <c r="G135" s="51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/>
      <c r="AD135"/>
    </row>
    <row r="136" spans="1:30" ht="19.8" thickBot="1" x14ac:dyDescent="0.55000000000000004">
      <c r="A136" s="51"/>
      <c r="B136" s="7"/>
      <c r="C136" s="7"/>
      <c r="D136" s="7"/>
      <c r="E136" s="51"/>
      <c r="F136" s="51"/>
      <c r="G136" s="51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/>
      <c r="AD136"/>
    </row>
    <row r="137" spans="1:30" ht="19.8" thickBot="1" x14ac:dyDescent="0.55000000000000004">
      <c r="A137" s="51"/>
      <c r="B137" s="7"/>
      <c r="C137" s="7"/>
      <c r="D137" s="7"/>
      <c r="E137" s="51"/>
      <c r="F137" s="51"/>
      <c r="G137" s="51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/>
      <c r="AD137"/>
    </row>
    <row r="138" spans="1:30" ht="19.8" thickBot="1" x14ac:dyDescent="0.55000000000000004">
      <c r="A138" s="51"/>
      <c r="B138" s="7"/>
      <c r="C138" s="7"/>
      <c r="D138" s="7"/>
      <c r="E138" s="51"/>
      <c r="F138" s="51"/>
      <c r="G138" s="51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/>
      <c r="AD138"/>
    </row>
    <row r="139" spans="1:30" ht="19.8" thickBot="1" x14ac:dyDescent="0.55000000000000004">
      <c r="A139" s="51"/>
      <c r="B139" s="7"/>
      <c r="C139" s="7"/>
      <c r="D139" s="7"/>
      <c r="E139" s="51"/>
      <c r="F139" s="51"/>
      <c r="G139" s="51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/>
      <c r="AD139"/>
    </row>
    <row r="140" spans="1:30" ht="19.8" thickBot="1" x14ac:dyDescent="0.55000000000000004">
      <c r="A140" s="51"/>
      <c r="B140" s="7"/>
      <c r="C140" s="7"/>
      <c r="D140" s="7"/>
      <c r="E140" s="51"/>
      <c r="F140" s="51"/>
      <c r="G140" s="51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/>
      <c r="AD140"/>
    </row>
    <row r="141" spans="1:30" ht="19.8" thickBot="1" x14ac:dyDescent="0.55000000000000004">
      <c r="A141" s="51"/>
      <c r="B141" s="7"/>
      <c r="C141" s="7"/>
      <c r="D141" s="7"/>
      <c r="E141" s="51"/>
      <c r="F141" s="51"/>
      <c r="G141" s="51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/>
      <c r="AD141"/>
    </row>
    <row r="142" spans="1:30" ht="19.8" thickBot="1" x14ac:dyDescent="0.55000000000000004">
      <c r="A142" s="51"/>
      <c r="B142" s="7"/>
      <c r="C142" s="7"/>
      <c r="D142" s="7"/>
      <c r="E142" s="51"/>
      <c r="F142" s="51"/>
      <c r="G142" s="51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/>
      <c r="AD142"/>
    </row>
    <row r="143" spans="1:30" ht="19.8" thickBot="1" x14ac:dyDescent="0.55000000000000004">
      <c r="A143" s="51"/>
      <c r="B143" s="7"/>
      <c r="C143" s="7"/>
      <c r="D143" s="7"/>
      <c r="E143" s="51"/>
      <c r="F143" s="51"/>
      <c r="G143" s="51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/>
      <c r="AD143"/>
    </row>
    <row r="144" spans="1:30" ht="19.8" thickBot="1" x14ac:dyDescent="0.55000000000000004">
      <c r="A144" s="51"/>
      <c r="B144" s="7"/>
      <c r="C144" s="7"/>
      <c r="D144" s="7"/>
      <c r="E144" s="51"/>
      <c r="F144" s="51"/>
      <c r="G144" s="51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/>
      <c r="AD144"/>
    </row>
    <row r="145" spans="1:30" ht="19.8" thickBot="1" x14ac:dyDescent="0.55000000000000004">
      <c r="A145" s="51"/>
      <c r="B145" s="7"/>
      <c r="C145" s="7"/>
      <c r="D145" s="7"/>
      <c r="E145" s="51"/>
      <c r="F145" s="51"/>
      <c r="G145" s="51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/>
      <c r="AD145"/>
    </row>
    <row r="146" spans="1:30" ht="19.8" thickBot="1" x14ac:dyDescent="0.55000000000000004">
      <c r="A146" s="51"/>
      <c r="B146" s="7"/>
      <c r="C146" s="7"/>
      <c r="D146" s="7"/>
      <c r="E146" s="51"/>
      <c r="F146" s="51"/>
      <c r="G146" s="51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/>
      <c r="AD146"/>
    </row>
    <row r="147" spans="1:30" ht="19.8" thickBot="1" x14ac:dyDescent="0.55000000000000004">
      <c r="A147" s="51"/>
      <c r="B147" s="7"/>
      <c r="C147" s="7"/>
      <c r="D147" s="7"/>
      <c r="E147" s="51"/>
      <c r="F147" s="51"/>
      <c r="G147" s="51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/>
      <c r="AD147"/>
    </row>
    <row r="148" spans="1:30" ht="19.8" thickBot="1" x14ac:dyDescent="0.55000000000000004">
      <c r="A148" s="51"/>
      <c r="B148" s="7"/>
      <c r="C148" s="7"/>
      <c r="D148" s="7"/>
      <c r="E148" s="51"/>
      <c r="F148" s="51"/>
      <c r="G148" s="51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/>
      <c r="AD148"/>
    </row>
    <row r="149" spans="1:30" ht="19.8" thickBot="1" x14ac:dyDescent="0.55000000000000004">
      <c r="A149" s="51"/>
      <c r="B149" s="7"/>
      <c r="C149" s="7"/>
      <c r="D149" s="7"/>
      <c r="E149" s="51"/>
      <c r="F149" s="51"/>
      <c r="G149" s="51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/>
      <c r="AD149"/>
    </row>
    <row r="150" spans="1:30" ht="19.8" thickBot="1" x14ac:dyDescent="0.55000000000000004">
      <c r="A150" s="51"/>
      <c r="B150" s="7"/>
      <c r="C150" s="7"/>
      <c r="D150" s="7"/>
      <c r="E150" s="51"/>
      <c r="F150" s="51"/>
      <c r="G150" s="51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/>
      <c r="AD150"/>
    </row>
    <row r="151" spans="1:30" ht="19.8" thickBot="1" x14ac:dyDescent="0.55000000000000004">
      <c r="A151" s="51"/>
      <c r="B151" s="7"/>
      <c r="C151" s="7"/>
      <c r="D151" s="7"/>
      <c r="E151" s="51"/>
      <c r="F151" s="51"/>
      <c r="G151" s="51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/>
      <c r="AD151"/>
    </row>
    <row r="152" spans="1:30" ht="19.8" thickBot="1" x14ac:dyDescent="0.55000000000000004">
      <c r="A152" s="51"/>
      <c r="B152" s="7"/>
      <c r="C152" s="7"/>
      <c r="D152" s="7"/>
      <c r="E152" s="51"/>
      <c r="F152" s="51"/>
      <c r="G152" s="51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/>
      <c r="AD152"/>
    </row>
    <row r="153" spans="1:30" ht="19.8" thickBot="1" x14ac:dyDescent="0.55000000000000004">
      <c r="A153" s="51"/>
      <c r="B153" s="7"/>
      <c r="C153" s="7"/>
      <c r="D153" s="7"/>
      <c r="E153" s="51"/>
      <c r="F153" s="51"/>
      <c r="G153" s="51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/>
      <c r="AD153"/>
    </row>
    <row r="154" spans="1:30" ht="19.8" thickBot="1" x14ac:dyDescent="0.55000000000000004">
      <c r="A154" s="51"/>
      <c r="B154" s="7"/>
      <c r="C154" s="7"/>
      <c r="D154" s="7"/>
      <c r="E154" s="51"/>
      <c r="F154" s="51"/>
      <c r="G154" s="51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/>
      <c r="AD154"/>
    </row>
    <row r="155" spans="1:30" ht="19.8" thickBot="1" x14ac:dyDescent="0.55000000000000004">
      <c r="A155" s="51"/>
      <c r="B155" s="7"/>
      <c r="C155" s="7"/>
      <c r="D155" s="7"/>
      <c r="E155" s="51"/>
      <c r="F155" s="51"/>
      <c r="G155" s="51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/>
      <c r="AD155"/>
    </row>
    <row r="156" spans="1:30" ht="19.8" thickBot="1" x14ac:dyDescent="0.55000000000000004">
      <c r="A156" s="51"/>
      <c r="B156" s="7"/>
      <c r="C156" s="7"/>
      <c r="D156" s="7"/>
      <c r="E156" s="51"/>
      <c r="F156" s="51"/>
      <c r="G156" s="51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/>
      <c r="AD156"/>
    </row>
    <row r="157" spans="1:30" ht="19.8" thickBot="1" x14ac:dyDescent="0.55000000000000004">
      <c r="A157" s="51"/>
      <c r="B157" s="7"/>
      <c r="C157" s="7"/>
      <c r="D157" s="7"/>
      <c r="E157" s="51"/>
      <c r="F157" s="51"/>
      <c r="G157" s="51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/>
      <c r="AD157"/>
    </row>
    <row r="158" spans="1:30" ht="19.8" thickBot="1" x14ac:dyDescent="0.55000000000000004">
      <c r="A158" s="51"/>
      <c r="B158" s="7"/>
      <c r="C158" s="7"/>
      <c r="D158" s="7"/>
      <c r="E158" s="51"/>
      <c r="F158" s="51"/>
      <c r="G158" s="51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/>
      <c r="AD158"/>
    </row>
    <row r="159" spans="1:30" ht="19.8" thickBot="1" x14ac:dyDescent="0.55000000000000004">
      <c r="A159" s="51"/>
      <c r="B159" s="7"/>
      <c r="C159" s="7"/>
      <c r="D159" s="7"/>
      <c r="E159" s="51"/>
      <c r="F159" s="51"/>
      <c r="G159" s="51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/>
      <c r="AD159"/>
    </row>
    <row r="160" spans="1:30" ht="19.8" thickBot="1" x14ac:dyDescent="0.55000000000000004">
      <c r="A160" s="51"/>
      <c r="B160" s="7"/>
      <c r="C160" s="7"/>
      <c r="D160" s="7"/>
      <c r="E160" s="51"/>
      <c r="F160" s="51"/>
      <c r="G160" s="51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/>
      <c r="AD160"/>
    </row>
    <row r="161" spans="1:30" ht="19.8" thickBot="1" x14ac:dyDescent="0.55000000000000004">
      <c r="A161" s="51"/>
      <c r="B161" s="7"/>
      <c r="C161" s="7"/>
      <c r="D161" s="7"/>
      <c r="E161" s="51"/>
      <c r="F161" s="51"/>
      <c r="G161" s="51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/>
      <c r="AD161"/>
    </row>
    <row r="162" spans="1:30" ht="19.8" thickBot="1" x14ac:dyDescent="0.55000000000000004">
      <c r="A162" s="51"/>
      <c r="B162" s="7"/>
      <c r="C162" s="7"/>
      <c r="D162" s="7"/>
      <c r="E162" s="51"/>
      <c r="F162" s="51"/>
      <c r="G162" s="51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/>
      <c r="AD162"/>
    </row>
    <row r="163" spans="1:30" ht="19.8" thickBot="1" x14ac:dyDescent="0.55000000000000004">
      <c r="A163" s="51"/>
      <c r="B163" s="7"/>
      <c r="C163" s="7"/>
      <c r="D163" s="7"/>
      <c r="E163" s="51"/>
      <c r="F163" s="51"/>
      <c r="G163" s="51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AA163" s="7"/>
      <c r="AB163" s="7"/>
      <c r="AC163"/>
      <c r="AD163"/>
    </row>
  </sheetData>
  <sortState xmlns:xlrd2="http://schemas.microsoft.com/office/spreadsheetml/2017/richdata2" ref="A2:AD163">
    <sortCondition ref="G2:G163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9F429-551A-4B25-AED3-095E1F9A25B8}">
  <dimension ref="A1:E44"/>
  <sheetViews>
    <sheetView workbookViewId="0">
      <selection activeCell="E3" sqref="E3"/>
    </sheetView>
  </sheetViews>
  <sheetFormatPr defaultColWidth="9" defaultRowHeight="19.2" x14ac:dyDescent="0.5"/>
  <cols>
    <col min="1" max="1" width="11.5" style="56" bestFit="1" customWidth="1"/>
    <col min="2" max="2" width="12.19921875" style="56" customWidth="1"/>
    <col min="3" max="3" width="13.09765625" style="56" customWidth="1"/>
    <col min="4" max="4" width="30.3984375" style="17" customWidth="1"/>
    <col min="5" max="5" width="32.59765625" style="17" customWidth="1"/>
    <col min="6" max="16384" width="9" style="17"/>
  </cols>
  <sheetData>
    <row r="1" spans="1:5" ht="26.4" x14ac:dyDescent="0.5">
      <c r="A1" s="46" t="s">
        <v>58</v>
      </c>
      <c r="B1" s="46" t="s">
        <v>13</v>
      </c>
      <c r="C1" s="46" t="s">
        <v>14</v>
      </c>
      <c r="D1" s="46" t="s">
        <v>22</v>
      </c>
      <c r="E1" s="46" t="s">
        <v>23</v>
      </c>
    </row>
    <row r="2" spans="1:5" ht="26.4" x14ac:dyDescent="0.5">
      <c r="A2" s="57">
        <v>5214861</v>
      </c>
      <c r="B2" s="57" t="s">
        <v>61</v>
      </c>
      <c r="C2" s="57" t="s">
        <v>26</v>
      </c>
      <c r="D2" s="58" t="s">
        <v>62</v>
      </c>
      <c r="E2" s="58" t="s">
        <v>63</v>
      </c>
    </row>
    <row r="3" spans="1:5" ht="26.4" x14ac:dyDescent="0.5">
      <c r="A3" s="57">
        <v>5214861</v>
      </c>
      <c r="B3" s="57" t="s">
        <v>61</v>
      </c>
      <c r="C3" s="57" t="s">
        <v>26</v>
      </c>
      <c r="D3" s="58" t="s">
        <v>64</v>
      </c>
      <c r="E3" s="58" t="s">
        <v>65</v>
      </c>
    </row>
    <row r="4" spans="1:5" x14ac:dyDescent="0.5">
      <c r="A4" s="57">
        <v>5214838</v>
      </c>
      <c r="B4" s="57" t="s">
        <v>66</v>
      </c>
      <c r="C4" s="57" t="s">
        <v>26</v>
      </c>
      <c r="D4" s="58" t="s">
        <v>67</v>
      </c>
      <c r="E4" s="58" t="s">
        <v>68</v>
      </c>
    </row>
    <row r="5" spans="1:5" x14ac:dyDescent="0.5">
      <c r="A5" s="57">
        <v>5214606</v>
      </c>
      <c r="B5" s="57" t="s">
        <v>69</v>
      </c>
      <c r="C5" s="57" t="s">
        <v>26</v>
      </c>
      <c r="D5" s="58" t="s">
        <v>70</v>
      </c>
      <c r="E5" s="58" t="s">
        <v>71</v>
      </c>
    </row>
    <row r="6" spans="1:5" x14ac:dyDescent="0.5">
      <c r="A6" s="57">
        <v>5205406</v>
      </c>
      <c r="B6" s="57" t="s">
        <v>72</v>
      </c>
      <c r="C6" s="57" t="s">
        <v>28</v>
      </c>
      <c r="D6" s="58" t="s">
        <v>73</v>
      </c>
      <c r="E6" s="58" t="s">
        <v>74</v>
      </c>
    </row>
    <row r="7" spans="1:5" x14ac:dyDescent="0.5">
      <c r="A7" s="57">
        <v>5218607</v>
      </c>
      <c r="B7" s="57" t="s">
        <v>75</v>
      </c>
      <c r="C7" s="57" t="s">
        <v>28</v>
      </c>
      <c r="D7" s="58" t="s">
        <v>76</v>
      </c>
      <c r="E7" s="58" t="s">
        <v>77</v>
      </c>
    </row>
    <row r="8" spans="1:5" ht="26.4" x14ac:dyDescent="0.5">
      <c r="A8" s="57">
        <v>5213087</v>
      </c>
      <c r="B8" s="57" t="s">
        <v>78</v>
      </c>
      <c r="C8" s="57" t="s">
        <v>28</v>
      </c>
      <c r="D8" s="58" t="s">
        <v>79</v>
      </c>
      <c r="E8" s="58" t="s">
        <v>60</v>
      </c>
    </row>
    <row r="9" spans="1:5" x14ac:dyDescent="0.5">
      <c r="A9" s="57">
        <v>5214606</v>
      </c>
      <c r="B9" s="57" t="s">
        <v>69</v>
      </c>
      <c r="C9" s="57" t="s">
        <v>28</v>
      </c>
      <c r="D9" s="58" t="s">
        <v>80</v>
      </c>
      <c r="E9" s="58" t="s">
        <v>59</v>
      </c>
    </row>
    <row r="10" spans="1:5" x14ac:dyDescent="0.5">
      <c r="A10" s="57">
        <v>5205406</v>
      </c>
      <c r="B10" s="57" t="s">
        <v>72</v>
      </c>
      <c r="C10" s="57" t="s">
        <v>28</v>
      </c>
      <c r="D10" s="58" t="s">
        <v>81</v>
      </c>
      <c r="E10" s="58" t="s">
        <v>82</v>
      </c>
    </row>
    <row r="11" spans="1:5" x14ac:dyDescent="0.5">
      <c r="A11" s="57">
        <v>5214002</v>
      </c>
      <c r="B11" s="57" t="s">
        <v>83</v>
      </c>
      <c r="C11" s="57" t="s">
        <v>28</v>
      </c>
      <c r="D11" s="58" t="s">
        <v>84</v>
      </c>
      <c r="E11" s="58" t="s">
        <v>85</v>
      </c>
    </row>
    <row r="12" spans="1:5" x14ac:dyDescent="0.5">
      <c r="A12" s="57">
        <v>5221601</v>
      </c>
      <c r="B12" s="57" t="s">
        <v>86</v>
      </c>
      <c r="C12" s="57" t="s">
        <v>28</v>
      </c>
      <c r="D12" s="58" t="s">
        <v>87</v>
      </c>
      <c r="E12" s="58" t="s">
        <v>9</v>
      </c>
    </row>
    <row r="13" spans="1:5" x14ac:dyDescent="0.5">
      <c r="A13" s="57">
        <v>5219357</v>
      </c>
      <c r="B13" s="57" t="s">
        <v>88</v>
      </c>
      <c r="C13" s="57" t="s">
        <v>28</v>
      </c>
      <c r="D13" s="58" t="s">
        <v>89</v>
      </c>
      <c r="E13" s="58" t="s">
        <v>90</v>
      </c>
    </row>
    <row r="14" spans="1:5" ht="26.4" x14ac:dyDescent="0.5">
      <c r="A14" s="57">
        <v>5202502</v>
      </c>
      <c r="B14" s="57" t="s">
        <v>91</v>
      </c>
      <c r="C14" s="57" t="s">
        <v>28</v>
      </c>
      <c r="D14" s="58" t="s">
        <v>92</v>
      </c>
      <c r="E14" s="58" t="s">
        <v>93</v>
      </c>
    </row>
    <row r="15" spans="1:5" x14ac:dyDescent="0.5">
      <c r="A15" s="57">
        <v>5214838</v>
      </c>
      <c r="B15" s="57" t="s">
        <v>66</v>
      </c>
      <c r="C15" s="57" t="s">
        <v>28</v>
      </c>
      <c r="D15" s="58" t="s">
        <v>94</v>
      </c>
      <c r="E15" s="58" t="s">
        <v>95</v>
      </c>
    </row>
    <row r="16" spans="1:5" ht="26.4" x14ac:dyDescent="0.5">
      <c r="A16" s="57">
        <v>5202502</v>
      </c>
      <c r="B16" s="57" t="s">
        <v>91</v>
      </c>
      <c r="C16" s="57" t="s">
        <v>28</v>
      </c>
      <c r="D16" s="58" t="s">
        <v>96</v>
      </c>
      <c r="E16" s="58" t="s">
        <v>97</v>
      </c>
    </row>
    <row r="17" spans="1:5" ht="26.4" x14ac:dyDescent="0.5">
      <c r="A17" s="57">
        <v>5214606</v>
      </c>
      <c r="B17" s="57" t="s">
        <v>69</v>
      </c>
      <c r="C17" s="57" t="s">
        <v>28</v>
      </c>
      <c r="D17" s="58" t="s">
        <v>98</v>
      </c>
      <c r="E17" s="58" t="s">
        <v>99</v>
      </c>
    </row>
    <row r="18" spans="1:5" ht="26.4" x14ac:dyDescent="0.5">
      <c r="A18" s="57">
        <v>5202502</v>
      </c>
      <c r="B18" s="57" t="s">
        <v>91</v>
      </c>
      <c r="C18" s="57" t="s">
        <v>26</v>
      </c>
      <c r="D18" s="58" t="s">
        <v>100</v>
      </c>
      <c r="E18" s="58" t="s">
        <v>101</v>
      </c>
    </row>
    <row r="19" spans="1:5" x14ac:dyDescent="0.5">
      <c r="A19" s="57">
        <v>5213087</v>
      </c>
      <c r="B19" s="57" t="s">
        <v>78</v>
      </c>
      <c r="C19" s="57" t="s">
        <v>26</v>
      </c>
      <c r="D19" s="58" t="s">
        <v>102</v>
      </c>
      <c r="E19" s="58" t="s">
        <v>103</v>
      </c>
    </row>
    <row r="20" spans="1:5" ht="26.4" x14ac:dyDescent="0.5">
      <c r="A20" s="57">
        <v>5205000</v>
      </c>
      <c r="B20" s="57" t="s">
        <v>104</v>
      </c>
      <c r="C20" s="57" t="s">
        <v>28</v>
      </c>
      <c r="D20" s="58" t="s">
        <v>105</v>
      </c>
      <c r="E20" s="58" t="s">
        <v>106</v>
      </c>
    </row>
    <row r="21" spans="1:5" x14ac:dyDescent="0.5">
      <c r="A21" s="57">
        <v>5211206</v>
      </c>
      <c r="B21" s="57" t="s">
        <v>107</v>
      </c>
      <c r="C21" s="57" t="s">
        <v>26</v>
      </c>
      <c r="D21" s="58" t="s">
        <v>108</v>
      </c>
      <c r="E21" s="58" t="s">
        <v>109</v>
      </c>
    </row>
    <row r="22" spans="1:5" x14ac:dyDescent="0.5">
      <c r="A22" s="57">
        <v>5211206</v>
      </c>
      <c r="B22" s="57" t="s">
        <v>107</v>
      </c>
      <c r="C22" s="57" t="s">
        <v>28</v>
      </c>
      <c r="D22" s="58" t="s">
        <v>110</v>
      </c>
      <c r="E22" s="58" t="s">
        <v>111</v>
      </c>
    </row>
    <row r="23" spans="1:5" ht="26.4" x14ac:dyDescent="0.5">
      <c r="A23" s="57">
        <v>5220157</v>
      </c>
      <c r="B23" s="57" t="s">
        <v>112</v>
      </c>
      <c r="C23" s="57" t="s">
        <v>26</v>
      </c>
      <c r="D23" s="58" t="s">
        <v>113</v>
      </c>
      <c r="E23" s="58" t="s">
        <v>114</v>
      </c>
    </row>
    <row r="24" spans="1:5" ht="26.4" x14ac:dyDescent="0.5">
      <c r="A24" s="57">
        <v>5204656</v>
      </c>
      <c r="B24" s="57" t="s">
        <v>115</v>
      </c>
      <c r="C24" s="57" t="s">
        <v>26</v>
      </c>
      <c r="D24" s="58" t="s">
        <v>116</v>
      </c>
      <c r="E24" s="58" t="s">
        <v>117</v>
      </c>
    </row>
    <row r="25" spans="1:5" ht="26.4" x14ac:dyDescent="0.5">
      <c r="A25" s="57">
        <v>5218003</v>
      </c>
      <c r="B25" s="57" t="s">
        <v>118</v>
      </c>
      <c r="C25" s="57" t="s">
        <v>26</v>
      </c>
      <c r="D25" s="58" t="s">
        <v>119</v>
      </c>
      <c r="E25" s="58" t="s">
        <v>120</v>
      </c>
    </row>
    <row r="26" spans="1:5" ht="26.4" x14ac:dyDescent="0.5">
      <c r="A26" s="57">
        <v>5218003</v>
      </c>
      <c r="B26" s="57" t="s">
        <v>118</v>
      </c>
      <c r="C26" s="57" t="s">
        <v>28</v>
      </c>
      <c r="D26" s="58" t="s">
        <v>121</v>
      </c>
      <c r="E26" s="58" t="s">
        <v>122</v>
      </c>
    </row>
    <row r="27" spans="1:5" ht="26.4" x14ac:dyDescent="0.5">
      <c r="A27" s="57">
        <v>5205000</v>
      </c>
      <c r="B27" s="57" t="s">
        <v>104</v>
      </c>
      <c r="C27" s="57" t="s">
        <v>26</v>
      </c>
      <c r="D27" s="58" t="s">
        <v>123</v>
      </c>
      <c r="E27" s="58" t="s">
        <v>124</v>
      </c>
    </row>
    <row r="28" spans="1:5" x14ac:dyDescent="0.5">
      <c r="A28" s="57">
        <v>5208608</v>
      </c>
      <c r="B28" s="57" t="s">
        <v>125</v>
      </c>
      <c r="C28" s="57" t="s">
        <v>28</v>
      </c>
      <c r="D28" s="58" t="s">
        <v>126</v>
      </c>
      <c r="E28" s="58" t="s">
        <v>127</v>
      </c>
    </row>
    <row r="29" spans="1:5" x14ac:dyDescent="0.5">
      <c r="A29" s="57">
        <v>5204706</v>
      </c>
      <c r="B29" s="57" t="s">
        <v>128</v>
      </c>
      <c r="C29" s="57" t="s">
        <v>28</v>
      </c>
      <c r="D29" s="58" t="s">
        <v>129</v>
      </c>
      <c r="E29" s="58" t="s">
        <v>130</v>
      </c>
    </row>
    <row r="30" spans="1:5" x14ac:dyDescent="0.5">
      <c r="A30" s="57">
        <v>5214051</v>
      </c>
      <c r="B30" s="57" t="s">
        <v>32</v>
      </c>
      <c r="C30" s="57" t="s">
        <v>28</v>
      </c>
      <c r="D30" s="58" t="s">
        <v>131</v>
      </c>
      <c r="E30" s="58" t="s">
        <v>132</v>
      </c>
    </row>
    <row r="31" spans="1:5" ht="26.4" x14ac:dyDescent="0.5">
      <c r="A31" s="57">
        <v>5213855</v>
      </c>
      <c r="B31" s="57" t="s">
        <v>133</v>
      </c>
      <c r="C31" s="57" t="s">
        <v>28</v>
      </c>
      <c r="D31" s="58" t="s">
        <v>134</v>
      </c>
      <c r="E31" s="58" t="s">
        <v>135</v>
      </c>
    </row>
    <row r="32" spans="1:5" ht="26.4" x14ac:dyDescent="0.5">
      <c r="A32" s="57">
        <v>5213855</v>
      </c>
      <c r="B32" s="57" t="s">
        <v>133</v>
      </c>
      <c r="C32" s="57" t="s">
        <v>28</v>
      </c>
      <c r="D32" s="58" t="s">
        <v>136</v>
      </c>
      <c r="E32" s="58" t="s">
        <v>137</v>
      </c>
    </row>
    <row r="33" spans="1:5" ht="26.4" x14ac:dyDescent="0.5">
      <c r="A33" s="57">
        <v>5213855</v>
      </c>
      <c r="B33" s="57" t="s">
        <v>133</v>
      </c>
      <c r="C33" s="57" t="s">
        <v>28</v>
      </c>
      <c r="D33" s="58" t="s">
        <v>138</v>
      </c>
      <c r="E33" s="58" t="s">
        <v>139</v>
      </c>
    </row>
    <row r="34" spans="1:5" ht="26.4" x14ac:dyDescent="0.5">
      <c r="A34" s="57">
        <v>5218904</v>
      </c>
      <c r="B34" s="57" t="s">
        <v>140</v>
      </c>
      <c r="C34" s="57" t="s">
        <v>28</v>
      </c>
      <c r="D34" s="58" t="s">
        <v>141</v>
      </c>
      <c r="E34" s="58" t="s">
        <v>142</v>
      </c>
    </row>
    <row r="35" spans="1:5" ht="26.4" x14ac:dyDescent="0.5">
      <c r="A35" s="57">
        <v>5214051</v>
      </c>
      <c r="B35" s="57" t="s">
        <v>32</v>
      </c>
      <c r="C35" s="57" t="s">
        <v>28</v>
      </c>
      <c r="D35" s="58" t="s">
        <v>143</v>
      </c>
      <c r="E35" s="58" t="s">
        <v>144</v>
      </c>
    </row>
    <row r="36" spans="1:5" x14ac:dyDescent="0.5">
      <c r="A36" s="57">
        <v>5204706</v>
      </c>
      <c r="B36" s="57" t="s">
        <v>128</v>
      </c>
      <c r="C36" s="57" t="s">
        <v>28</v>
      </c>
      <c r="D36" s="58" t="s">
        <v>145</v>
      </c>
      <c r="E36" s="58" t="s">
        <v>146</v>
      </c>
    </row>
    <row r="37" spans="1:5" ht="26.4" x14ac:dyDescent="0.5">
      <c r="A37" s="57">
        <v>5220157</v>
      </c>
      <c r="B37" s="57" t="s">
        <v>112</v>
      </c>
      <c r="C37" s="57" t="s">
        <v>28</v>
      </c>
      <c r="D37" s="58" t="s">
        <v>147</v>
      </c>
      <c r="E37" s="58" t="s">
        <v>148</v>
      </c>
    </row>
    <row r="38" spans="1:5" ht="26.4" x14ac:dyDescent="0.5">
      <c r="A38" s="57">
        <v>5205000</v>
      </c>
      <c r="B38" s="57" t="s">
        <v>104</v>
      </c>
      <c r="C38" s="57" t="s">
        <v>28</v>
      </c>
      <c r="D38" s="58" t="s">
        <v>149</v>
      </c>
      <c r="E38" s="58" t="s">
        <v>150</v>
      </c>
    </row>
    <row r="39" spans="1:5" ht="26.4" x14ac:dyDescent="0.5">
      <c r="A39" s="57">
        <v>5219605</v>
      </c>
      <c r="B39" s="57" t="s">
        <v>151</v>
      </c>
      <c r="C39" s="57" t="s">
        <v>28</v>
      </c>
      <c r="D39" s="58" t="s">
        <v>152</v>
      </c>
      <c r="E39" s="58" t="s">
        <v>153</v>
      </c>
    </row>
    <row r="40" spans="1:5" ht="26.4" x14ac:dyDescent="0.5">
      <c r="A40" s="57">
        <v>5220157</v>
      </c>
      <c r="B40" s="57" t="s">
        <v>112</v>
      </c>
      <c r="C40" s="57" t="s">
        <v>28</v>
      </c>
      <c r="D40" s="58" t="s">
        <v>154</v>
      </c>
      <c r="E40" s="58" t="s">
        <v>127</v>
      </c>
    </row>
    <row r="41" spans="1:5" x14ac:dyDescent="0.5">
      <c r="A41" s="57">
        <v>5211206</v>
      </c>
      <c r="B41" s="57" t="s">
        <v>107</v>
      </c>
      <c r="C41" s="57" t="s">
        <v>28</v>
      </c>
      <c r="D41" s="58" t="s">
        <v>155</v>
      </c>
      <c r="E41" s="58" t="s">
        <v>156</v>
      </c>
    </row>
    <row r="42" spans="1:5" x14ac:dyDescent="0.5">
      <c r="A42" s="57">
        <v>5218003</v>
      </c>
      <c r="B42" s="57" t="s">
        <v>118</v>
      </c>
      <c r="C42" s="57" t="s">
        <v>28</v>
      </c>
      <c r="D42" s="58" t="s">
        <v>157</v>
      </c>
      <c r="E42" s="58" t="s">
        <v>158</v>
      </c>
    </row>
    <row r="43" spans="1:5" x14ac:dyDescent="0.5">
      <c r="A43" s="57">
        <v>5204656</v>
      </c>
      <c r="B43" s="57" t="s">
        <v>115</v>
      </c>
      <c r="C43" s="57" t="s">
        <v>28</v>
      </c>
      <c r="D43" s="58" t="s">
        <v>159</v>
      </c>
      <c r="E43" s="58" t="s">
        <v>95</v>
      </c>
    </row>
    <row r="44" spans="1:5" ht="26.4" x14ac:dyDescent="0.5">
      <c r="A44" s="57">
        <v>5219456</v>
      </c>
      <c r="B44" s="57" t="s">
        <v>160</v>
      </c>
      <c r="C44" s="57" t="s">
        <v>28</v>
      </c>
      <c r="D44" s="58" t="s">
        <v>161</v>
      </c>
      <c r="E44" s="58" t="s">
        <v>162</v>
      </c>
    </row>
  </sheetData>
  <sortState xmlns:xlrd2="http://schemas.microsoft.com/office/spreadsheetml/2017/richdata2" ref="A2:E22">
    <sortCondition ref="A2:A22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0895-64D8-4CA2-B190-BAAC5565042C}">
  <dimension ref="A1:R85"/>
  <sheetViews>
    <sheetView zoomScale="55" zoomScaleNormal="55" workbookViewId="0">
      <selection activeCell="A2" sqref="A2"/>
    </sheetView>
  </sheetViews>
  <sheetFormatPr defaultColWidth="9" defaultRowHeight="19.2" x14ac:dyDescent="0.5"/>
  <cols>
    <col min="1" max="1" width="14.3984375" style="20" customWidth="1"/>
    <col min="2" max="2" width="20.3984375" style="20" customWidth="1"/>
    <col min="3" max="3" width="7.8984375" style="21" bestFit="1" customWidth="1"/>
    <col min="4" max="4" width="8.8984375" style="21" customWidth="1"/>
    <col min="5" max="8" width="7.19921875" style="21" bestFit="1" customWidth="1"/>
    <col min="9" max="9" width="10.3984375" style="21" bestFit="1" customWidth="1"/>
    <col min="10" max="11" width="23.19921875" style="1" customWidth="1"/>
    <col min="12" max="12" width="9" style="1"/>
    <col min="13" max="13" width="26.3984375" style="1" bestFit="1" customWidth="1"/>
    <col min="14" max="18" width="9.3984375" style="2" customWidth="1"/>
    <col min="19" max="16384" width="9" style="1"/>
  </cols>
  <sheetData>
    <row r="1" spans="1:18" ht="66.75" customHeight="1" x14ac:dyDescent="0.5">
      <c r="A1" s="18" t="s">
        <v>33</v>
      </c>
      <c r="B1" s="18" t="s">
        <v>34</v>
      </c>
      <c r="C1" s="19" t="s">
        <v>35</v>
      </c>
      <c r="D1" s="19" t="s">
        <v>36</v>
      </c>
      <c r="E1" s="19" t="s">
        <v>37</v>
      </c>
      <c r="F1" s="19" t="s">
        <v>38</v>
      </c>
      <c r="G1" s="19" t="s">
        <v>39</v>
      </c>
      <c r="H1" s="19" t="s">
        <v>40</v>
      </c>
      <c r="I1" s="18" t="s">
        <v>41</v>
      </c>
    </row>
    <row r="2" spans="1:18" x14ac:dyDescent="0.5">
      <c r="A2" s="20" t="str">
        <f>+Dados!V2</f>
        <v>Formosa</v>
      </c>
      <c r="B2" s="20" t="str">
        <f>+Dados!G2</f>
        <v>CACS-FUNDEB</v>
      </c>
      <c r="C2" s="20">
        <f>+Dados!H2</f>
        <v>5</v>
      </c>
      <c r="D2" s="20">
        <f>+Dados!I2</f>
        <v>5</v>
      </c>
      <c r="E2" s="20">
        <f>+Dados!J2</f>
        <v>5</v>
      </c>
      <c r="F2" s="20">
        <f>+Dados!K2</f>
        <v>5</v>
      </c>
      <c r="G2" s="20">
        <f>+Dados!L2</f>
        <v>5</v>
      </c>
      <c r="H2" s="20">
        <f>+Dados!M2</f>
        <v>5</v>
      </c>
      <c r="I2" s="20">
        <f>+Dados!N2</f>
        <v>5</v>
      </c>
      <c r="N2" s="2" t="s">
        <v>2</v>
      </c>
      <c r="O2" s="2" t="s">
        <v>45</v>
      </c>
      <c r="P2" s="2" t="s">
        <v>44</v>
      </c>
      <c r="Q2" s="2" t="s">
        <v>43</v>
      </c>
      <c r="R2" s="2" t="s">
        <v>42</v>
      </c>
    </row>
    <row r="3" spans="1:18" x14ac:dyDescent="0.5">
      <c r="A3" s="20" t="str">
        <f>+Dados!V3</f>
        <v>São João d'Aliança</v>
      </c>
      <c r="B3" s="20" t="str">
        <f>+Dados!G3</f>
        <v>CACS-FUNDEB</v>
      </c>
      <c r="C3" s="20">
        <f>+Dados!H3</f>
        <v>5</v>
      </c>
      <c r="D3" s="20">
        <f>+Dados!I3</f>
        <v>5</v>
      </c>
      <c r="E3" s="20">
        <f>+Dados!J3</f>
        <v>5</v>
      </c>
      <c r="F3" s="20">
        <f>+Dados!K3</f>
        <v>4</v>
      </c>
      <c r="G3" s="20">
        <f>+Dados!L3</f>
        <v>4</v>
      </c>
      <c r="H3" s="20">
        <f>+Dados!M3</f>
        <v>4</v>
      </c>
      <c r="I3" s="20">
        <f>+Dados!N3</f>
        <v>5</v>
      </c>
      <c r="N3" s="20">
        <v>1</v>
      </c>
      <c r="O3" s="20">
        <v>2</v>
      </c>
      <c r="P3" s="20">
        <v>3</v>
      </c>
      <c r="Q3" s="20">
        <v>4</v>
      </c>
      <c r="R3" s="20">
        <v>5</v>
      </c>
    </row>
    <row r="4" spans="1:18" x14ac:dyDescent="0.5">
      <c r="A4" s="20" t="str">
        <f>+Dados!V4</f>
        <v>Cristalina</v>
      </c>
      <c r="B4" s="20" t="str">
        <f>+Dados!G4</f>
        <v>CACS-FUNDEB</v>
      </c>
      <c r="C4" s="20">
        <f>+Dados!H4</f>
        <v>5</v>
      </c>
      <c r="D4" s="20">
        <f>+Dados!I4</f>
        <v>5</v>
      </c>
      <c r="E4" s="20">
        <f>+Dados!J4</f>
        <v>5</v>
      </c>
      <c r="F4" s="20">
        <f>+Dados!K4</f>
        <v>5</v>
      </c>
      <c r="G4" s="20">
        <f>+Dados!L4</f>
        <v>5</v>
      </c>
      <c r="H4" s="20">
        <f>+Dados!M4</f>
        <v>5</v>
      </c>
      <c r="I4" s="20">
        <f>+Dados!N4</f>
        <v>5</v>
      </c>
    </row>
    <row r="5" spans="1:18" x14ac:dyDescent="0.5">
      <c r="A5" s="20" t="str">
        <f>+Dados!V5</f>
        <v>Água Fria de Goiás</v>
      </c>
      <c r="B5" s="20" t="str">
        <f>+Dados!G5</f>
        <v>CACS-FUNDEB</v>
      </c>
      <c r="C5" s="20">
        <f>+Dados!H5</f>
        <v>5</v>
      </c>
      <c r="D5" s="20">
        <f>+Dados!I5</f>
        <v>3</v>
      </c>
      <c r="E5" s="20">
        <f>+Dados!J5</f>
        <v>5</v>
      </c>
      <c r="F5" s="20">
        <f>+Dados!K5</f>
        <v>5</v>
      </c>
      <c r="G5" s="20">
        <f>+Dados!L5</f>
        <v>5</v>
      </c>
      <c r="H5" s="20">
        <f>+Dados!M5</f>
        <v>5</v>
      </c>
      <c r="I5" s="20">
        <f>+Dados!N5</f>
        <v>5</v>
      </c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5">
      <c r="A6" s="20" t="str">
        <f>+Dados!V6</f>
        <v>Cabeceiras</v>
      </c>
      <c r="B6" s="20" t="str">
        <f>+Dados!G6</f>
        <v>CACS-FUNDEB</v>
      </c>
      <c r="C6" s="20">
        <f>+Dados!H6</f>
        <v>5</v>
      </c>
      <c r="D6" s="20">
        <f>+Dados!I6</f>
        <v>5</v>
      </c>
      <c r="E6" s="20">
        <f>+Dados!J6</f>
        <v>5</v>
      </c>
      <c r="F6" s="20">
        <f>+Dados!K6</f>
        <v>5</v>
      </c>
      <c r="G6" s="20">
        <f>+Dados!L6</f>
        <v>5</v>
      </c>
      <c r="H6" s="20">
        <f>+Dados!M6</f>
        <v>5</v>
      </c>
      <c r="I6" s="20">
        <f>+Dados!N6</f>
        <v>5</v>
      </c>
      <c r="M6" s="1" t="s">
        <v>35</v>
      </c>
      <c r="N6" s="22">
        <f>COUNTIF(C$2:C$72,$N3)/COUNT(C$2:C$72)</f>
        <v>0</v>
      </c>
      <c r="O6" s="22">
        <f t="shared" ref="O6:O12" si="1">COUNTIF(C$2:C$72,$O3)/COUNT(C$2:C$72)</f>
        <v>0</v>
      </c>
      <c r="P6" s="22">
        <f>COUNTIF(C$2:C$72,$P3)/COUNT(C$2:C$72)</f>
        <v>0</v>
      </c>
      <c r="Q6" s="22">
        <f>COUNTIF(C$2:C$72,$Q3)/COUNT(C$2:C$72)</f>
        <v>0.08</v>
      </c>
      <c r="R6" s="22">
        <f>COUNTIF(C$2:C$72,$R3)/COUNT(C$2:C$72)</f>
        <v>0.92</v>
      </c>
    </row>
    <row r="7" spans="1:18" x14ac:dyDescent="0.5">
      <c r="A7" s="20" t="str">
        <f>+Dados!V7</f>
        <v>Água Fria de Goiás</v>
      </c>
      <c r="B7" s="20" t="str">
        <f>+Dados!G7</f>
        <v>Gestão municipal</v>
      </c>
      <c r="C7" s="20">
        <f>+Dados!H7</f>
        <v>5</v>
      </c>
      <c r="D7" s="20">
        <f>+Dados!I7</f>
        <v>5</v>
      </c>
      <c r="E7" s="20">
        <f>+Dados!J7</f>
        <v>5</v>
      </c>
      <c r="F7" s="20">
        <f>+Dados!K7</f>
        <v>4</v>
      </c>
      <c r="G7" s="20">
        <f>+Dados!L7</f>
        <v>5</v>
      </c>
      <c r="H7" s="20">
        <f>+Dados!M7</f>
        <v>5</v>
      </c>
      <c r="I7" s="20">
        <f>+Dados!N7</f>
        <v>5</v>
      </c>
      <c r="M7" s="1" t="s">
        <v>36</v>
      </c>
      <c r="N7" s="22">
        <f>COUNTIF(D$2:D$72,$N3)/COUNT(D$2:D$72)</f>
        <v>0</v>
      </c>
      <c r="O7" s="22">
        <f t="shared" si="1"/>
        <v>0</v>
      </c>
      <c r="P7" s="22">
        <f>COUNTIF(D$2:D$72,$P3)/COUNT(D$2:D$72)</f>
        <v>0.08</v>
      </c>
      <c r="Q7" s="22">
        <f>COUNTIF(D$2:D$72,$Q3)/COUNT(D$2:D$72)</f>
        <v>0.24</v>
      </c>
      <c r="R7" s="22">
        <f>COUNTIF(D$2:D$72,$R3)/COUNT(D$2:D$72)</f>
        <v>0.68</v>
      </c>
    </row>
    <row r="8" spans="1:18" x14ac:dyDescent="0.5">
      <c r="A8" s="20" t="str">
        <f>+Dados!V8</f>
        <v>Cidade Ocidental</v>
      </c>
      <c r="B8" s="20" t="str">
        <f>+Dados!G8</f>
        <v>Gestão municipal</v>
      </c>
      <c r="C8" s="20">
        <f>+Dados!H8</f>
        <v>5</v>
      </c>
      <c r="D8" s="20">
        <f>+Dados!I8</f>
        <v>4</v>
      </c>
      <c r="E8" s="20">
        <f>+Dados!J8</f>
        <v>5</v>
      </c>
      <c r="F8" s="20">
        <f>+Dados!K8</f>
        <v>5</v>
      </c>
      <c r="G8" s="20">
        <f>+Dados!L8</f>
        <v>5</v>
      </c>
      <c r="H8" s="20">
        <f>+Dados!M8</f>
        <v>5</v>
      </c>
      <c r="I8" s="20">
        <f>+Dados!N8</f>
        <v>5</v>
      </c>
      <c r="M8" s="1" t="s">
        <v>37</v>
      </c>
      <c r="N8" s="22">
        <f>COUNTIF(E$2:E$72,$N3)/COUNT(E$2:E$72)</f>
        <v>0</v>
      </c>
      <c r="O8" s="22">
        <f t="shared" si="1"/>
        <v>0</v>
      </c>
      <c r="P8" s="22">
        <f>COUNTIF(E$2:E$72,$P3)/COUNT(E$2:E$72)</f>
        <v>0.04</v>
      </c>
      <c r="Q8" s="22">
        <f>COUNTIF(E$2:E$72,$Q3)/COUNT(E$2:E$72)</f>
        <v>0.2</v>
      </c>
      <c r="R8" s="22">
        <f>COUNTIF(E$2:E$72,$R3)/COUNT(E$2:E$72)</f>
        <v>0.76</v>
      </c>
    </row>
    <row r="9" spans="1:18" x14ac:dyDescent="0.5">
      <c r="A9" s="20" t="str">
        <f>+Dados!V9</f>
        <v>Santo Antônio do Descoberto</v>
      </c>
      <c r="B9" s="20" t="str">
        <f>+Dados!G9</f>
        <v>Gestão municipal</v>
      </c>
      <c r="C9" s="20">
        <f>+Dados!H9</f>
        <v>5</v>
      </c>
      <c r="D9" s="20">
        <f>+Dados!I9</f>
        <v>4</v>
      </c>
      <c r="E9" s="20">
        <f>+Dados!J9</f>
        <v>4</v>
      </c>
      <c r="F9" s="20">
        <f>+Dados!K9</f>
        <v>4</v>
      </c>
      <c r="G9" s="20">
        <f>+Dados!L9</f>
        <v>4</v>
      </c>
      <c r="H9" s="20">
        <f>+Dados!M9</f>
        <v>4</v>
      </c>
      <c r="I9" s="20">
        <f>+Dados!N9</f>
        <v>5</v>
      </c>
      <c r="M9" s="1" t="s">
        <v>38</v>
      </c>
      <c r="N9" s="22">
        <f>COUNTIF(F$2:F$72,$N3)/COUNT(F$2:F$72)</f>
        <v>0</v>
      </c>
      <c r="O9" s="22">
        <f t="shared" si="1"/>
        <v>0</v>
      </c>
      <c r="P9" s="22">
        <f>COUNTIF(F$2:F$72,$P3)/COUNT(F$2:F$72)</f>
        <v>0</v>
      </c>
      <c r="Q9" s="22">
        <f>COUNTIF(F$2:F$72,$Q3)/COUNT(F$2:F$72)</f>
        <v>0.28000000000000003</v>
      </c>
      <c r="R9" s="22">
        <f>COUNTIF(F$2:F$72,$R3)/COUNT(F$2:F$72)</f>
        <v>0.72</v>
      </c>
    </row>
    <row r="10" spans="1:18" x14ac:dyDescent="0.5">
      <c r="A10" s="20" t="str">
        <f>+Dados!V10</f>
        <v>Luziânia</v>
      </c>
      <c r="B10" s="20" t="str">
        <f>+Dados!G10</f>
        <v>Gestão municipal</v>
      </c>
      <c r="C10" s="20">
        <f>+Dados!H10</f>
        <v>5</v>
      </c>
      <c r="D10" s="20">
        <f>+Dados!I10</f>
        <v>5</v>
      </c>
      <c r="E10" s="20">
        <f>+Dados!J10</f>
        <v>4</v>
      </c>
      <c r="F10" s="20">
        <f>+Dados!K10</f>
        <v>4</v>
      </c>
      <c r="G10" s="20">
        <f>+Dados!L10</f>
        <v>5</v>
      </c>
      <c r="H10" s="20">
        <f>+Dados!M10</f>
        <v>4</v>
      </c>
      <c r="I10" s="20">
        <f>+Dados!N10</f>
        <v>5</v>
      </c>
      <c r="M10" s="1" t="s">
        <v>39</v>
      </c>
      <c r="N10" s="22">
        <f>COUNTIF(G$2:G$72,$N3)/COUNT(G$2:G$72)</f>
        <v>0</v>
      </c>
      <c r="O10" s="22">
        <f t="shared" si="1"/>
        <v>0</v>
      </c>
      <c r="P10" s="22">
        <f>COUNTIF(G$2:G$72,$P3)/COUNT(G$2:G$72)</f>
        <v>0</v>
      </c>
      <c r="Q10" s="22">
        <f>COUNTIF(G$2:G$72,$Q3)/COUNT(G$2:G$72)</f>
        <v>0.08</v>
      </c>
      <c r="R10" s="22">
        <f>COUNTIF(G$2:G$72,$R3)/COUNT(G$2:G$72)</f>
        <v>0.92</v>
      </c>
    </row>
    <row r="11" spans="1:18" x14ac:dyDescent="0.5">
      <c r="A11" s="20" t="str">
        <f>+Dados!V11</f>
        <v>Santo Antônio do Descoberto</v>
      </c>
      <c r="B11" s="20" t="str">
        <f>+Dados!G11</f>
        <v>Gestão municipal</v>
      </c>
      <c r="C11" s="20">
        <f>+Dados!H11</f>
        <v>5</v>
      </c>
      <c r="D11" s="20">
        <f>+Dados!I11</f>
        <v>5</v>
      </c>
      <c r="E11" s="20">
        <f>+Dados!J11</f>
        <v>5</v>
      </c>
      <c r="F11" s="20">
        <f>+Dados!K11</f>
        <v>5</v>
      </c>
      <c r="G11" s="20">
        <f>+Dados!L11</f>
        <v>5</v>
      </c>
      <c r="H11" s="20">
        <f>+Dados!M11</f>
        <v>5</v>
      </c>
      <c r="I11" s="20">
        <f>+Dados!N11</f>
        <v>5</v>
      </c>
      <c r="M11" s="1" t="s">
        <v>40</v>
      </c>
      <c r="N11" s="22">
        <f>COUNTIF(H$2:H$72,$N3)/COUNT(H$2:H$72)</f>
        <v>0</v>
      </c>
      <c r="O11" s="22">
        <f t="shared" si="1"/>
        <v>0</v>
      </c>
      <c r="P11" s="22">
        <f>COUNTIF(H$2:H$72,$P3)/COUNT(H$2:H$72)</f>
        <v>0</v>
      </c>
      <c r="Q11" s="22">
        <f>COUNTIF(H$2:H$72,$Q3)/COUNT(H$2:H$72)</f>
        <v>0.24</v>
      </c>
      <c r="R11" s="22">
        <f>COUNTIF(H$2:H$72,$R3)/COUNT(H$2:H$72)</f>
        <v>0.76</v>
      </c>
    </row>
    <row r="12" spans="1:18" x14ac:dyDescent="0.5">
      <c r="A12" s="20" t="str">
        <f>+Dados!V12</f>
        <v>Cabeceiras</v>
      </c>
      <c r="B12" s="20" t="str">
        <f>+Dados!G12</f>
        <v>Gestão municipal</v>
      </c>
      <c r="C12" s="20">
        <f>+Dados!H12</f>
        <v>5</v>
      </c>
      <c r="D12" s="20">
        <f>+Dados!I12</f>
        <v>5</v>
      </c>
      <c r="E12" s="20">
        <f>+Dados!J12</f>
        <v>5</v>
      </c>
      <c r="F12" s="20">
        <f>+Dados!K12</f>
        <v>5</v>
      </c>
      <c r="G12" s="20">
        <f>+Dados!L12</f>
        <v>5</v>
      </c>
      <c r="H12" s="20">
        <f>+Dados!M12</f>
        <v>5</v>
      </c>
      <c r="I12" s="20">
        <f>+Dados!N12</f>
        <v>5</v>
      </c>
      <c r="M12" s="1" t="s">
        <v>41</v>
      </c>
      <c r="N12" s="22">
        <f>COUNTIF(I$2:I$72,$N3)/COUNT(I$2:I$72)</f>
        <v>0</v>
      </c>
      <c r="O12" s="22">
        <f t="shared" si="1"/>
        <v>0</v>
      </c>
      <c r="P12" s="22">
        <f>COUNTIF(I$2:I$72,$P3)/COUNT(I$2:I$72)</f>
        <v>0</v>
      </c>
      <c r="Q12" s="22">
        <f>COUNTIF(I$2:I$72,$Q3)/COUNT(I$2:I$72)</f>
        <v>0.04</v>
      </c>
      <c r="R12" s="22">
        <f>COUNTIF(I$2:I$72,$R3)/COUNT(I$2:I$72)</f>
        <v>0.96</v>
      </c>
    </row>
    <row r="13" spans="1:18" x14ac:dyDescent="0.5">
      <c r="A13" s="20" t="str">
        <f>+Dados!V13</f>
        <v>Água Fria de Goiás</v>
      </c>
      <c r="B13" s="20" t="str">
        <f>+Dados!G13</f>
        <v>Gestão municipal</v>
      </c>
      <c r="C13" s="20">
        <f>+Dados!H13</f>
        <v>5</v>
      </c>
      <c r="D13" s="20">
        <f>+Dados!I13</f>
        <v>4</v>
      </c>
      <c r="E13" s="20">
        <f>+Dados!J13</f>
        <v>5</v>
      </c>
      <c r="F13" s="20">
        <f>+Dados!K13</f>
        <v>5</v>
      </c>
      <c r="G13" s="20">
        <f>+Dados!L13</f>
        <v>5</v>
      </c>
      <c r="H13" s="20">
        <f>+Dados!M13</f>
        <v>4</v>
      </c>
      <c r="I13" s="20">
        <f>+Dados!N13</f>
        <v>5</v>
      </c>
    </row>
    <row r="14" spans="1:18" x14ac:dyDescent="0.5">
      <c r="A14" s="20" t="str">
        <f>+Dados!V14</f>
        <v>Luziânia</v>
      </c>
      <c r="B14" s="20" t="str">
        <f>+Dados!G14</f>
        <v>Gestão municipal</v>
      </c>
      <c r="C14" s="20">
        <f>+Dados!H14</f>
        <v>5</v>
      </c>
      <c r="D14" s="20">
        <f>+Dados!I14</f>
        <v>5</v>
      </c>
      <c r="E14" s="20">
        <f>+Dados!J14</f>
        <v>5</v>
      </c>
      <c r="F14" s="20">
        <f>+Dados!K14</f>
        <v>5</v>
      </c>
      <c r="G14" s="20">
        <f>+Dados!L14</f>
        <v>5</v>
      </c>
      <c r="H14" s="20">
        <f>+Dados!M14</f>
        <v>5</v>
      </c>
      <c r="I14" s="20">
        <f>+Dados!N14</f>
        <v>5</v>
      </c>
    </row>
    <row r="15" spans="1:18" x14ac:dyDescent="0.5">
      <c r="A15" s="20" t="str">
        <f>+Dados!V15</f>
        <v>Cabeceiras</v>
      </c>
      <c r="B15" s="20" t="str">
        <f>+Dados!G15</f>
        <v>Gestão municipal</v>
      </c>
      <c r="C15" s="20">
        <f>+Dados!H15</f>
        <v>5</v>
      </c>
      <c r="D15" s="20">
        <f>+Dados!I15</f>
        <v>5</v>
      </c>
      <c r="E15" s="20">
        <f>+Dados!J15</f>
        <v>5</v>
      </c>
      <c r="F15" s="20">
        <f>+Dados!K15</f>
        <v>5</v>
      </c>
      <c r="G15" s="20">
        <f>+Dados!L15</f>
        <v>5</v>
      </c>
      <c r="H15" s="20">
        <f>+Dados!M15</f>
        <v>5</v>
      </c>
      <c r="I15" s="20">
        <f>+Dados!N15</f>
        <v>5</v>
      </c>
    </row>
    <row r="16" spans="1:18" x14ac:dyDescent="0.5">
      <c r="A16" s="20" t="str">
        <f>+Dados!V16</f>
        <v>Águas Lindas de Goiás</v>
      </c>
      <c r="B16" s="20" t="str">
        <f>+Dados!G16</f>
        <v>Gestão municipal</v>
      </c>
      <c r="C16" s="20">
        <f>+Dados!H16</f>
        <v>5</v>
      </c>
      <c r="D16" s="20">
        <f>+Dados!I16</f>
        <v>5</v>
      </c>
      <c r="E16" s="20">
        <f>+Dados!J16</f>
        <v>5</v>
      </c>
      <c r="F16" s="20">
        <f>+Dados!K16</f>
        <v>5</v>
      </c>
      <c r="G16" s="20">
        <f>+Dados!L16</f>
        <v>5</v>
      </c>
      <c r="H16" s="20">
        <f>+Dados!M16</f>
        <v>5</v>
      </c>
      <c r="I16" s="20">
        <f>+Dados!N16</f>
        <v>5</v>
      </c>
    </row>
    <row r="17" spans="1:9" x14ac:dyDescent="0.5">
      <c r="A17" s="20" t="str">
        <f>+Dados!V17</f>
        <v>Luziânia</v>
      </c>
      <c r="B17" s="20" t="str">
        <f>+Dados!G17</f>
        <v>Gestão municipal</v>
      </c>
      <c r="C17" s="20">
        <f>+Dados!H17</f>
        <v>5</v>
      </c>
      <c r="D17" s="20">
        <f>+Dados!I17</f>
        <v>5</v>
      </c>
      <c r="E17" s="20">
        <f>+Dados!J17</f>
        <v>5</v>
      </c>
      <c r="F17" s="20">
        <f>+Dados!K17</f>
        <v>5</v>
      </c>
      <c r="G17" s="20">
        <f>+Dados!L17</f>
        <v>5</v>
      </c>
      <c r="H17" s="20">
        <f>+Dados!M17</f>
        <v>5</v>
      </c>
      <c r="I17" s="20">
        <f>+Dados!N17</f>
        <v>5</v>
      </c>
    </row>
    <row r="18" spans="1:9" x14ac:dyDescent="0.5">
      <c r="A18" s="20" t="str">
        <f>+Dados!V18</f>
        <v>Cidade Ocidental</v>
      </c>
      <c r="B18" s="20" t="str">
        <f>+Dados!G18</f>
        <v>Gestão municipal</v>
      </c>
      <c r="C18" s="20">
        <f>+Dados!H18</f>
        <v>5</v>
      </c>
      <c r="D18" s="20">
        <f>+Dados!I18</f>
        <v>5</v>
      </c>
      <c r="E18" s="20">
        <f>+Dados!J18</f>
        <v>4</v>
      </c>
      <c r="F18" s="20">
        <f>+Dados!K18</f>
        <v>4</v>
      </c>
      <c r="G18" s="20">
        <f>+Dados!L18</f>
        <v>5</v>
      </c>
      <c r="H18" s="20">
        <f>+Dados!M18</f>
        <v>5</v>
      </c>
      <c r="I18" s="20">
        <f>+Dados!N18</f>
        <v>5</v>
      </c>
    </row>
    <row r="19" spans="1:9" x14ac:dyDescent="0.5">
      <c r="A19" s="20" t="str">
        <f>+Dados!V19</f>
        <v>Cristalina</v>
      </c>
      <c r="B19" s="20" t="str">
        <f>+Dados!G19</f>
        <v>Gestão municipal</v>
      </c>
      <c r="C19" s="20">
        <f>+Dados!H19</f>
        <v>4</v>
      </c>
      <c r="D19" s="20">
        <f>+Dados!I19</f>
        <v>4</v>
      </c>
      <c r="E19" s="20">
        <f>+Dados!J19</f>
        <v>4</v>
      </c>
      <c r="F19" s="20">
        <f>+Dados!K19</f>
        <v>4</v>
      </c>
      <c r="G19" s="20">
        <f>+Dados!L19</f>
        <v>5</v>
      </c>
      <c r="H19" s="20">
        <f>+Dados!M19</f>
        <v>4</v>
      </c>
      <c r="I19" s="20">
        <f>+Dados!N19</f>
        <v>4</v>
      </c>
    </row>
    <row r="20" spans="1:9" x14ac:dyDescent="0.5">
      <c r="A20" s="20" t="str">
        <f>+Dados!V20</f>
        <v>Cristalina</v>
      </c>
      <c r="B20" s="20" t="str">
        <f>+Dados!G20</f>
        <v>Gestão municipal</v>
      </c>
      <c r="C20" s="20">
        <f>+Dados!H20</f>
        <v>5</v>
      </c>
      <c r="D20" s="20">
        <f>+Dados!I20</f>
        <v>5</v>
      </c>
      <c r="E20" s="20">
        <f>+Dados!J20</f>
        <v>5</v>
      </c>
      <c r="F20" s="20">
        <f>+Dados!K20</f>
        <v>5</v>
      </c>
      <c r="G20" s="20">
        <f>+Dados!L20</f>
        <v>5</v>
      </c>
      <c r="H20" s="20">
        <f>+Dados!M20</f>
        <v>5</v>
      </c>
      <c r="I20" s="20">
        <f>+Dados!N20</f>
        <v>5</v>
      </c>
    </row>
    <row r="21" spans="1:9" x14ac:dyDescent="0.5">
      <c r="A21" s="20" t="str">
        <f>+Dados!V21</f>
        <v>Alexânia</v>
      </c>
      <c r="B21" s="20" t="str">
        <f>+Dados!G21</f>
        <v>Gestão municipal</v>
      </c>
      <c r="C21" s="20">
        <f>+Dados!H21</f>
        <v>4</v>
      </c>
      <c r="D21" s="20">
        <f>+Dados!I21</f>
        <v>3</v>
      </c>
      <c r="E21" s="20">
        <f>+Dados!J21</f>
        <v>4</v>
      </c>
      <c r="F21" s="20">
        <f>+Dados!K21</f>
        <v>4</v>
      </c>
      <c r="G21" s="20">
        <f>+Dados!L21</f>
        <v>5</v>
      </c>
      <c r="H21" s="20">
        <f>+Dados!M21</f>
        <v>5</v>
      </c>
      <c r="I21" s="20">
        <f>+Dados!N21</f>
        <v>5</v>
      </c>
    </row>
    <row r="22" spans="1:9" x14ac:dyDescent="0.5">
      <c r="A22" s="20" t="str">
        <f>+Dados!V22</f>
        <v>Alexânia</v>
      </c>
      <c r="B22" s="20" t="str">
        <f>+Dados!G22</f>
        <v>Gestão municipal</v>
      </c>
      <c r="C22" s="20">
        <f>+Dados!H22</f>
        <v>5</v>
      </c>
      <c r="D22" s="20">
        <f>+Dados!I22</f>
        <v>4</v>
      </c>
      <c r="E22" s="20">
        <f>+Dados!J22</f>
        <v>5</v>
      </c>
      <c r="F22" s="20">
        <f>+Dados!K22</f>
        <v>5</v>
      </c>
      <c r="G22" s="20">
        <f>+Dados!L22</f>
        <v>5</v>
      </c>
      <c r="H22" s="20">
        <f>+Dados!M22</f>
        <v>5</v>
      </c>
      <c r="I22" s="20">
        <f>+Dados!N22</f>
        <v>5</v>
      </c>
    </row>
    <row r="23" spans="1:9" x14ac:dyDescent="0.5">
      <c r="A23" s="20" t="str">
        <f>+Dados!V23</f>
        <v>Mimoso de Goiás</v>
      </c>
      <c r="B23" s="20" t="str">
        <f>+Dados!G23</f>
        <v>Gestão municipal</v>
      </c>
      <c r="C23" s="20">
        <f>+Dados!H23</f>
        <v>5</v>
      </c>
      <c r="D23" s="20">
        <f>+Dados!I23</f>
        <v>5</v>
      </c>
      <c r="E23" s="20">
        <f>+Dados!J23</f>
        <v>5</v>
      </c>
      <c r="F23" s="20">
        <f>+Dados!K23</f>
        <v>5</v>
      </c>
      <c r="G23" s="20">
        <f>+Dados!L23</f>
        <v>5</v>
      </c>
      <c r="H23" s="20">
        <f>+Dados!M23</f>
        <v>5</v>
      </c>
      <c r="I23" s="20">
        <f>+Dados!N23</f>
        <v>5</v>
      </c>
    </row>
    <row r="24" spans="1:9" x14ac:dyDescent="0.5">
      <c r="A24" s="20" t="str">
        <f>+Dados!V24</f>
        <v>São João d'Aliança</v>
      </c>
      <c r="B24" s="20" t="str">
        <f>+Dados!G24</f>
        <v>Gestão municipal</v>
      </c>
      <c r="C24" s="20">
        <f>+Dados!H24</f>
        <v>5</v>
      </c>
      <c r="D24" s="20">
        <f>+Dados!I24</f>
        <v>5</v>
      </c>
      <c r="E24" s="20">
        <f>+Dados!J24</f>
        <v>5</v>
      </c>
      <c r="F24" s="20">
        <f>+Dados!K24</f>
        <v>5</v>
      </c>
      <c r="G24" s="20">
        <f>+Dados!L24</f>
        <v>5</v>
      </c>
      <c r="H24" s="20">
        <f>+Dados!M24</f>
        <v>5</v>
      </c>
      <c r="I24" s="20">
        <f>+Dados!N24</f>
        <v>5</v>
      </c>
    </row>
    <row r="25" spans="1:9" x14ac:dyDescent="0.5">
      <c r="A25" s="20" t="str">
        <f>+Dados!V25</f>
        <v>Mimoso de Goiás</v>
      </c>
      <c r="B25" s="20" t="str">
        <f>+Dados!G25</f>
        <v>Gestão municipal</v>
      </c>
      <c r="C25" s="20">
        <f>+Dados!H25</f>
        <v>5</v>
      </c>
      <c r="D25" s="20">
        <f>+Dados!I25</f>
        <v>5</v>
      </c>
      <c r="E25" s="20">
        <f>+Dados!J25</f>
        <v>3</v>
      </c>
      <c r="F25" s="20">
        <f>+Dados!K25</f>
        <v>5</v>
      </c>
      <c r="G25" s="20">
        <f>+Dados!L25</f>
        <v>5</v>
      </c>
      <c r="H25" s="20">
        <f>+Dados!M25</f>
        <v>4</v>
      </c>
      <c r="I25" s="20">
        <f>+Dados!N25</f>
        <v>5</v>
      </c>
    </row>
    <row r="26" spans="1:9" x14ac:dyDescent="0.5">
      <c r="A26" s="20" t="str">
        <f>+Dados!V26</f>
        <v>Formosa</v>
      </c>
      <c r="B26" s="20" t="str">
        <f>+Dados!G26</f>
        <v>Gestão municipal</v>
      </c>
      <c r="C26" s="20">
        <f>+Dados!H26</f>
        <v>5</v>
      </c>
      <c r="D26" s="20">
        <f>+Dados!I26</f>
        <v>4</v>
      </c>
      <c r="E26" s="20">
        <f>+Dados!J26</f>
        <v>5</v>
      </c>
      <c r="F26" s="20">
        <f>+Dados!K26</f>
        <v>5</v>
      </c>
      <c r="G26" s="20">
        <f>+Dados!L26</f>
        <v>5</v>
      </c>
      <c r="H26" s="20">
        <f>+Dados!M26</f>
        <v>5</v>
      </c>
      <c r="I26" s="20">
        <f>+Dados!N26</f>
        <v>5</v>
      </c>
    </row>
    <row r="27" spans="1:9" x14ac:dyDescent="0.5">
      <c r="C27" s="20"/>
      <c r="D27" s="20"/>
      <c r="E27" s="20"/>
      <c r="F27" s="20"/>
      <c r="G27" s="20"/>
      <c r="H27" s="20"/>
      <c r="I27" s="20"/>
    </row>
    <row r="28" spans="1:9" x14ac:dyDescent="0.5">
      <c r="C28" s="20"/>
      <c r="D28" s="20"/>
      <c r="E28" s="20"/>
      <c r="F28" s="20"/>
      <c r="G28" s="20"/>
      <c r="H28" s="20"/>
      <c r="I28" s="20"/>
    </row>
    <row r="29" spans="1:9" x14ac:dyDescent="0.5">
      <c r="C29" s="20"/>
      <c r="D29" s="20"/>
      <c r="E29" s="20"/>
      <c r="F29" s="20"/>
      <c r="G29" s="20"/>
      <c r="H29" s="20"/>
      <c r="I29" s="20"/>
    </row>
    <row r="30" spans="1:9" x14ac:dyDescent="0.5">
      <c r="C30" s="20"/>
      <c r="D30" s="20"/>
      <c r="E30" s="20"/>
      <c r="F30" s="20"/>
      <c r="G30" s="20"/>
      <c r="H30" s="20"/>
      <c r="I30" s="20"/>
    </row>
    <row r="31" spans="1:9" x14ac:dyDescent="0.5">
      <c r="C31" s="20"/>
      <c r="D31" s="20"/>
      <c r="E31" s="20"/>
      <c r="F31" s="20"/>
      <c r="G31" s="20"/>
      <c r="H31" s="20"/>
      <c r="I31" s="20"/>
    </row>
    <row r="32" spans="1:9" x14ac:dyDescent="0.5">
      <c r="C32" s="20"/>
      <c r="D32" s="20"/>
      <c r="E32" s="20"/>
      <c r="F32" s="20"/>
      <c r="G32" s="20"/>
      <c r="H32" s="20"/>
      <c r="I32" s="20"/>
    </row>
    <row r="33" spans="3:9" x14ac:dyDescent="0.5">
      <c r="C33" s="20"/>
      <c r="D33" s="20"/>
      <c r="E33" s="20"/>
      <c r="F33" s="20"/>
      <c r="G33" s="20"/>
      <c r="H33" s="20"/>
      <c r="I33" s="20"/>
    </row>
    <row r="34" spans="3:9" x14ac:dyDescent="0.5">
      <c r="C34" s="20"/>
      <c r="D34" s="20"/>
      <c r="E34" s="20"/>
      <c r="F34" s="20"/>
      <c r="G34" s="20"/>
      <c r="H34" s="20"/>
      <c r="I34" s="20"/>
    </row>
    <row r="35" spans="3:9" x14ac:dyDescent="0.5">
      <c r="C35" s="20"/>
      <c r="D35" s="20"/>
      <c r="E35" s="20"/>
      <c r="F35" s="20"/>
      <c r="G35" s="20"/>
      <c r="H35" s="20"/>
      <c r="I35" s="20"/>
    </row>
    <row r="36" spans="3:9" x14ac:dyDescent="0.5">
      <c r="C36" s="20"/>
      <c r="D36" s="20"/>
      <c r="E36" s="20"/>
      <c r="F36" s="20"/>
      <c r="G36" s="20"/>
      <c r="H36" s="20"/>
      <c r="I36" s="20"/>
    </row>
    <row r="37" spans="3:9" x14ac:dyDescent="0.5">
      <c r="C37" s="20"/>
      <c r="D37" s="20"/>
      <c r="E37" s="20"/>
      <c r="F37" s="20"/>
      <c r="G37" s="20"/>
      <c r="H37" s="20"/>
      <c r="I37" s="20"/>
    </row>
    <row r="38" spans="3:9" x14ac:dyDescent="0.5">
      <c r="C38" s="20"/>
      <c r="D38" s="20"/>
      <c r="E38" s="20"/>
      <c r="F38" s="20"/>
      <c r="G38" s="20"/>
      <c r="H38" s="20"/>
      <c r="I38" s="20"/>
    </row>
    <row r="39" spans="3:9" x14ac:dyDescent="0.5">
      <c r="C39" s="20"/>
      <c r="D39" s="20"/>
      <c r="E39" s="20"/>
      <c r="F39" s="20"/>
      <c r="G39" s="20"/>
      <c r="H39" s="20"/>
      <c r="I39" s="20"/>
    </row>
    <row r="40" spans="3:9" x14ac:dyDescent="0.5">
      <c r="C40" s="20"/>
      <c r="D40" s="20"/>
      <c r="E40" s="20"/>
      <c r="F40" s="20"/>
      <c r="G40" s="20"/>
      <c r="H40" s="20"/>
      <c r="I40" s="20"/>
    </row>
    <row r="41" spans="3:9" x14ac:dyDescent="0.5">
      <c r="C41" s="20"/>
      <c r="D41" s="20"/>
      <c r="E41" s="20"/>
      <c r="F41" s="20"/>
      <c r="G41" s="20"/>
      <c r="H41" s="20"/>
      <c r="I41" s="20"/>
    </row>
    <row r="42" spans="3:9" x14ac:dyDescent="0.5">
      <c r="C42" s="20"/>
      <c r="D42" s="20"/>
      <c r="E42" s="20"/>
      <c r="F42" s="20"/>
      <c r="G42" s="20"/>
      <c r="H42" s="20"/>
      <c r="I42" s="20"/>
    </row>
    <row r="43" spans="3:9" x14ac:dyDescent="0.5">
      <c r="C43" s="20"/>
      <c r="D43" s="20"/>
      <c r="E43" s="20"/>
      <c r="F43" s="20"/>
      <c r="G43" s="20"/>
      <c r="H43" s="20"/>
      <c r="I43" s="20"/>
    </row>
    <row r="44" spans="3:9" x14ac:dyDescent="0.5">
      <c r="C44" s="20"/>
      <c r="D44" s="20"/>
      <c r="E44" s="20"/>
      <c r="F44" s="20"/>
      <c r="G44" s="20"/>
      <c r="H44" s="20"/>
      <c r="I44" s="20"/>
    </row>
    <row r="45" spans="3:9" x14ac:dyDescent="0.5">
      <c r="C45" s="20"/>
      <c r="D45" s="20"/>
      <c r="E45" s="20"/>
      <c r="F45" s="20"/>
      <c r="G45" s="20"/>
      <c r="H45" s="20"/>
      <c r="I45" s="20"/>
    </row>
    <row r="46" spans="3:9" x14ac:dyDescent="0.5">
      <c r="C46" s="20"/>
      <c r="D46" s="20"/>
      <c r="E46" s="20"/>
      <c r="F46" s="20"/>
      <c r="G46" s="20"/>
      <c r="H46" s="20"/>
      <c r="I46" s="20"/>
    </row>
    <row r="47" spans="3:9" x14ac:dyDescent="0.5">
      <c r="C47" s="20"/>
      <c r="D47" s="20"/>
      <c r="E47" s="20"/>
      <c r="F47" s="20"/>
      <c r="G47" s="20"/>
      <c r="H47" s="20"/>
      <c r="I47" s="20"/>
    </row>
    <row r="48" spans="3:9" x14ac:dyDescent="0.5">
      <c r="C48" s="20"/>
      <c r="D48" s="20"/>
      <c r="E48" s="20"/>
      <c r="F48" s="20"/>
      <c r="G48" s="20"/>
      <c r="H48" s="20"/>
      <c r="I48" s="20"/>
    </row>
    <row r="49" spans="3:9" x14ac:dyDescent="0.5">
      <c r="C49" s="20"/>
      <c r="D49" s="20"/>
      <c r="E49" s="20"/>
      <c r="F49" s="20"/>
      <c r="G49" s="20"/>
      <c r="H49" s="20"/>
      <c r="I49" s="20"/>
    </row>
    <row r="50" spans="3:9" x14ac:dyDescent="0.5">
      <c r="C50" s="20"/>
      <c r="D50" s="20"/>
      <c r="E50" s="20"/>
      <c r="F50" s="20"/>
      <c r="G50" s="20"/>
      <c r="H50" s="20"/>
      <c r="I50" s="20"/>
    </row>
    <row r="51" spans="3:9" x14ac:dyDescent="0.5">
      <c r="C51" s="20"/>
      <c r="D51" s="20"/>
      <c r="E51" s="20"/>
      <c r="F51" s="20"/>
      <c r="G51" s="20"/>
      <c r="H51" s="20"/>
      <c r="I51" s="20"/>
    </row>
    <row r="52" spans="3:9" x14ac:dyDescent="0.5">
      <c r="C52" s="20"/>
      <c r="D52" s="20"/>
      <c r="E52" s="20"/>
      <c r="F52" s="20"/>
      <c r="G52" s="20"/>
      <c r="H52" s="20"/>
      <c r="I52" s="20"/>
    </row>
    <row r="53" spans="3:9" x14ac:dyDescent="0.5">
      <c r="C53" s="20"/>
      <c r="D53" s="20"/>
      <c r="E53" s="20"/>
      <c r="F53" s="20"/>
      <c r="G53" s="20"/>
      <c r="H53" s="20"/>
      <c r="I53" s="20"/>
    </row>
    <row r="54" spans="3:9" x14ac:dyDescent="0.5">
      <c r="C54" s="20"/>
      <c r="D54" s="20"/>
      <c r="E54" s="20"/>
      <c r="F54" s="20"/>
      <c r="G54" s="20"/>
      <c r="H54" s="20"/>
      <c r="I54" s="20"/>
    </row>
    <row r="55" spans="3:9" x14ac:dyDescent="0.5">
      <c r="C55" s="20"/>
      <c r="D55" s="20"/>
      <c r="E55" s="20"/>
      <c r="F55" s="20"/>
      <c r="G55" s="20"/>
      <c r="H55" s="20"/>
      <c r="I55" s="20"/>
    </row>
    <row r="56" spans="3:9" x14ac:dyDescent="0.5">
      <c r="C56" s="20"/>
      <c r="D56" s="20"/>
      <c r="E56" s="20"/>
      <c r="F56" s="20"/>
      <c r="G56" s="20"/>
      <c r="H56" s="20"/>
      <c r="I56" s="20"/>
    </row>
    <row r="57" spans="3:9" x14ac:dyDescent="0.5">
      <c r="C57" s="20"/>
      <c r="D57" s="20"/>
      <c r="E57" s="20"/>
      <c r="F57" s="20"/>
      <c r="G57" s="20"/>
      <c r="H57" s="20"/>
      <c r="I57" s="20"/>
    </row>
    <row r="58" spans="3:9" x14ac:dyDescent="0.5">
      <c r="C58" s="20"/>
      <c r="D58" s="20"/>
      <c r="E58" s="20"/>
      <c r="F58" s="20"/>
      <c r="G58" s="20"/>
      <c r="H58" s="20"/>
      <c r="I58" s="20"/>
    </row>
    <row r="59" spans="3:9" x14ac:dyDescent="0.5">
      <c r="C59" s="20"/>
      <c r="D59" s="20"/>
      <c r="E59" s="20"/>
      <c r="F59" s="20"/>
      <c r="G59" s="20"/>
      <c r="H59" s="20"/>
      <c r="I59" s="20"/>
    </row>
    <row r="60" spans="3:9" x14ac:dyDescent="0.5">
      <c r="C60" s="20"/>
      <c r="D60" s="20"/>
      <c r="E60" s="20"/>
      <c r="F60" s="20"/>
      <c r="G60" s="20"/>
      <c r="H60" s="20"/>
      <c r="I60" s="20"/>
    </row>
    <row r="61" spans="3:9" x14ac:dyDescent="0.5">
      <c r="C61" s="20"/>
      <c r="D61" s="20"/>
      <c r="E61" s="20"/>
      <c r="F61" s="20"/>
      <c r="G61" s="20"/>
      <c r="H61" s="20"/>
      <c r="I61" s="20"/>
    </row>
    <row r="62" spans="3:9" x14ac:dyDescent="0.5">
      <c r="C62" s="20"/>
      <c r="D62" s="20"/>
      <c r="E62" s="20"/>
      <c r="F62" s="20"/>
      <c r="G62" s="20"/>
      <c r="H62" s="20"/>
      <c r="I62" s="20"/>
    </row>
    <row r="63" spans="3:9" x14ac:dyDescent="0.5">
      <c r="C63" s="20"/>
      <c r="D63" s="20"/>
      <c r="E63" s="20"/>
      <c r="F63" s="20"/>
      <c r="G63" s="20"/>
      <c r="H63" s="20"/>
      <c r="I63" s="20"/>
    </row>
    <row r="64" spans="3:9" x14ac:dyDescent="0.5">
      <c r="C64" s="20"/>
      <c r="D64" s="20"/>
      <c r="E64" s="20"/>
      <c r="F64" s="20"/>
      <c r="G64" s="20"/>
      <c r="H64" s="20"/>
      <c r="I64" s="20"/>
    </row>
    <row r="65" spans="3:9" x14ac:dyDescent="0.5">
      <c r="C65" s="20"/>
      <c r="D65" s="20"/>
      <c r="E65" s="20"/>
      <c r="F65" s="20"/>
      <c r="G65" s="20"/>
      <c r="H65" s="20"/>
      <c r="I65" s="20"/>
    </row>
    <row r="66" spans="3:9" x14ac:dyDescent="0.5">
      <c r="C66" s="20"/>
      <c r="D66" s="20"/>
      <c r="E66" s="20"/>
      <c r="F66" s="20"/>
      <c r="G66" s="20"/>
      <c r="H66" s="20"/>
      <c r="I66" s="20"/>
    </row>
    <row r="67" spans="3:9" x14ac:dyDescent="0.5">
      <c r="C67" s="20"/>
      <c r="D67" s="20"/>
      <c r="E67" s="20"/>
      <c r="F67" s="20"/>
      <c r="G67" s="20"/>
      <c r="H67" s="20"/>
      <c r="I67" s="20"/>
    </row>
    <row r="68" spans="3:9" x14ac:dyDescent="0.5">
      <c r="C68" s="20"/>
      <c r="D68" s="20"/>
      <c r="E68" s="20"/>
      <c r="F68" s="20"/>
      <c r="G68" s="20"/>
      <c r="H68" s="20"/>
      <c r="I68" s="20"/>
    </row>
    <row r="69" spans="3:9" x14ac:dyDescent="0.5">
      <c r="C69" s="20"/>
      <c r="D69" s="20"/>
      <c r="E69" s="20"/>
      <c r="F69" s="20"/>
      <c r="G69" s="20"/>
      <c r="H69" s="20"/>
      <c r="I69" s="20"/>
    </row>
    <row r="70" spans="3:9" x14ac:dyDescent="0.5">
      <c r="C70" s="20"/>
      <c r="D70" s="20"/>
      <c r="E70" s="20"/>
      <c r="F70" s="20"/>
      <c r="G70" s="20"/>
      <c r="H70" s="20"/>
      <c r="I70" s="20"/>
    </row>
    <row r="71" spans="3:9" x14ac:dyDescent="0.5">
      <c r="C71" s="20"/>
      <c r="D71" s="20"/>
      <c r="E71" s="20"/>
      <c r="F71" s="20"/>
      <c r="G71" s="20"/>
      <c r="H71" s="20"/>
      <c r="I71" s="20"/>
    </row>
    <row r="72" spans="3:9" x14ac:dyDescent="0.5">
      <c r="C72" s="20"/>
      <c r="D72" s="20"/>
      <c r="E72" s="20"/>
      <c r="F72" s="20"/>
      <c r="G72" s="20"/>
      <c r="H72" s="20"/>
      <c r="I72" s="20"/>
    </row>
    <row r="73" spans="3:9" x14ac:dyDescent="0.5">
      <c r="C73" s="20"/>
      <c r="D73" s="20"/>
      <c r="E73" s="20"/>
      <c r="F73" s="20"/>
      <c r="G73" s="20"/>
      <c r="H73" s="20"/>
      <c r="I73" s="20"/>
    </row>
    <row r="74" spans="3:9" x14ac:dyDescent="0.5">
      <c r="C74" s="20"/>
      <c r="D74" s="20"/>
      <c r="E74" s="20"/>
      <c r="F74" s="20"/>
      <c r="G74" s="20"/>
      <c r="H74" s="20"/>
      <c r="I74" s="20"/>
    </row>
    <row r="75" spans="3:9" x14ac:dyDescent="0.5">
      <c r="C75" s="20"/>
      <c r="D75" s="20"/>
      <c r="E75" s="20"/>
      <c r="F75" s="20"/>
      <c r="G75" s="20"/>
      <c r="H75" s="20"/>
      <c r="I75" s="20"/>
    </row>
    <row r="76" spans="3:9" x14ac:dyDescent="0.5">
      <c r="C76" s="20"/>
      <c r="D76" s="20"/>
      <c r="E76" s="20"/>
      <c r="F76" s="20"/>
      <c r="G76" s="20"/>
      <c r="H76" s="20"/>
      <c r="I76" s="20"/>
    </row>
    <row r="77" spans="3:9" x14ac:dyDescent="0.5">
      <c r="C77" s="20"/>
      <c r="D77" s="20"/>
      <c r="E77" s="20"/>
      <c r="F77" s="20"/>
      <c r="G77" s="20"/>
      <c r="H77" s="20"/>
      <c r="I77" s="20"/>
    </row>
    <row r="78" spans="3:9" x14ac:dyDescent="0.5">
      <c r="C78" s="20"/>
      <c r="D78" s="20"/>
      <c r="E78" s="20"/>
      <c r="F78" s="20"/>
      <c r="G78" s="20"/>
      <c r="H78" s="20"/>
      <c r="I78" s="20"/>
    </row>
    <row r="79" spans="3:9" x14ac:dyDescent="0.5">
      <c r="C79" s="20"/>
      <c r="D79" s="20"/>
      <c r="E79" s="20"/>
      <c r="F79" s="20"/>
      <c r="G79" s="20"/>
      <c r="H79" s="20"/>
      <c r="I79" s="20"/>
    </row>
    <row r="80" spans="3:9" x14ac:dyDescent="0.5">
      <c r="C80" s="20"/>
      <c r="D80" s="20"/>
      <c r="E80" s="20"/>
      <c r="F80" s="20"/>
      <c r="G80" s="20"/>
      <c r="H80" s="20"/>
      <c r="I80" s="20"/>
    </row>
    <row r="81" spans="3:9" x14ac:dyDescent="0.5">
      <c r="C81" s="20"/>
      <c r="D81" s="20"/>
      <c r="E81" s="20"/>
      <c r="F81" s="20"/>
      <c r="G81" s="20"/>
      <c r="H81" s="20"/>
      <c r="I81" s="20"/>
    </row>
    <row r="82" spans="3:9" x14ac:dyDescent="0.5">
      <c r="C82" s="20"/>
      <c r="D82" s="20"/>
      <c r="E82" s="20"/>
      <c r="F82" s="20"/>
      <c r="G82" s="20"/>
      <c r="H82" s="20"/>
      <c r="I82" s="20"/>
    </row>
    <row r="83" spans="3:9" x14ac:dyDescent="0.5">
      <c r="C83" s="20"/>
      <c r="D83" s="20"/>
      <c r="E83" s="20"/>
      <c r="F83" s="20"/>
      <c r="G83" s="20"/>
      <c r="H83" s="20"/>
      <c r="I83" s="20"/>
    </row>
    <row r="84" spans="3:9" x14ac:dyDescent="0.5">
      <c r="C84" s="20"/>
      <c r="D84" s="20"/>
      <c r="E84" s="20"/>
      <c r="F84" s="20"/>
      <c r="G84" s="20"/>
      <c r="H84" s="20"/>
      <c r="I84" s="20"/>
    </row>
    <row r="85" spans="3:9" x14ac:dyDescent="0.5">
      <c r="C85" s="20"/>
      <c r="D85" s="20"/>
      <c r="E85" s="20"/>
      <c r="F85" s="20"/>
      <c r="G85" s="20"/>
      <c r="H85" s="20"/>
      <c r="I85" s="20"/>
    </row>
  </sheetData>
  <sortState xmlns:xlrd2="http://schemas.microsoft.com/office/spreadsheetml/2017/richdata2" ref="A2:I72">
    <sortCondition ref="B2:B72"/>
  </sortState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EE33E-F941-4DE3-AD62-EDA94AF3F309}">
  <dimension ref="A1:R48"/>
  <sheetViews>
    <sheetView zoomScale="55" zoomScaleNormal="55" workbookViewId="0">
      <selection activeCell="A2" sqref="A2"/>
    </sheetView>
  </sheetViews>
  <sheetFormatPr defaultColWidth="9" defaultRowHeight="19.2" x14ac:dyDescent="0.5"/>
  <cols>
    <col min="1" max="1" width="14.3984375" style="20" customWidth="1"/>
    <col min="2" max="2" width="20.3984375" style="20" customWidth="1"/>
    <col min="3" max="3" width="5.69921875" style="21" bestFit="1" customWidth="1"/>
    <col min="4" max="4" width="8.8984375" style="21" customWidth="1"/>
    <col min="5" max="8" width="7.19921875" style="21" bestFit="1" customWidth="1"/>
    <col min="9" max="9" width="10.3984375" style="21" bestFit="1" customWidth="1"/>
    <col min="10" max="11" width="23.19921875" style="1" customWidth="1"/>
    <col min="12" max="12" width="9" style="1"/>
    <col min="13" max="13" width="26.3984375" style="1" bestFit="1" customWidth="1"/>
    <col min="14" max="18" width="9.3984375" style="2" customWidth="1"/>
    <col min="19" max="16384" width="9" style="1"/>
  </cols>
  <sheetData>
    <row r="1" spans="1:18" ht="66.75" customHeight="1" x14ac:dyDescent="0.5">
      <c r="A1" s="18" t="s">
        <v>33</v>
      </c>
      <c r="B1" s="18" t="s">
        <v>34</v>
      </c>
      <c r="C1" s="19" t="s">
        <v>35</v>
      </c>
      <c r="D1" s="19" t="s">
        <v>36</v>
      </c>
      <c r="E1" s="19" t="s">
        <v>37</v>
      </c>
      <c r="F1" s="19" t="s">
        <v>38</v>
      </c>
      <c r="G1" s="19" t="s">
        <v>39</v>
      </c>
      <c r="H1" s="19" t="s">
        <v>40</v>
      </c>
      <c r="I1" s="18" t="s">
        <v>41</v>
      </c>
    </row>
    <row r="2" spans="1:18" x14ac:dyDescent="0.5">
      <c r="A2" s="20" t="str">
        <f>+Dados!V2</f>
        <v>Formosa</v>
      </c>
      <c r="B2" s="20" t="str">
        <f>+Dados!G2</f>
        <v>CACS-FUNDEB</v>
      </c>
      <c r="C2" s="20">
        <f>+Dados!H2</f>
        <v>5</v>
      </c>
      <c r="D2" s="20">
        <f>+Dados!I2</f>
        <v>5</v>
      </c>
      <c r="E2" s="20">
        <f>+Dados!J2</f>
        <v>5</v>
      </c>
      <c r="F2" s="20">
        <f>+Dados!K2</f>
        <v>5</v>
      </c>
      <c r="G2" s="20">
        <f>+Dados!L2</f>
        <v>5</v>
      </c>
      <c r="H2" s="20">
        <f>+Dados!M2</f>
        <v>5</v>
      </c>
      <c r="I2" s="20">
        <f>+Dados!N2</f>
        <v>5</v>
      </c>
      <c r="N2" s="2" t="s">
        <v>2</v>
      </c>
      <c r="O2" s="2" t="s">
        <v>45</v>
      </c>
      <c r="P2" s="2" t="s">
        <v>44</v>
      </c>
      <c r="Q2" s="2" t="s">
        <v>43</v>
      </c>
      <c r="R2" s="2" t="s">
        <v>42</v>
      </c>
    </row>
    <row r="3" spans="1:18" x14ac:dyDescent="0.5">
      <c r="A3" s="20" t="str">
        <f>+Dados!V3</f>
        <v>São João d'Aliança</v>
      </c>
      <c r="B3" s="20" t="str">
        <f>+Dados!G3</f>
        <v>CACS-FUNDEB</v>
      </c>
      <c r="C3" s="20">
        <f>+Dados!H3</f>
        <v>5</v>
      </c>
      <c r="D3" s="20">
        <f>+Dados!I3</f>
        <v>5</v>
      </c>
      <c r="E3" s="20">
        <f>+Dados!J3</f>
        <v>5</v>
      </c>
      <c r="F3" s="20">
        <f>+Dados!K3</f>
        <v>4</v>
      </c>
      <c r="G3" s="20">
        <f>+Dados!L3</f>
        <v>4</v>
      </c>
      <c r="H3" s="20">
        <f>+Dados!M3</f>
        <v>4</v>
      </c>
      <c r="I3" s="20">
        <f>+Dados!N3</f>
        <v>5</v>
      </c>
      <c r="N3" s="20">
        <v>1</v>
      </c>
      <c r="O3" s="20">
        <v>2</v>
      </c>
      <c r="P3" s="20">
        <v>3</v>
      </c>
      <c r="Q3" s="20">
        <v>4</v>
      </c>
      <c r="R3" s="20">
        <v>5</v>
      </c>
    </row>
    <row r="4" spans="1:18" x14ac:dyDescent="0.5">
      <c r="A4" s="20" t="str">
        <f>+Dados!V4</f>
        <v>Cristalina</v>
      </c>
      <c r="B4" s="20" t="str">
        <f>+Dados!G4</f>
        <v>CACS-FUNDEB</v>
      </c>
      <c r="C4" s="20">
        <f>+Dados!H4</f>
        <v>5</v>
      </c>
      <c r="D4" s="20">
        <f>+Dados!I4</f>
        <v>5</v>
      </c>
      <c r="E4" s="20">
        <f>+Dados!J4</f>
        <v>5</v>
      </c>
      <c r="F4" s="20">
        <f>+Dados!K4</f>
        <v>5</v>
      </c>
      <c r="G4" s="20">
        <f>+Dados!L4</f>
        <v>5</v>
      </c>
      <c r="H4" s="20">
        <f>+Dados!M4</f>
        <v>5</v>
      </c>
      <c r="I4" s="20">
        <f>+Dados!N4</f>
        <v>5</v>
      </c>
    </row>
    <row r="5" spans="1:18" x14ac:dyDescent="0.5">
      <c r="A5" s="20" t="str">
        <f>+Dados!V5</f>
        <v>Água Fria de Goiás</v>
      </c>
      <c r="B5" s="20" t="str">
        <f>+Dados!G5</f>
        <v>CACS-FUNDEB</v>
      </c>
      <c r="C5" s="20">
        <f>+Dados!H5</f>
        <v>5</v>
      </c>
      <c r="D5" s="20">
        <f>+Dados!I5</f>
        <v>3</v>
      </c>
      <c r="E5" s="20">
        <f>+Dados!J5</f>
        <v>5</v>
      </c>
      <c r="F5" s="20">
        <f>+Dados!K5</f>
        <v>5</v>
      </c>
      <c r="G5" s="20">
        <f>+Dados!L5</f>
        <v>5</v>
      </c>
      <c r="H5" s="20">
        <f>+Dados!M5</f>
        <v>5</v>
      </c>
      <c r="I5" s="20">
        <f>+Dados!N5</f>
        <v>5</v>
      </c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5">
      <c r="A6" s="20" t="str">
        <f>+Dados!V6</f>
        <v>Cabeceiras</v>
      </c>
      <c r="B6" s="20" t="str">
        <f>+Dados!G6</f>
        <v>CACS-FUNDEB</v>
      </c>
      <c r="C6" s="20">
        <f>+Dados!H6</f>
        <v>5</v>
      </c>
      <c r="D6" s="20">
        <f>+Dados!I6</f>
        <v>5</v>
      </c>
      <c r="E6" s="20">
        <f>+Dados!J6</f>
        <v>5</v>
      </c>
      <c r="F6" s="20">
        <f>+Dados!K6</f>
        <v>5</v>
      </c>
      <c r="G6" s="20">
        <f>+Dados!L6</f>
        <v>5</v>
      </c>
      <c r="H6" s="20">
        <f>+Dados!M6</f>
        <v>5</v>
      </c>
      <c r="I6" s="20">
        <f>+Dados!N6</f>
        <v>5</v>
      </c>
      <c r="M6" s="1" t="s">
        <v>35</v>
      </c>
      <c r="N6" s="22">
        <f>COUNTIF(C$2:C$52,$N3)/COUNT(C$2:C$52)</f>
        <v>0</v>
      </c>
      <c r="O6" s="22">
        <f>COUNTIF(C$2:C$52,$O3)/COUNT(C$2:C$52)</f>
        <v>0</v>
      </c>
      <c r="P6" s="22">
        <f>COUNTIF(C$2:C$52,$P3)/COUNT(C$2:C$52)</f>
        <v>0</v>
      </c>
      <c r="Q6" s="22">
        <f>COUNTIF(C$2:C$52,$Q3)/COUNT(C$2:C$52)</f>
        <v>0</v>
      </c>
      <c r="R6" s="22">
        <f>COUNTIF(C$2:C$52,$R3)/COUNT(C$2:C$52)</f>
        <v>1</v>
      </c>
    </row>
    <row r="7" spans="1:18" x14ac:dyDescent="0.5">
      <c r="C7" s="20"/>
      <c r="D7" s="20"/>
      <c r="E7" s="20"/>
      <c r="F7" s="20"/>
      <c r="G7" s="20"/>
      <c r="H7" s="20"/>
      <c r="I7" s="20"/>
      <c r="M7" s="1" t="s">
        <v>36</v>
      </c>
      <c r="N7" s="22">
        <f>COUNTIF(D$2:D$52,$N3)/COUNT(D$2:D$52)</f>
        <v>0</v>
      </c>
      <c r="O7" s="22">
        <f>COUNTIF(D$2:D$52,$O3)/COUNT(D$2:D$52)</f>
        <v>0</v>
      </c>
      <c r="P7" s="22">
        <f>COUNTIF(D$2:D$52,$P3)/COUNT(D$2:D$52)</f>
        <v>0.2</v>
      </c>
      <c r="Q7" s="22">
        <f>COUNTIF(D$2:D$52,$Q3)/COUNT(D$2:D$52)</f>
        <v>0</v>
      </c>
      <c r="R7" s="22">
        <f>COUNTIF(D$2:D$52,$R3)/COUNT(D$2:D$52)</f>
        <v>0.8</v>
      </c>
    </row>
    <row r="8" spans="1:18" x14ac:dyDescent="0.5">
      <c r="C8" s="20"/>
      <c r="D8" s="20"/>
      <c r="E8" s="20"/>
      <c r="F8" s="20"/>
      <c r="G8" s="20"/>
      <c r="H8" s="20"/>
      <c r="I8" s="20"/>
      <c r="M8" s="1" t="s">
        <v>37</v>
      </c>
      <c r="N8" s="22">
        <f>COUNTIF(E$2:E$52,$N3)/COUNT(E$2:E$52)</f>
        <v>0</v>
      </c>
      <c r="O8" s="22">
        <f>COUNTIF(E$2:E$52,$O3)/COUNT(E$2:E$52)</f>
        <v>0</v>
      </c>
      <c r="P8" s="22">
        <f>COUNTIF(E$2:E$52,$P3)/COUNT(E$2:E$52)</f>
        <v>0</v>
      </c>
      <c r="Q8" s="22">
        <f>COUNTIF(E$2:E$52,$Q3)/COUNT(E$2:E$52)</f>
        <v>0</v>
      </c>
      <c r="R8" s="22">
        <f>COUNTIF(E$2:E$52,$R3)/COUNT(E$2:E$52)</f>
        <v>1</v>
      </c>
    </row>
    <row r="9" spans="1:18" x14ac:dyDescent="0.5">
      <c r="C9" s="20"/>
      <c r="D9" s="20"/>
      <c r="E9" s="20"/>
      <c r="F9" s="20"/>
      <c r="G9" s="20"/>
      <c r="H9" s="20"/>
      <c r="I9" s="20"/>
      <c r="M9" s="1" t="s">
        <v>38</v>
      </c>
      <c r="N9" s="22">
        <f>COUNTIF(F$2:F$52,$N3)/COUNT(F$2:F$52)</f>
        <v>0</v>
      </c>
      <c r="O9" s="22">
        <f>COUNTIF(F$2:F$52,$O3)/COUNT(F$2:F$52)</f>
        <v>0</v>
      </c>
      <c r="P9" s="22">
        <f>COUNTIF(F$2:F$52,$P3)/COUNT(F$2:F$52)</f>
        <v>0</v>
      </c>
      <c r="Q9" s="22">
        <f>COUNTIF(F$2:F$52,$Q3)/COUNT(F$2:F$52)</f>
        <v>0.2</v>
      </c>
      <c r="R9" s="22">
        <f>COUNTIF(F$2:F$52,$R3)/COUNT(F$2:F$52)</f>
        <v>0.8</v>
      </c>
    </row>
    <row r="10" spans="1:18" x14ac:dyDescent="0.5">
      <c r="C10" s="20"/>
      <c r="D10" s="20"/>
      <c r="E10" s="20"/>
      <c r="F10" s="20"/>
      <c r="G10" s="20"/>
      <c r="H10" s="20"/>
      <c r="I10" s="20"/>
      <c r="M10" s="1" t="s">
        <v>39</v>
      </c>
      <c r="N10" s="22">
        <f>COUNTIF(G$2:G$52,$N3)/COUNT(G$2:G$52)</f>
        <v>0</v>
      </c>
      <c r="O10" s="22">
        <f>COUNTIF(G$2:G$52,$O3)/COUNT(G$2:G$52)</f>
        <v>0</v>
      </c>
      <c r="P10" s="22">
        <f>COUNTIF(G$2:G$52,$P3)/COUNT(G$2:G$52)</f>
        <v>0</v>
      </c>
      <c r="Q10" s="22">
        <f>COUNTIF(G$2:G$52,$Q3)/COUNT(G$2:G$52)</f>
        <v>0.2</v>
      </c>
      <c r="R10" s="22">
        <f>COUNTIF(G$2:G$52,$R3)/COUNT(G$2:G$52)</f>
        <v>0.8</v>
      </c>
    </row>
    <row r="11" spans="1:18" x14ac:dyDescent="0.5">
      <c r="C11" s="20"/>
      <c r="D11" s="20"/>
      <c r="E11" s="20"/>
      <c r="F11" s="20"/>
      <c r="G11" s="20"/>
      <c r="H11" s="20"/>
      <c r="I11" s="20"/>
      <c r="M11" s="1" t="s">
        <v>40</v>
      </c>
      <c r="N11" s="22">
        <f>COUNTIF(H$2:H$52,$N3)/COUNT(H$2:H$52)</f>
        <v>0</v>
      </c>
      <c r="O11" s="22">
        <f>COUNTIF(H$2:H$52,$O3)/COUNT(H$2:H$52)</f>
        <v>0</v>
      </c>
      <c r="P11" s="22">
        <f>COUNTIF(H$2:H$52,$P3)/COUNT(H$2:H$52)</f>
        <v>0</v>
      </c>
      <c r="Q11" s="22">
        <f>COUNTIF(H$2:H$52,$Q3)/COUNT(H$2:H$52)</f>
        <v>0.2</v>
      </c>
      <c r="R11" s="22">
        <f>COUNTIF(H$2:H$52,$R3)/COUNT(H$2:H$52)</f>
        <v>0.8</v>
      </c>
    </row>
    <row r="12" spans="1:18" x14ac:dyDescent="0.5">
      <c r="C12" s="20"/>
      <c r="D12" s="20"/>
      <c r="E12" s="20"/>
      <c r="F12" s="20"/>
      <c r="G12" s="20"/>
      <c r="H12" s="20"/>
      <c r="I12" s="20"/>
      <c r="M12" s="1" t="s">
        <v>41</v>
      </c>
      <c r="N12" s="22">
        <f>COUNTIF(I$2:I$52,$N3)/COUNT(I$2:I$52)</f>
        <v>0</v>
      </c>
      <c r="O12" s="22">
        <f>COUNTIF(I$2:I$52,$O3)/COUNT(I$2:I$52)</f>
        <v>0</v>
      </c>
      <c r="P12" s="22">
        <f>COUNTIF(I$2:I$52,$P3)/COUNT(I$2:I$52)</f>
        <v>0</v>
      </c>
      <c r="Q12" s="22">
        <f>COUNTIF(I$2:I$52,$Q3)/COUNT(I$2:I$52)</f>
        <v>0</v>
      </c>
      <c r="R12" s="22">
        <f>COUNTIF(I$2:I$52,$R3)/COUNT(I$2:I$52)</f>
        <v>1</v>
      </c>
    </row>
    <row r="13" spans="1:18" x14ac:dyDescent="0.5">
      <c r="C13" s="20"/>
      <c r="D13" s="20"/>
      <c r="E13" s="20"/>
      <c r="F13" s="20"/>
      <c r="G13" s="20"/>
      <c r="H13" s="20"/>
      <c r="I13" s="20"/>
    </row>
    <row r="14" spans="1:18" x14ac:dyDescent="0.5">
      <c r="C14" s="20"/>
      <c r="D14" s="20"/>
      <c r="E14" s="20"/>
      <c r="F14" s="20"/>
      <c r="G14" s="20"/>
      <c r="H14" s="20"/>
      <c r="I14" s="20"/>
    </row>
    <row r="15" spans="1:18" x14ac:dyDescent="0.5">
      <c r="C15" s="20"/>
      <c r="D15" s="20"/>
      <c r="E15" s="20"/>
      <c r="F15" s="20"/>
      <c r="G15" s="20"/>
      <c r="H15" s="20"/>
      <c r="I15" s="20"/>
    </row>
    <row r="16" spans="1:18" x14ac:dyDescent="0.5">
      <c r="C16" s="20"/>
      <c r="D16" s="20"/>
      <c r="E16" s="20"/>
      <c r="F16" s="20"/>
      <c r="G16" s="20"/>
      <c r="H16" s="20"/>
      <c r="I16" s="20"/>
    </row>
    <row r="17" spans="3:9" x14ac:dyDescent="0.5">
      <c r="C17" s="20"/>
      <c r="D17" s="20"/>
      <c r="E17" s="20"/>
      <c r="F17" s="20"/>
      <c r="G17" s="20"/>
      <c r="H17" s="20"/>
      <c r="I17" s="20"/>
    </row>
    <row r="18" spans="3:9" x14ac:dyDescent="0.5">
      <c r="C18" s="20"/>
      <c r="D18" s="20"/>
      <c r="E18" s="20"/>
      <c r="F18" s="20"/>
      <c r="G18" s="20"/>
      <c r="H18" s="20"/>
      <c r="I18" s="20"/>
    </row>
    <row r="19" spans="3:9" x14ac:dyDescent="0.5">
      <c r="C19" s="20"/>
      <c r="D19" s="20"/>
      <c r="E19" s="20"/>
      <c r="F19" s="20"/>
      <c r="G19" s="20"/>
      <c r="H19" s="20"/>
      <c r="I19" s="20"/>
    </row>
    <row r="20" spans="3:9" x14ac:dyDescent="0.5">
      <c r="C20" s="20"/>
      <c r="D20" s="20"/>
      <c r="E20" s="20"/>
      <c r="F20" s="20"/>
      <c r="G20" s="20"/>
      <c r="H20" s="20"/>
      <c r="I20" s="20"/>
    </row>
    <row r="21" spans="3:9" x14ac:dyDescent="0.5">
      <c r="C21" s="20"/>
      <c r="D21" s="20"/>
      <c r="E21" s="20"/>
      <c r="F21" s="20"/>
      <c r="G21" s="20"/>
      <c r="H21" s="20"/>
      <c r="I21" s="20"/>
    </row>
    <row r="22" spans="3:9" x14ac:dyDescent="0.5">
      <c r="C22" s="20"/>
      <c r="D22" s="20"/>
      <c r="E22" s="20"/>
      <c r="F22" s="20"/>
      <c r="G22" s="20"/>
      <c r="H22" s="20"/>
      <c r="I22" s="20"/>
    </row>
    <row r="23" spans="3:9" x14ac:dyDescent="0.5">
      <c r="C23" s="20"/>
      <c r="D23" s="20"/>
      <c r="E23" s="20"/>
      <c r="F23" s="20"/>
      <c r="G23" s="20"/>
      <c r="H23" s="20"/>
      <c r="I23" s="20"/>
    </row>
    <row r="24" spans="3:9" x14ac:dyDescent="0.5">
      <c r="C24" s="20"/>
      <c r="D24" s="20"/>
      <c r="E24" s="20"/>
      <c r="F24" s="20"/>
      <c r="G24" s="20"/>
      <c r="H24" s="20"/>
      <c r="I24" s="20"/>
    </row>
    <row r="25" spans="3:9" x14ac:dyDescent="0.5">
      <c r="C25" s="20"/>
      <c r="D25" s="20"/>
      <c r="E25" s="20"/>
      <c r="F25" s="20"/>
      <c r="G25" s="20"/>
      <c r="H25" s="20"/>
      <c r="I25" s="20"/>
    </row>
    <row r="26" spans="3:9" x14ac:dyDescent="0.5">
      <c r="C26" s="20"/>
      <c r="D26" s="20"/>
      <c r="E26" s="20"/>
      <c r="F26" s="20"/>
      <c r="G26" s="20"/>
      <c r="H26" s="20"/>
      <c r="I26" s="20"/>
    </row>
    <row r="27" spans="3:9" x14ac:dyDescent="0.5">
      <c r="C27" s="20"/>
      <c r="D27" s="20"/>
      <c r="E27" s="20"/>
      <c r="F27" s="20"/>
      <c r="G27" s="20"/>
      <c r="H27" s="20"/>
      <c r="I27" s="20"/>
    </row>
    <row r="28" spans="3:9" x14ac:dyDescent="0.5">
      <c r="C28" s="20"/>
      <c r="D28" s="20"/>
      <c r="E28" s="20"/>
      <c r="F28" s="20"/>
      <c r="G28" s="20"/>
      <c r="H28" s="20"/>
      <c r="I28" s="20"/>
    </row>
    <row r="29" spans="3:9" x14ac:dyDescent="0.5">
      <c r="C29" s="20"/>
      <c r="D29" s="20"/>
      <c r="E29" s="20"/>
      <c r="F29" s="20"/>
      <c r="G29" s="20"/>
      <c r="H29" s="20"/>
      <c r="I29" s="20"/>
    </row>
    <row r="30" spans="3:9" x14ac:dyDescent="0.5">
      <c r="C30" s="20"/>
      <c r="D30" s="20"/>
      <c r="E30" s="20"/>
      <c r="F30" s="20"/>
      <c r="G30" s="20"/>
      <c r="H30" s="20"/>
      <c r="I30" s="20"/>
    </row>
    <row r="31" spans="3:9" x14ac:dyDescent="0.5">
      <c r="C31" s="20"/>
      <c r="D31" s="20"/>
      <c r="E31" s="20"/>
      <c r="F31" s="20"/>
      <c r="G31" s="20"/>
      <c r="H31" s="20"/>
      <c r="I31" s="20"/>
    </row>
    <row r="32" spans="3:9" x14ac:dyDescent="0.5">
      <c r="C32" s="20"/>
      <c r="D32" s="20"/>
      <c r="E32" s="20"/>
      <c r="F32" s="20"/>
      <c r="G32" s="20"/>
      <c r="H32" s="20"/>
      <c r="I32" s="20"/>
    </row>
    <row r="33" spans="3:9" x14ac:dyDescent="0.5">
      <c r="C33" s="20"/>
      <c r="D33" s="20"/>
      <c r="E33" s="20"/>
      <c r="F33" s="20"/>
      <c r="G33" s="20"/>
      <c r="H33" s="20"/>
      <c r="I33" s="20"/>
    </row>
    <row r="34" spans="3:9" x14ac:dyDescent="0.5">
      <c r="C34" s="20"/>
      <c r="D34" s="20"/>
      <c r="E34" s="20"/>
      <c r="F34" s="20"/>
      <c r="G34" s="20"/>
      <c r="H34" s="20"/>
      <c r="I34" s="20"/>
    </row>
    <row r="35" spans="3:9" x14ac:dyDescent="0.5">
      <c r="C35" s="20"/>
      <c r="D35" s="20"/>
      <c r="E35" s="20"/>
      <c r="F35" s="20"/>
      <c r="G35" s="20"/>
      <c r="H35" s="20"/>
      <c r="I35" s="20"/>
    </row>
    <row r="36" spans="3:9" x14ac:dyDescent="0.5">
      <c r="C36" s="20"/>
      <c r="D36" s="20"/>
      <c r="E36" s="20"/>
      <c r="F36" s="20"/>
      <c r="G36" s="20"/>
      <c r="H36" s="20"/>
      <c r="I36" s="20"/>
    </row>
    <row r="37" spans="3:9" x14ac:dyDescent="0.5">
      <c r="C37" s="20"/>
      <c r="D37" s="20"/>
      <c r="E37" s="20"/>
      <c r="F37" s="20"/>
      <c r="G37" s="20"/>
      <c r="H37" s="20"/>
      <c r="I37" s="20"/>
    </row>
    <row r="38" spans="3:9" x14ac:dyDescent="0.5">
      <c r="C38" s="20"/>
      <c r="D38" s="20"/>
      <c r="E38" s="20"/>
      <c r="F38" s="20"/>
      <c r="G38" s="20"/>
      <c r="H38" s="20"/>
      <c r="I38" s="20"/>
    </row>
    <row r="39" spans="3:9" x14ac:dyDescent="0.5">
      <c r="C39" s="20"/>
      <c r="D39" s="20"/>
      <c r="E39" s="20"/>
      <c r="F39" s="20"/>
      <c r="G39" s="20"/>
      <c r="H39" s="20"/>
      <c r="I39" s="20"/>
    </row>
    <row r="40" spans="3:9" x14ac:dyDescent="0.5">
      <c r="C40" s="20"/>
      <c r="D40" s="20"/>
      <c r="E40" s="20"/>
      <c r="F40" s="20"/>
      <c r="G40" s="20"/>
      <c r="H40" s="20"/>
      <c r="I40" s="20"/>
    </row>
    <row r="41" spans="3:9" x14ac:dyDescent="0.5">
      <c r="C41" s="20"/>
      <c r="D41" s="20"/>
      <c r="E41" s="20"/>
      <c r="F41" s="20"/>
      <c r="G41" s="20"/>
      <c r="H41" s="20"/>
      <c r="I41" s="20"/>
    </row>
    <row r="42" spans="3:9" x14ac:dyDescent="0.5">
      <c r="C42" s="20"/>
      <c r="D42" s="20"/>
      <c r="E42" s="20"/>
      <c r="F42" s="20"/>
      <c r="G42" s="20"/>
      <c r="H42" s="20"/>
      <c r="I42" s="20"/>
    </row>
    <row r="43" spans="3:9" x14ac:dyDescent="0.5">
      <c r="C43" s="20"/>
      <c r="D43" s="20"/>
      <c r="E43" s="20"/>
      <c r="F43" s="20"/>
      <c r="G43" s="20"/>
      <c r="H43" s="20"/>
      <c r="I43" s="20"/>
    </row>
    <row r="44" spans="3:9" x14ac:dyDescent="0.5">
      <c r="C44" s="20"/>
      <c r="D44" s="20"/>
      <c r="E44" s="20"/>
      <c r="F44" s="20"/>
      <c r="G44" s="20"/>
      <c r="H44" s="20"/>
      <c r="I44" s="20"/>
    </row>
    <row r="45" spans="3:9" x14ac:dyDescent="0.5">
      <c r="C45" s="20"/>
      <c r="D45" s="20"/>
      <c r="E45" s="20"/>
      <c r="F45" s="20"/>
      <c r="G45" s="20"/>
      <c r="H45" s="20"/>
      <c r="I45" s="20"/>
    </row>
    <row r="46" spans="3:9" x14ac:dyDescent="0.5">
      <c r="C46" s="20"/>
      <c r="D46" s="20"/>
      <c r="E46" s="20"/>
      <c r="F46" s="20"/>
      <c r="G46" s="20"/>
      <c r="H46" s="20"/>
      <c r="I46" s="20"/>
    </row>
    <row r="47" spans="3:9" x14ac:dyDescent="0.5">
      <c r="C47" s="20"/>
      <c r="D47" s="20"/>
      <c r="E47" s="20"/>
      <c r="F47" s="20"/>
      <c r="G47" s="20"/>
      <c r="H47" s="20"/>
      <c r="I47" s="20"/>
    </row>
    <row r="48" spans="3:9" x14ac:dyDescent="0.5">
      <c r="C48" s="20"/>
      <c r="D48" s="20"/>
      <c r="E48" s="20"/>
      <c r="F48" s="20"/>
      <c r="G48" s="20"/>
      <c r="H48" s="20"/>
      <c r="I48" s="20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C264D-2086-4E5E-A9BF-F02DA588FEA2}">
  <dimension ref="A1:R79"/>
  <sheetViews>
    <sheetView zoomScale="55" zoomScaleNormal="55" workbookViewId="0">
      <selection activeCell="M33" sqref="M33"/>
    </sheetView>
  </sheetViews>
  <sheetFormatPr defaultColWidth="9" defaultRowHeight="19.2" x14ac:dyDescent="0.5"/>
  <cols>
    <col min="1" max="1" width="14.3984375" style="20" customWidth="1"/>
    <col min="2" max="2" width="20.3984375" style="20" customWidth="1"/>
    <col min="3" max="3" width="5.69921875" style="21" bestFit="1" customWidth="1"/>
    <col min="4" max="4" width="8.8984375" style="21" customWidth="1"/>
    <col min="5" max="8" width="7.19921875" style="21" bestFit="1" customWidth="1"/>
    <col min="9" max="9" width="10.3984375" style="21" bestFit="1" customWidth="1"/>
    <col min="10" max="11" width="23.19921875" style="1" customWidth="1"/>
    <col min="12" max="12" width="9" style="1"/>
    <col min="13" max="13" width="26.3984375" style="1" bestFit="1" customWidth="1"/>
    <col min="14" max="18" width="9.3984375" style="2" customWidth="1"/>
    <col min="19" max="16384" width="9" style="1"/>
  </cols>
  <sheetData>
    <row r="1" spans="1:18" ht="66.75" customHeight="1" x14ac:dyDescent="0.5">
      <c r="A1" s="18" t="s">
        <v>33</v>
      </c>
      <c r="B1" s="18" t="s">
        <v>34</v>
      </c>
      <c r="C1" s="19" t="s">
        <v>35</v>
      </c>
      <c r="D1" s="19" t="s">
        <v>36</v>
      </c>
      <c r="E1" s="19" t="s">
        <v>37</v>
      </c>
      <c r="F1" s="19" t="s">
        <v>38</v>
      </c>
      <c r="G1" s="19" t="s">
        <v>39</v>
      </c>
      <c r="H1" s="19" t="s">
        <v>40</v>
      </c>
      <c r="I1" s="18" t="s">
        <v>41</v>
      </c>
    </row>
    <row r="2" spans="1:18" x14ac:dyDescent="0.5">
      <c r="C2" s="20"/>
      <c r="D2" s="20"/>
      <c r="E2" s="20"/>
      <c r="F2" s="20"/>
      <c r="G2" s="20"/>
      <c r="H2" s="20"/>
      <c r="I2" s="20"/>
      <c r="N2" s="2" t="s">
        <v>2</v>
      </c>
      <c r="O2" s="2" t="s">
        <v>45</v>
      </c>
      <c r="P2" s="2" t="s">
        <v>44</v>
      </c>
      <c r="Q2" s="2" t="s">
        <v>43</v>
      </c>
      <c r="R2" s="2" t="s">
        <v>42</v>
      </c>
    </row>
    <row r="3" spans="1:18" x14ac:dyDescent="0.5">
      <c r="C3" s="20"/>
      <c r="D3" s="20"/>
      <c r="E3" s="20"/>
      <c r="F3" s="20"/>
      <c r="G3" s="20"/>
      <c r="H3" s="20"/>
      <c r="I3" s="20"/>
      <c r="N3" s="20">
        <v>1</v>
      </c>
      <c r="O3" s="20">
        <v>2</v>
      </c>
      <c r="P3" s="20">
        <v>3</v>
      </c>
      <c r="Q3" s="20">
        <v>4</v>
      </c>
      <c r="R3" s="20">
        <v>5</v>
      </c>
    </row>
    <row r="4" spans="1:18" x14ac:dyDescent="0.5">
      <c r="C4" s="20"/>
      <c r="D4" s="20"/>
      <c r="E4" s="20"/>
      <c r="F4" s="20"/>
      <c r="G4" s="20"/>
      <c r="H4" s="20"/>
      <c r="I4" s="20"/>
    </row>
    <row r="5" spans="1:18" x14ac:dyDescent="0.5">
      <c r="C5" s="20"/>
      <c r="D5" s="20"/>
      <c r="E5" s="20"/>
      <c r="F5" s="20"/>
      <c r="G5" s="20"/>
      <c r="H5" s="20"/>
      <c r="I5" s="20"/>
      <c r="N5" s="2" t="str">
        <f>+_xlfn.CONCAT(N3," - ",N2)</f>
        <v>1 - Ruim</v>
      </c>
      <c r="O5" s="2" t="str">
        <f t="shared" ref="O5:R5" si="0">+_xlfn.CONCAT(O3," - ",O2)</f>
        <v>2 -  Regular</v>
      </c>
      <c r="P5" s="2" t="str">
        <f t="shared" si="0"/>
        <v>3 -  Neutro</v>
      </c>
      <c r="Q5" s="2" t="str">
        <f t="shared" si="0"/>
        <v>4 -  Muito Bom</v>
      </c>
      <c r="R5" s="2" t="str">
        <f t="shared" si="0"/>
        <v>5 - Excelente</v>
      </c>
    </row>
    <row r="6" spans="1:18" x14ac:dyDescent="0.5">
      <c r="C6" s="20"/>
      <c r="D6" s="20"/>
      <c r="E6" s="20"/>
      <c r="F6" s="20"/>
      <c r="G6" s="20"/>
      <c r="H6" s="20"/>
      <c r="I6" s="20"/>
      <c r="M6" s="1" t="s">
        <v>35</v>
      </c>
      <c r="N6" s="22">
        <f>COUNTIF(C$2:C$56,$N3)/COUNT(C$2:C$56)</f>
        <v>0</v>
      </c>
      <c r="O6" s="22">
        <f>COUNTIF(C$2:C$56,$O3)/COUNT(C$2:C$56)</f>
        <v>0</v>
      </c>
      <c r="P6" s="22">
        <f>COUNTIF(C$2:C$56,$P3)/COUNT(C$2:C$56)</f>
        <v>0</v>
      </c>
      <c r="Q6" s="22">
        <f>COUNTIF(C$2:C$56,$Q3)/COUNT(C$2:C$56)</f>
        <v>0.1</v>
      </c>
      <c r="R6" s="22">
        <f>COUNTIF(C$2:C$56,$R3)/COUNT(C$2:C$56)</f>
        <v>0.9</v>
      </c>
    </row>
    <row r="7" spans="1:18" x14ac:dyDescent="0.5">
      <c r="A7" s="20" t="str">
        <f>+Dados!V7</f>
        <v>Água Fria de Goiás</v>
      </c>
      <c r="B7" s="20" t="str">
        <f>+Dados!G7</f>
        <v>Gestão municipal</v>
      </c>
      <c r="C7" s="20">
        <f>+Dados!H7</f>
        <v>5</v>
      </c>
      <c r="D7" s="20">
        <f>+Dados!I7</f>
        <v>5</v>
      </c>
      <c r="E7" s="20">
        <f>+Dados!J7</f>
        <v>5</v>
      </c>
      <c r="F7" s="20">
        <f>+Dados!K7</f>
        <v>4</v>
      </c>
      <c r="G7" s="20">
        <f>+Dados!L7</f>
        <v>5</v>
      </c>
      <c r="H7" s="20">
        <f>+Dados!M7</f>
        <v>5</v>
      </c>
      <c r="I7" s="20">
        <f>+Dados!N7</f>
        <v>5</v>
      </c>
      <c r="M7" s="1" t="s">
        <v>36</v>
      </c>
      <c r="N7" s="22">
        <f>COUNTIF(D$2:D$56,$N3)/COUNT(D$2:D$56)</f>
        <v>0</v>
      </c>
      <c r="O7" s="22">
        <f>COUNTIF(D$2:D$56,$O3)/COUNT(D$2:D$56)</f>
        <v>0</v>
      </c>
      <c r="P7" s="22">
        <f>COUNTIF(D$2:D$56,$P3)/COUNT(D$2:D$56)</f>
        <v>0.05</v>
      </c>
      <c r="Q7" s="22">
        <f>COUNTIF(D$2:D$56,$Q3)/COUNT(D$2:D$56)</f>
        <v>0.3</v>
      </c>
      <c r="R7" s="22">
        <f>COUNTIF(D$2:D$56,$R3)/COUNT(D$2:D$56)</f>
        <v>0.65</v>
      </c>
    </row>
    <row r="8" spans="1:18" x14ac:dyDescent="0.5">
      <c r="A8" s="20" t="str">
        <f>+Dados!V8</f>
        <v>Cidade Ocidental</v>
      </c>
      <c r="B8" s="20" t="str">
        <f>+Dados!G8</f>
        <v>Gestão municipal</v>
      </c>
      <c r="C8" s="20">
        <f>+Dados!H8</f>
        <v>5</v>
      </c>
      <c r="D8" s="20">
        <f>+Dados!I8</f>
        <v>4</v>
      </c>
      <c r="E8" s="20">
        <f>+Dados!J8</f>
        <v>5</v>
      </c>
      <c r="F8" s="20">
        <f>+Dados!K8</f>
        <v>5</v>
      </c>
      <c r="G8" s="20">
        <f>+Dados!L8</f>
        <v>5</v>
      </c>
      <c r="H8" s="20">
        <f>+Dados!M8</f>
        <v>5</v>
      </c>
      <c r="I8" s="20">
        <f>+Dados!N8</f>
        <v>5</v>
      </c>
      <c r="M8" s="1" t="s">
        <v>37</v>
      </c>
      <c r="N8" s="22">
        <f>COUNTIF(E$2:E$56,$N3)/COUNT(E$2:E$56)</f>
        <v>0</v>
      </c>
      <c r="O8" s="22">
        <f>COUNTIF(E$2:E$56,$O3)/COUNT(E$2:E$56)</f>
        <v>0</v>
      </c>
      <c r="P8" s="22">
        <f>COUNTIF(E$2:E$56,$P3)/COUNT(E$2:E$56)</f>
        <v>0.05</v>
      </c>
      <c r="Q8" s="22">
        <f>COUNTIF(E$2:E$56,$Q3)/COUNT(E$2:E$56)</f>
        <v>0.25</v>
      </c>
      <c r="R8" s="22">
        <f>COUNTIF(E$2:E$56,$R3)/COUNT(E$2:E$56)</f>
        <v>0.7</v>
      </c>
    </row>
    <row r="9" spans="1:18" x14ac:dyDescent="0.5">
      <c r="A9" s="20" t="str">
        <f>+Dados!V9</f>
        <v>Santo Antônio do Descoberto</v>
      </c>
      <c r="B9" s="20" t="str">
        <f>+Dados!G9</f>
        <v>Gestão municipal</v>
      </c>
      <c r="C9" s="20">
        <f>+Dados!H9</f>
        <v>5</v>
      </c>
      <c r="D9" s="20">
        <f>+Dados!I9</f>
        <v>4</v>
      </c>
      <c r="E9" s="20">
        <f>+Dados!J9</f>
        <v>4</v>
      </c>
      <c r="F9" s="20">
        <f>+Dados!K9</f>
        <v>4</v>
      </c>
      <c r="G9" s="20">
        <f>+Dados!L9</f>
        <v>4</v>
      </c>
      <c r="H9" s="20">
        <f>+Dados!M9</f>
        <v>4</v>
      </c>
      <c r="I9" s="20">
        <f>+Dados!N9</f>
        <v>5</v>
      </c>
      <c r="M9" s="1" t="s">
        <v>38</v>
      </c>
      <c r="N9" s="22">
        <f>COUNTIF(F$2:F$56,$N3)/COUNT(F$2:F$56)</f>
        <v>0</v>
      </c>
      <c r="O9" s="22">
        <f>COUNTIF(F$2:F$56,$O3)/COUNT(F$2:F$56)</f>
        <v>0</v>
      </c>
      <c r="P9" s="22">
        <f>COUNTIF(F$2:F$56,$P3)/COUNT(F$2:F$56)</f>
        <v>0</v>
      </c>
      <c r="Q9" s="22">
        <f>COUNTIF(F$2:F$56,$Q3)/COUNT(F$2:F$56)</f>
        <v>0.3</v>
      </c>
      <c r="R9" s="22">
        <f>COUNTIF(F$2:F$56,$R3)/COUNT(F$2:F$56)</f>
        <v>0.7</v>
      </c>
    </row>
    <row r="10" spans="1:18" x14ac:dyDescent="0.5">
      <c r="A10" s="20" t="str">
        <f>+Dados!V10</f>
        <v>Luziânia</v>
      </c>
      <c r="B10" s="20" t="str">
        <f>+Dados!G10</f>
        <v>Gestão municipal</v>
      </c>
      <c r="C10" s="20">
        <f>+Dados!H10</f>
        <v>5</v>
      </c>
      <c r="D10" s="20">
        <f>+Dados!I10</f>
        <v>5</v>
      </c>
      <c r="E10" s="20">
        <f>+Dados!J10</f>
        <v>4</v>
      </c>
      <c r="F10" s="20">
        <f>+Dados!K10</f>
        <v>4</v>
      </c>
      <c r="G10" s="20">
        <f>+Dados!L10</f>
        <v>5</v>
      </c>
      <c r="H10" s="20">
        <f>+Dados!M10</f>
        <v>4</v>
      </c>
      <c r="I10" s="20">
        <f>+Dados!N10</f>
        <v>5</v>
      </c>
      <c r="M10" s="1" t="s">
        <v>39</v>
      </c>
      <c r="N10" s="22">
        <f>COUNTIF(G$2:G$56,$N3)/COUNT(G$2:G$56)</f>
        <v>0</v>
      </c>
      <c r="O10" s="22">
        <f>COUNTIF(G$2:G$56,$O3)/COUNT(G$2:G$56)</f>
        <v>0</v>
      </c>
      <c r="P10" s="22">
        <f>COUNTIF(G$2:G$56,$P3)/COUNT(G$2:G$56)</f>
        <v>0</v>
      </c>
      <c r="Q10" s="22">
        <f>COUNTIF(G$2:G$56,$Q3)/COUNT(G$2:G$56)</f>
        <v>0.05</v>
      </c>
      <c r="R10" s="22">
        <f>COUNTIF(G$2:G$56,$R3)/COUNT(G$2:G$56)</f>
        <v>0.95</v>
      </c>
    </row>
    <row r="11" spans="1:18" x14ac:dyDescent="0.5">
      <c r="A11" s="20" t="str">
        <f>+Dados!V11</f>
        <v>Santo Antônio do Descoberto</v>
      </c>
      <c r="B11" s="20" t="str">
        <f>+Dados!G11</f>
        <v>Gestão municipal</v>
      </c>
      <c r="C11" s="20">
        <f>+Dados!H11</f>
        <v>5</v>
      </c>
      <c r="D11" s="20">
        <f>+Dados!I11</f>
        <v>5</v>
      </c>
      <c r="E11" s="20">
        <f>+Dados!J11</f>
        <v>5</v>
      </c>
      <c r="F11" s="20">
        <f>+Dados!K11</f>
        <v>5</v>
      </c>
      <c r="G11" s="20">
        <f>+Dados!L11</f>
        <v>5</v>
      </c>
      <c r="H11" s="20">
        <f>+Dados!M11</f>
        <v>5</v>
      </c>
      <c r="I11" s="20">
        <f>+Dados!N11</f>
        <v>5</v>
      </c>
      <c r="M11" s="1" t="s">
        <v>40</v>
      </c>
      <c r="N11" s="22">
        <f>COUNTIF(H$2:H$56,$N3)/COUNT(H$2:H$56)</f>
        <v>0</v>
      </c>
      <c r="O11" s="22">
        <f>COUNTIF(H$2:H$56,$O3)/COUNT(H$2:H$56)</f>
        <v>0</v>
      </c>
      <c r="P11" s="22">
        <f>COUNTIF(H$2:H$56,$P3)/COUNT(H$2:H$56)</f>
        <v>0</v>
      </c>
      <c r="Q11" s="22">
        <f>COUNTIF(H$2:H$56,$Q3)/COUNT(H$2:H$56)</f>
        <v>0.25</v>
      </c>
      <c r="R11" s="22">
        <f>COUNTIF(H$2:H$56,$R3)/COUNT(H$2:H$56)</f>
        <v>0.75</v>
      </c>
    </row>
    <row r="12" spans="1:18" x14ac:dyDescent="0.5">
      <c r="A12" s="20" t="str">
        <f>+Dados!V12</f>
        <v>Cabeceiras</v>
      </c>
      <c r="B12" s="20" t="str">
        <f>+Dados!G12</f>
        <v>Gestão municipal</v>
      </c>
      <c r="C12" s="20">
        <f>+Dados!H12</f>
        <v>5</v>
      </c>
      <c r="D12" s="20">
        <f>+Dados!I12</f>
        <v>5</v>
      </c>
      <c r="E12" s="20">
        <f>+Dados!J12</f>
        <v>5</v>
      </c>
      <c r="F12" s="20">
        <f>+Dados!K12</f>
        <v>5</v>
      </c>
      <c r="G12" s="20">
        <f>+Dados!L12</f>
        <v>5</v>
      </c>
      <c r="H12" s="20">
        <f>+Dados!M12</f>
        <v>5</v>
      </c>
      <c r="I12" s="20">
        <f>+Dados!N12</f>
        <v>5</v>
      </c>
      <c r="M12" s="1" t="s">
        <v>41</v>
      </c>
      <c r="N12" s="22">
        <f>COUNTIF(I$2:I$56,$N3)/COUNT(I$2:I$56)</f>
        <v>0</v>
      </c>
      <c r="O12" s="22">
        <f>COUNTIF(I$2:I$56,$O3)/COUNT(I$2:I$56)</f>
        <v>0</v>
      </c>
      <c r="P12" s="22">
        <f>COUNTIF(I$2:I$56,$P3)/COUNT(I$2:I$56)</f>
        <v>0</v>
      </c>
      <c r="Q12" s="22">
        <f>COUNTIF(I$2:I$56,$Q3)/COUNT(I$2:I$56)</f>
        <v>0.05</v>
      </c>
      <c r="R12" s="22">
        <f>COUNTIF(I$2:I$56,$R3)/COUNT(I$2:I$56)</f>
        <v>0.95</v>
      </c>
    </row>
    <row r="13" spans="1:18" x14ac:dyDescent="0.5">
      <c r="A13" s="20" t="str">
        <f>+Dados!V13</f>
        <v>Água Fria de Goiás</v>
      </c>
      <c r="B13" s="20" t="str">
        <f>+Dados!G13</f>
        <v>Gestão municipal</v>
      </c>
      <c r="C13" s="20">
        <f>+Dados!H13</f>
        <v>5</v>
      </c>
      <c r="D13" s="20">
        <f>+Dados!I13</f>
        <v>4</v>
      </c>
      <c r="E13" s="20">
        <f>+Dados!J13</f>
        <v>5</v>
      </c>
      <c r="F13" s="20">
        <f>+Dados!K13</f>
        <v>5</v>
      </c>
      <c r="G13" s="20">
        <f>+Dados!L13</f>
        <v>5</v>
      </c>
      <c r="H13" s="20">
        <f>+Dados!M13</f>
        <v>4</v>
      </c>
      <c r="I13" s="20">
        <f>+Dados!N13</f>
        <v>5</v>
      </c>
    </row>
    <row r="14" spans="1:18" x14ac:dyDescent="0.5">
      <c r="A14" s="20" t="str">
        <f>+Dados!V14</f>
        <v>Luziânia</v>
      </c>
      <c r="B14" s="20" t="str">
        <f>+Dados!G14</f>
        <v>Gestão municipal</v>
      </c>
      <c r="C14" s="20">
        <f>+Dados!H14</f>
        <v>5</v>
      </c>
      <c r="D14" s="20">
        <f>+Dados!I14</f>
        <v>5</v>
      </c>
      <c r="E14" s="20">
        <f>+Dados!J14</f>
        <v>5</v>
      </c>
      <c r="F14" s="20">
        <f>+Dados!K14</f>
        <v>5</v>
      </c>
      <c r="G14" s="20">
        <f>+Dados!L14</f>
        <v>5</v>
      </c>
      <c r="H14" s="20">
        <f>+Dados!M14</f>
        <v>5</v>
      </c>
      <c r="I14" s="20">
        <f>+Dados!N14</f>
        <v>5</v>
      </c>
    </row>
    <row r="15" spans="1:18" x14ac:dyDescent="0.5">
      <c r="A15" s="20" t="str">
        <f>+Dados!V15</f>
        <v>Cabeceiras</v>
      </c>
      <c r="B15" s="20" t="str">
        <f>+Dados!G15</f>
        <v>Gestão municipal</v>
      </c>
      <c r="C15" s="20">
        <f>+Dados!H15</f>
        <v>5</v>
      </c>
      <c r="D15" s="20">
        <f>+Dados!I15</f>
        <v>5</v>
      </c>
      <c r="E15" s="20">
        <f>+Dados!J15</f>
        <v>5</v>
      </c>
      <c r="F15" s="20">
        <f>+Dados!K15</f>
        <v>5</v>
      </c>
      <c r="G15" s="20">
        <f>+Dados!L15</f>
        <v>5</v>
      </c>
      <c r="H15" s="20">
        <f>+Dados!M15</f>
        <v>5</v>
      </c>
      <c r="I15" s="20">
        <f>+Dados!N15</f>
        <v>5</v>
      </c>
    </row>
    <row r="16" spans="1:18" x14ac:dyDescent="0.5">
      <c r="A16" s="20" t="str">
        <f>+Dados!V16</f>
        <v>Águas Lindas de Goiás</v>
      </c>
      <c r="B16" s="20" t="str">
        <f>+Dados!G16</f>
        <v>Gestão municipal</v>
      </c>
      <c r="C16" s="20">
        <f>+Dados!H16</f>
        <v>5</v>
      </c>
      <c r="D16" s="20">
        <f>+Dados!I16</f>
        <v>5</v>
      </c>
      <c r="E16" s="20">
        <f>+Dados!J16</f>
        <v>5</v>
      </c>
      <c r="F16" s="20">
        <f>+Dados!K16</f>
        <v>5</v>
      </c>
      <c r="G16" s="20">
        <f>+Dados!L16</f>
        <v>5</v>
      </c>
      <c r="H16" s="20">
        <f>+Dados!M16</f>
        <v>5</v>
      </c>
      <c r="I16" s="20">
        <f>+Dados!N16</f>
        <v>5</v>
      </c>
    </row>
    <row r="17" spans="1:9" x14ac:dyDescent="0.5">
      <c r="A17" s="20" t="str">
        <f>+Dados!V17</f>
        <v>Luziânia</v>
      </c>
      <c r="B17" s="20" t="str">
        <f>+Dados!G17</f>
        <v>Gestão municipal</v>
      </c>
      <c r="C17" s="20">
        <f>+Dados!H17</f>
        <v>5</v>
      </c>
      <c r="D17" s="20">
        <f>+Dados!I17</f>
        <v>5</v>
      </c>
      <c r="E17" s="20">
        <f>+Dados!J17</f>
        <v>5</v>
      </c>
      <c r="F17" s="20">
        <f>+Dados!K17</f>
        <v>5</v>
      </c>
      <c r="G17" s="20">
        <f>+Dados!L17</f>
        <v>5</v>
      </c>
      <c r="H17" s="20">
        <f>+Dados!M17</f>
        <v>5</v>
      </c>
      <c r="I17" s="20">
        <f>+Dados!N17</f>
        <v>5</v>
      </c>
    </row>
    <row r="18" spans="1:9" x14ac:dyDescent="0.5">
      <c r="A18" s="20" t="str">
        <f>+Dados!V18</f>
        <v>Cidade Ocidental</v>
      </c>
      <c r="B18" s="20" t="str">
        <f>+Dados!G18</f>
        <v>Gestão municipal</v>
      </c>
      <c r="C18" s="20">
        <f>+Dados!H18</f>
        <v>5</v>
      </c>
      <c r="D18" s="20">
        <f>+Dados!I18</f>
        <v>5</v>
      </c>
      <c r="E18" s="20">
        <f>+Dados!J18</f>
        <v>4</v>
      </c>
      <c r="F18" s="20">
        <f>+Dados!K18</f>
        <v>4</v>
      </c>
      <c r="G18" s="20">
        <f>+Dados!L18</f>
        <v>5</v>
      </c>
      <c r="H18" s="20">
        <f>+Dados!M18</f>
        <v>5</v>
      </c>
      <c r="I18" s="20">
        <f>+Dados!N18</f>
        <v>5</v>
      </c>
    </row>
    <row r="19" spans="1:9" x14ac:dyDescent="0.5">
      <c r="A19" s="20" t="str">
        <f>+Dados!V19</f>
        <v>Cristalina</v>
      </c>
      <c r="B19" s="20" t="str">
        <f>+Dados!G19</f>
        <v>Gestão municipal</v>
      </c>
      <c r="C19" s="20">
        <f>+Dados!H19</f>
        <v>4</v>
      </c>
      <c r="D19" s="20">
        <f>+Dados!I19</f>
        <v>4</v>
      </c>
      <c r="E19" s="20">
        <f>+Dados!J19</f>
        <v>4</v>
      </c>
      <c r="F19" s="20">
        <f>+Dados!K19</f>
        <v>4</v>
      </c>
      <c r="G19" s="20">
        <f>+Dados!L19</f>
        <v>5</v>
      </c>
      <c r="H19" s="20">
        <f>+Dados!M19</f>
        <v>4</v>
      </c>
      <c r="I19" s="20">
        <f>+Dados!N19</f>
        <v>4</v>
      </c>
    </row>
    <row r="20" spans="1:9" x14ac:dyDescent="0.5">
      <c r="A20" s="20" t="str">
        <f>+Dados!V20</f>
        <v>Cristalina</v>
      </c>
      <c r="B20" s="20" t="str">
        <f>+Dados!G20</f>
        <v>Gestão municipal</v>
      </c>
      <c r="C20" s="20">
        <f>+Dados!H20</f>
        <v>5</v>
      </c>
      <c r="D20" s="20">
        <f>+Dados!I20</f>
        <v>5</v>
      </c>
      <c r="E20" s="20">
        <f>+Dados!J20</f>
        <v>5</v>
      </c>
      <c r="F20" s="20">
        <f>+Dados!K20</f>
        <v>5</v>
      </c>
      <c r="G20" s="20">
        <f>+Dados!L20</f>
        <v>5</v>
      </c>
      <c r="H20" s="20">
        <f>+Dados!M20</f>
        <v>5</v>
      </c>
      <c r="I20" s="20">
        <f>+Dados!N20</f>
        <v>5</v>
      </c>
    </row>
    <row r="21" spans="1:9" x14ac:dyDescent="0.5">
      <c r="A21" s="20" t="str">
        <f>+Dados!V21</f>
        <v>Alexânia</v>
      </c>
      <c r="B21" s="20" t="str">
        <f>+Dados!G21</f>
        <v>Gestão municipal</v>
      </c>
      <c r="C21" s="20">
        <f>+Dados!H21</f>
        <v>4</v>
      </c>
      <c r="D21" s="20">
        <f>+Dados!I21</f>
        <v>3</v>
      </c>
      <c r="E21" s="20">
        <f>+Dados!J21</f>
        <v>4</v>
      </c>
      <c r="F21" s="20">
        <f>+Dados!K21</f>
        <v>4</v>
      </c>
      <c r="G21" s="20">
        <f>+Dados!L21</f>
        <v>5</v>
      </c>
      <c r="H21" s="20">
        <f>+Dados!M21</f>
        <v>5</v>
      </c>
      <c r="I21" s="20">
        <f>+Dados!N21</f>
        <v>5</v>
      </c>
    </row>
    <row r="22" spans="1:9" x14ac:dyDescent="0.5">
      <c r="A22" s="20" t="str">
        <f>+Dados!V22</f>
        <v>Alexânia</v>
      </c>
      <c r="B22" s="20" t="str">
        <f>+Dados!G22</f>
        <v>Gestão municipal</v>
      </c>
      <c r="C22" s="20">
        <f>+Dados!H22</f>
        <v>5</v>
      </c>
      <c r="D22" s="20">
        <f>+Dados!I22</f>
        <v>4</v>
      </c>
      <c r="E22" s="20">
        <f>+Dados!J22</f>
        <v>5</v>
      </c>
      <c r="F22" s="20">
        <f>+Dados!K22</f>
        <v>5</v>
      </c>
      <c r="G22" s="20">
        <f>+Dados!L22</f>
        <v>5</v>
      </c>
      <c r="H22" s="20">
        <f>+Dados!M22</f>
        <v>5</v>
      </c>
      <c r="I22" s="20">
        <f>+Dados!N22</f>
        <v>5</v>
      </c>
    </row>
    <row r="23" spans="1:9" x14ac:dyDescent="0.5">
      <c r="A23" s="20" t="str">
        <f>+Dados!V23</f>
        <v>Mimoso de Goiás</v>
      </c>
      <c r="B23" s="20" t="str">
        <f>+Dados!G23</f>
        <v>Gestão municipal</v>
      </c>
      <c r="C23" s="20">
        <f>+Dados!H23</f>
        <v>5</v>
      </c>
      <c r="D23" s="20">
        <f>+Dados!I23</f>
        <v>5</v>
      </c>
      <c r="E23" s="20">
        <f>+Dados!J23</f>
        <v>5</v>
      </c>
      <c r="F23" s="20">
        <f>+Dados!K23</f>
        <v>5</v>
      </c>
      <c r="G23" s="20">
        <f>+Dados!L23</f>
        <v>5</v>
      </c>
      <c r="H23" s="20">
        <f>+Dados!M23</f>
        <v>5</v>
      </c>
      <c r="I23" s="20">
        <f>+Dados!N23</f>
        <v>5</v>
      </c>
    </row>
    <row r="24" spans="1:9" x14ac:dyDescent="0.5">
      <c r="A24" s="20" t="str">
        <f>+Dados!V24</f>
        <v>São João d'Aliança</v>
      </c>
      <c r="B24" s="20" t="str">
        <f>+Dados!G24</f>
        <v>Gestão municipal</v>
      </c>
      <c r="C24" s="20">
        <f>+Dados!H24</f>
        <v>5</v>
      </c>
      <c r="D24" s="20">
        <f>+Dados!I24</f>
        <v>5</v>
      </c>
      <c r="E24" s="20">
        <f>+Dados!J24</f>
        <v>5</v>
      </c>
      <c r="F24" s="20">
        <f>+Dados!K24</f>
        <v>5</v>
      </c>
      <c r="G24" s="20">
        <f>+Dados!L24</f>
        <v>5</v>
      </c>
      <c r="H24" s="20">
        <f>+Dados!M24</f>
        <v>5</v>
      </c>
      <c r="I24" s="20">
        <f>+Dados!N24</f>
        <v>5</v>
      </c>
    </row>
    <row r="25" spans="1:9" x14ac:dyDescent="0.5">
      <c r="A25" s="20" t="str">
        <f>+Dados!V25</f>
        <v>Mimoso de Goiás</v>
      </c>
      <c r="B25" s="20" t="str">
        <f>+Dados!G25</f>
        <v>Gestão municipal</v>
      </c>
      <c r="C25" s="20">
        <f>+Dados!H25</f>
        <v>5</v>
      </c>
      <c r="D25" s="20">
        <f>+Dados!I25</f>
        <v>5</v>
      </c>
      <c r="E25" s="20">
        <f>+Dados!J25</f>
        <v>3</v>
      </c>
      <c r="F25" s="20">
        <f>+Dados!K25</f>
        <v>5</v>
      </c>
      <c r="G25" s="20">
        <f>+Dados!L25</f>
        <v>5</v>
      </c>
      <c r="H25" s="20">
        <f>+Dados!M25</f>
        <v>4</v>
      </c>
      <c r="I25" s="20">
        <f>+Dados!N25</f>
        <v>5</v>
      </c>
    </row>
    <row r="26" spans="1:9" x14ac:dyDescent="0.5">
      <c r="A26" s="20" t="str">
        <f>+Dados!V26</f>
        <v>Formosa</v>
      </c>
      <c r="B26" s="20" t="str">
        <f>+Dados!G26</f>
        <v>Gestão municipal</v>
      </c>
      <c r="C26" s="20">
        <f>+Dados!H26</f>
        <v>5</v>
      </c>
      <c r="D26" s="20">
        <f>+Dados!I26</f>
        <v>4</v>
      </c>
      <c r="E26" s="20">
        <f>+Dados!J26</f>
        <v>5</v>
      </c>
      <c r="F26" s="20">
        <f>+Dados!K26</f>
        <v>5</v>
      </c>
      <c r="G26" s="20">
        <f>+Dados!L26</f>
        <v>5</v>
      </c>
      <c r="H26" s="20">
        <f>+Dados!M26</f>
        <v>5</v>
      </c>
      <c r="I26" s="20">
        <f>+Dados!N26</f>
        <v>5</v>
      </c>
    </row>
    <row r="27" spans="1:9" x14ac:dyDescent="0.5">
      <c r="C27" s="20"/>
      <c r="D27" s="20"/>
      <c r="E27" s="20"/>
      <c r="F27" s="20"/>
      <c r="G27" s="20"/>
      <c r="H27" s="20"/>
      <c r="I27" s="20"/>
    </row>
    <row r="28" spans="1:9" x14ac:dyDescent="0.5">
      <c r="C28" s="20"/>
      <c r="D28" s="20"/>
      <c r="E28" s="20"/>
      <c r="F28" s="20"/>
      <c r="G28" s="20"/>
      <c r="H28" s="20"/>
      <c r="I28" s="20"/>
    </row>
    <row r="29" spans="1:9" x14ac:dyDescent="0.5">
      <c r="C29" s="20"/>
      <c r="D29" s="20"/>
      <c r="E29" s="20"/>
      <c r="F29" s="20"/>
      <c r="G29" s="20"/>
      <c r="H29" s="20"/>
      <c r="I29" s="20"/>
    </row>
    <row r="30" spans="1:9" x14ac:dyDescent="0.5">
      <c r="C30" s="20"/>
      <c r="D30" s="20"/>
      <c r="E30" s="20"/>
      <c r="F30" s="20"/>
      <c r="G30" s="20"/>
      <c r="H30" s="20"/>
      <c r="I30" s="20"/>
    </row>
    <row r="31" spans="1:9" x14ac:dyDescent="0.5">
      <c r="C31" s="20"/>
      <c r="D31" s="20"/>
      <c r="E31" s="20"/>
      <c r="F31" s="20"/>
      <c r="G31" s="20"/>
      <c r="H31" s="20"/>
      <c r="I31" s="20"/>
    </row>
    <row r="32" spans="1:9" x14ac:dyDescent="0.5">
      <c r="C32" s="20"/>
      <c r="D32" s="20"/>
      <c r="E32" s="20"/>
      <c r="F32" s="20"/>
      <c r="G32" s="20"/>
      <c r="H32" s="20"/>
      <c r="I32" s="20"/>
    </row>
    <row r="33" spans="3:9" x14ac:dyDescent="0.5">
      <c r="C33" s="20"/>
      <c r="D33" s="20"/>
      <c r="E33" s="20"/>
      <c r="F33" s="20"/>
      <c r="G33" s="20"/>
      <c r="H33" s="20"/>
      <c r="I33" s="20"/>
    </row>
    <row r="34" spans="3:9" x14ac:dyDescent="0.5">
      <c r="C34" s="20"/>
      <c r="D34" s="20"/>
      <c r="E34" s="20"/>
      <c r="F34" s="20"/>
      <c r="G34" s="20"/>
      <c r="H34" s="20"/>
      <c r="I34" s="20"/>
    </row>
    <row r="35" spans="3:9" x14ac:dyDescent="0.5">
      <c r="C35" s="20"/>
      <c r="D35" s="20"/>
      <c r="E35" s="20"/>
      <c r="F35" s="20"/>
      <c r="G35" s="20"/>
      <c r="H35" s="20"/>
      <c r="I35" s="20"/>
    </row>
    <row r="36" spans="3:9" x14ac:dyDescent="0.5">
      <c r="C36" s="20"/>
      <c r="D36" s="20"/>
      <c r="E36" s="20"/>
      <c r="F36" s="20"/>
      <c r="G36" s="20"/>
      <c r="H36" s="20"/>
      <c r="I36" s="20"/>
    </row>
    <row r="37" spans="3:9" x14ac:dyDescent="0.5">
      <c r="C37" s="20"/>
      <c r="D37" s="20"/>
      <c r="E37" s="20"/>
      <c r="F37" s="20"/>
      <c r="G37" s="20"/>
      <c r="H37" s="20"/>
      <c r="I37" s="20"/>
    </row>
    <row r="38" spans="3:9" x14ac:dyDescent="0.5">
      <c r="C38" s="20"/>
      <c r="D38" s="20"/>
      <c r="E38" s="20"/>
      <c r="F38" s="20"/>
      <c r="G38" s="20"/>
      <c r="H38" s="20"/>
      <c r="I38" s="20"/>
    </row>
    <row r="39" spans="3:9" x14ac:dyDescent="0.5">
      <c r="C39" s="20"/>
      <c r="D39" s="20"/>
      <c r="E39" s="20"/>
      <c r="F39" s="20"/>
      <c r="G39" s="20"/>
      <c r="H39" s="20"/>
      <c r="I39" s="20"/>
    </row>
    <row r="40" spans="3:9" x14ac:dyDescent="0.5">
      <c r="C40" s="20"/>
      <c r="D40" s="20"/>
      <c r="E40" s="20"/>
      <c r="F40" s="20"/>
      <c r="G40" s="20"/>
      <c r="H40" s="20"/>
      <c r="I40" s="20"/>
    </row>
    <row r="41" spans="3:9" x14ac:dyDescent="0.5">
      <c r="C41" s="20"/>
      <c r="D41" s="20"/>
      <c r="E41" s="20"/>
      <c r="F41" s="20"/>
      <c r="G41" s="20"/>
      <c r="H41" s="20"/>
      <c r="I41" s="20"/>
    </row>
    <row r="42" spans="3:9" x14ac:dyDescent="0.5">
      <c r="C42" s="20"/>
      <c r="D42" s="20"/>
      <c r="E42" s="20"/>
      <c r="F42" s="20"/>
      <c r="G42" s="20"/>
      <c r="H42" s="20"/>
      <c r="I42" s="20"/>
    </row>
    <row r="43" spans="3:9" x14ac:dyDescent="0.5">
      <c r="C43" s="20"/>
      <c r="D43" s="20"/>
      <c r="E43" s="20"/>
      <c r="F43" s="20"/>
      <c r="G43" s="20"/>
      <c r="H43" s="20"/>
      <c r="I43" s="20"/>
    </row>
    <row r="44" spans="3:9" x14ac:dyDescent="0.5">
      <c r="C44" s="20"/>
      <c r="D44" s="20"/>
      <c r="E44" s="20"/>
      <c r="F44" s="20"/>
      <c r="G44" s="20"/>
      <c r="H44" s="20"/>
      <c r="I44" s="20"/>
    </row>
    <row r="45" spans="3:9" x14ac:dyDescent="0.5">
      <c r="C45" s="20"/>
      <c r="D45" s="20"/>
      <c r="E45" s="20"/>
      <c r="F45" s="20"/>
      <c r="G45" s="20"/>
      <c r="H45" s="20"/>
      <c r="I45" s="20"/>
    </row>
    <row r="46" spans="3:9" x14ac:dyDescent="0.5">
      <c r="C46" s="20"/>
      <c r="D46" s="20"/>
      <c r="E46" s="20"/>
      <c r="F46" s="20"/>
      <c r="G46" s="20"/>
      <c r="H46" s="20"/>
      <c r="I46" s="20"/>
    </row>
    <row r="47" spans="3:9" x14ac:dyDescent="0.5">
      <c r="C47" s="20"/>
      <c r="D47" s="20"/>
      <c r="E47" s="20"/>
      <c r="F47" s="20"/>
      <c r="G47" s="20"/>
      <c r="H47" s="20"/>
      <c r="I47" s="20"/>
    </row>
    <row r="48" spans="3:9" x14ac:dyDescent="0.5">
      <c r="C48" s="20"/>
      <c r="D48" s="20"/>
      <c r="E48" s="20"/>
      <c r="F48" s="20"/>
      <c r="G48" s="20"/>
      <c r="H48" s="20"/>
      <c r="I48" s="20"/>
    </row>
    <row r="49" spans="3:9" x14ac:dyDescent="0.5">
      <c r="C49" s="20"/>
      <c r="D49" s="20"/>
      <c r="E49" s="20"/>
      <c r="F49" s="20"/>
      <c r="G49" s="20"/>
      <c r="H49" s="20"/>
      <c r="I49" s="20"/>
    </row>
    <row r="50" spans="3:9" x14ac:dyDescent="0.5">
      <c r="C50" s="20"/>
      <c r="D50" s="20"/>
      <c r="E50" s="20"/>
      <c r="F50" s="20"/>
      <c r="G50" s="20"/>
      <c r="H50" s="20"/>
      <c r="I50" s="20"/>
    </row>
    <row r="51" spans="3:9" x14ac:dyDescent="0.5">
      <c r="C51" s="20"/>
      <c r="D51" s="20"/>
      <c r="E51" s="20"/>
      <c r="F51" s="20"/>
      <c r="G51" s="20"/>
      <c r="H51" s="20"/>
      <c r="I51" s="20"/>
    </row>
    <row r="52" spans="3:9" x14ac:dyDescent="0.5">
      <c r="C52" s="20"/>
      <c r="D52" s="20"/>
      <c r="E52" s="20"/>
      <c r="F52" s="20"/>
      <c r="G52" s="20"/>
      <c r="H52" s="20"/>
      <c r="I52" s="20"/>
    </row>
    <row r="53" spans="3:9" x14ac:dyDescent="0.5">
      <c r="C53" s="20"/>
      <c r="D53" s="20"/>
      <c r="E53" s="20"/>
      <c r="F53" s="20"/>
      <c r="G53" s="20"/>
      <c r="H53" s="20"/>
      <c r="I53" s="20"/>
    </row>
    <row r="54" spans="3:9" x14ac:dyDescent="0.5">
      <c r="C54" s="20"/>
      <c r="D54" s="20"/>
      <c r="E54" s="20"/>
      <c r="F54" s="20"/>
      <c r="G54" s="20"/>
      <c r="H54" s="20"/>
      <c r="I54" s="20"/>
    </row>
    <row r="55" spans="3:9" x14ac:dyDescent="0.5">
      <c r="C55" s="20"/>
      <c r="D55" s="20"/>
      <c r="E55" s="20"/>
      <c r="F55" s="20"/>
      <c r="G55" s="20"/>
      <c r="H55" s="20"/>
      <c r="I55" s="20"/>
    </row>
    <row r="56" spans="3:9" x14ac:dyDescent="0.5">
      <c r="C56" s="20"/>
      <c r="D56" s="20"/>
      <c r="E56" s="20"/>
      <c r="F56" s="20"/>
      <c r="G56" s="20"/>
      <c r="H56" s="20"/>
      <c r="I56" s="20"/>
    </row>
    <row r="57" spans="3:9" x14ac:dyDescent="0.5">
      <c r="C57" s="20"/>
      <c r="D57" s="20"/>
      <c r="E57" s="20"/>
      <c r="F57" s="20"/>
      <c r="G57" s="20"/>
      <c r="H57" s="20"/>
      <c r="I57" s="20"/>
    </row>
    <row r="58" spans="3:9" x14ac:dyDescent="0.5">
      <c r="C58" s="20"/>
      <c r="D58" s="20"/>
      <c r="E58" s="20"/>
      <c r="F58" s="20"/>
      <c r="G58" s="20"/>
      <c r="H58" s="20"/>
      <c r="I58" s="20"/>
    </row>
    <row r="59" spans="3:9" x14ac:dyDescent="0.5">
      <c r="C59" s="20"/>
      <c r="D59" s="20"/>
      <c r="E59" s="20"/>
      <c r="F59" s="20"/>
      <c r="G59" s="20"/>
      <c r="H59" s="20"/>
      <c r="I59" s="20"/>
    </row>
    <row r="60" spans="3:9" x14ac:dyDescent="0.5">
      <c r="C60" s="20"/>
      <c r="D60" s="20"/>
      <c r="E60" s="20"/>
      <c r="F60" s="20"/>
      <c r="G60" s="20"/>
      <c r="H60" s="20"/>
      <c r="I60" s="20"/>
    </row>
    <row r="61" spans="3:9" x14ac:dyDescent="0.5">
      <c r="C61" s="20"/>
      <c r="D61" s="20"/>
      <c r="E61" s="20"/>
      <c r="F61" s="20"/>
      <c r="G61" s="20"/>
      <c r="H61" s="20"/>
      <c r="I61" s="20"/>
    </row>
    <row r="62" spans="3:9" x14ac:dyDescent="0.5">
      <c r="C62" s="20"/>
      <c r="D62" s="20"/>
      <c r="E62" s="20"/>
      <c r="F62" s="20"/>
      <c r="G62" s="20"/>
      <c r="H62" s="20"/>
      <c r="I62" s="20"/>
    </row>
    <row r="63" spans="3:9" x14ac:dyDescent="0.5">
      <c r="C63" s="20"/>
      <c r="D63" s="20"/>
      <c r="E63" s="20"/>
      <c r="F63" s="20"/>
      <c r="G63" s="20"/>
      <c r="H63" s="20"/>
      <c r="I63" s="20"/>
    </row>
    <row r="64" spans="3:9" x14ac:dyDescent="0.5">
      <c r="C64" s="20"/>
      <c r="D64" s="20"/>
      <c r="E64" s="20"/>
      <c r="F64" s="20"/>
      <c r="G64" s="20"/>
      <c r="H64" s="20"/>
      <c r="I64" s="20"/>
    </row>
    <row r="65" spans="3:9" x14ac:dyDescent="0.5">
      <c r="C65" s="20"/>
      <c r="D65" s="20"/>
      <c r="E65" s="20"/>
      <c r="F65" s="20"/>
      <c r="G65" s="20"/>
      <c r="H65" s="20"/>
      <c r="I65" s="20"/>
    </row>
    <row r="66" spans="3:9" x14ac:dyDescent="0.5">
      <c r="C66" s="20"/>
      <c r="D66" s="20"/>
      <c r="E66" s="20"/>
      <c r="F66" s="20"/>
      <c r="G66" s="20"/>
      <c r="H66" s="20"/>
      <c r="I66" s="20"/>
    </row>
    <row r="67" spans="3:9" x14ac:dyDescent="0.5">
      <c r="C67" s="20"/>
      <c r="D67" s="20"/>
      <c r="E67" s="20"/>
      <c r="F67" s="20"/>
      <c r="G67" s="20"/>
      <c r="H67" s="20"/>
      <c r="I67" s="20"/>
    </row>
    <row r="68" spans="3:9" x14ac:dyDescent="0.5">
      <c r="C68" s="20"/>
      <c r="D68" s="20"/>
      <c r="E68" s="20"/>
      <c r="F68" s="20"/>
      <c r="G68" s="20"/>
      <c r="H68" s="20"/>
      <c r="I68" s="20"/>
    </row>
    <row r="69" spans="3:9" x14ac:dyDescent="0.5">
      <c r="C69" s="20"/>
      <c r="D69" s="20"/>
      <c r="E69" s="20"/>
      <c r="F69" s="20"/>
      <c r="G69" s="20"/>
      <c r="H69" s="20"/>
      <c r="I69" s="20"/>
    </row>
    <row r="70" spans="3:9" x14ac:dyDescent="0.5">
      <c r="C70" s="20"/>
      <c r="D70" s="20"/>
      <c r="E70" s="20"/>
      <c r="F70" s="20"/>
      <c r="G70" s="20"/>
      <c r="H70" s="20"/>
      <c r="I70" s="20"/>
    </row>
    <row r="71" spans="3:9" x14ac:dyDescent="0.5">
      <c r="C71" s="20"/>
      <c r="D71" s="20"/>
      <c r="E71" s="20"/>
      <c r="F71" s="20"/>
      <c r="G71" s="20"/>
      <c r="H71" s="20"/>
      <c r="I71" s="20"/>
    </row>
    <row r="72" spans="3:9" x14ac:dyDescent="0.5">
      <c r="C72" s="20"/>
      <c r="D72" s="20"/>
      <c r="E72" s="20"/>
      <c r="F72" s="20"/>
      <c r="G72" s="20"/>
      <c r="H72" s="20"/>
      <c r="I72" s="20"/>
    </row>
    <row r="73" spans="3:9" x14ac:dyDescent="0.5">
      <c r="C73" s="20"/>
      <c r="D73" s="20"/>
      <c r="E73" s="20"/>
      <c r="F73" s="20"/>
      <c r="G73" s="20"/>
      <c r="H73" s="20"/>
      <c r="I73" s="20"/>
    </row>
    <row r="74" spans="3:9" x14ac:dyDescent="0.5">
      <c r="C74" s="20"/>
      <c r="D74" s="20"/>
      <c r="E74" s="20"/>
      <c r="F74" s="20"/>
      <c r="G74" s="20"/>
      <c r="H74" s="20"/>
      <c r="I74" s="20"/>
    </row>
    <row r="75" spans="3:9" x14ac:dyDescent="0.5">
      <c r="C75" s="20"/>
      <c r="D75" s="20"/>
      <c r="E75" s="20"/>
      <c r="F75" s="20"/>
      <c r="G75" s="20"/>
      <c r="H75" s="20"/>
      <c r="I75" s="20"/>
    </row>
    <row r="76" spans="3:9" x14ac:dyDescent="0.5">
      <c r="C76" s="20"/>
      <c r="D76" s="20"/>
      <c r="E76" s="20"/>
      <c r="F76" s="20"/>
      <c r="G76" s="20"/>
      <c r="H76" s="20"/>
      <c r="I76" s="20"/>
    </row>
    <row r="77" spans="3:9" x14ac:dyDescent="0.5">
      <c r="C77" s="20"/>
      <c r="D77" s="20"/>
      <c r="E77" s="20"/>
      <c r="F77" s="20"/>
      <c r="G77" s="20"/>
      <c r="H77" s="20"/>
      <c r="I77" s="20"/>
    </row>
    <row r="78" spans="3:9" x14ac:dyDescent="0.5">
      <c r="C78" s="20"/>
      <c r="D78" s="20"/>
      <c r="E78" s="20"/>
      <c r="F78" s="20"/>
      <c r="G78" s="20"/>
      <c r="H78" s="20"/>
      <c r="I78" s="20"/>
    </row>
    <row r="79" spans="3:9" x14ac:dyDescent="0.5">
      <c r="C79" s="20"/>
      <c r="D79" s="20"/>
      <c r="E79" s="20"/>
      <c r="F79" s="20"/>
      <c r="G79" s="20"/>
      <c r="H79" s="20"/>
      <c r="I79" s="20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9D6F5-E256-4238-94E8-52F5606C82C3}">
  <dimension ref="B1:S58"/>
  <sheetViews>
    <sheetView tabSelected="1" topLeftCell="A25" zoomScaleNormal="100" workbookViewId="0">
      <selection activeCell="P39" sqref="P39"/>
    </sheetView>
  </sheetViews>
  <sheetFormatPr defaultColWidth="9" defaultRowHeight="21.75" customHeight="1" x14ac:dyDescent="0.25"/>
  <cols>
    <col min="1" max="1" width="9" style="3"/>
    <col min="2" max="2" width="4.09765625" style="3" customWidth="1"/>
    <col min="3" max="3" width="13.5" style="3" bestFit="1" customWidth="1"/>
    <col min="4" max="4" width="9.09765625" style="3" customWidth="1"/>
    <col min="5" max="5" width="20.59765625" style="23" bestFit="1" customWidth="1"/>
    <col min="6" max="6" width="9.3984375" style="24" customWidth="1"/>
    <col min="7" max="9" width="7.69921875" style="3" customWidth="1"/>
    <col min="10" max="10" width="9" style="3"/>
    <col min="11" max="11" width="9.8984375" style="3" bestFit="1" customWidth="1"/>
    <col min="12" max="12" width="12.3984375" style="3" bestFit="1" customWidth="1"/>
    <col min="13" max="13" width="20.59765625" style="3" bestFit="1" customWidth="1"/>
    <col min="14" max="16384" width="9" style="3"/>
  </cols>
  <sheetData>
    <row r="1" spans="2:19" ht="21.75" customHeight="1" x14ac:dyDescent="0.25">
      <c r="G1" s="25" t="s">
        <v>26</v>
      </c>
      <c r="H1" s="25" t="s">
        <v>28</v>
      </c>
      <c r="I1" s="26" t="s">
        <v>46</v>
      </c>
    </row>
    <row r="3" spans="2:19" s="27" customFormat="1" ht="21.75" customHeight="1" x14ac:dyDescent="0.5">
      <c r="C3" s="104" t="s">
        <v>47</v>
      </c>
      <c r="D3" s="106" t="s">
        <v>48</v>
      </c>
      <c r="E3" s="104" t="s">
        <v>33</v>
      </c>
      <c r="F3" s="106" t="s">
        <v>49</v>
      </c>
      <c r="G3" s="102" t="s">
        <v>53</v>
      </c>
      <c r="H3" s="102"/>
      <c r="I3" s="102"/>
      <c r="K3" s="104" t="s">
        <v>47</v>
      </c>
      <c r="L3" s="106" t="s">
        <v>48</v>
      </c>
      <c r="M3" s="104" t="s">
        <v>33</v>
      </c>
      <c r="N3" s="106" t="s">
        <v>49</v>
      </c>
      <c r="O3" s="102" t="s">
        <v>50</v>
      </c>
      <c r="P3" s="102"/>
      <c r="Q3" s="102"/>
    </row>
    <row r="4" spans="2:19" s="27" customFormat="1" ht="21.75" customHeight="1" x14ac:dyDescent="0.5">
      <c r="C4" s="105"/>
      <c r="D4" s="107"/>
      <c r="E4" s="105"/>
      <c r="F4" s="107"/>
      <c r="G4" s="28" t="s">
        <v>3</v>
      </c>
      <c r="H4" s="28" t="s">
        <v>4</v>
      </c>
      <c r="I4" s="28" t="s">
        <v>46</v>
      </c>
      <c r="K4" s="105"/>
      <c r="L4" s="107"/>
      <c r="M4" s="105"/>
      <c r="N4" s="107"/>
      <c r="O4" s="28" t="s">
        <v>3</v>
      </c>
      <c r="P4" s="28" t="s">
        <v>4</v>
      </c>
      <c r="Q4" s="28" t="s">
        <v>46</v>
      </c>
    </row>
    <row r="5" spans="2:19" s="27" customFormat="1" ht="21.75" customHeight="1" x14ac:dyDescent="0.5">
      <c r="B5" s="27">
        <v>1</v>
      </c>
      <c r="C5" s="29"/>
      <c r="D5" s="111">
        <v>5300108</v>
      </c>
      <c r="E5" s="112" t="s">
        <v>353</v>
      </c>
      <c r="F5" s="30"/>
      <c r="G5" s="31">
        <f>COUNTIFS(Todos!$B$2:$B$72,'Resumo '!G$1,Todos!$A$2:$A$72,'Resumo '!$E5)</f>
        <v>0</v>
      </c>
      <c r="H5" s="31">
        <f>COUNTIFS(Todos!$B$2:$B$72,'Resumo '!H$1,Todos!$A$2:$A$72,'Resumo '!$E5)</f>
        <v>0</v>
      </c>
      <c r="I5" s="32">
        <f>SUM(G5+H5)</f>
        <v>0</v>
      </c>
      <c r="K5" s="29">
        <v>45749</v>
      </c>
      <c r="L5" s="76">
        <v>5300108</v>
      </c>
      <c r="M5" s="77" t="s">
        <v>353</v>
      </c>
      <c r="N5" s="30"/>
      <c r="O5" s="31"/>
      <c r="P5" s="31"/>
      <c r="Q5" s="32"/>
      <c r="S5" s="27" t="str">
        <f>_xlfn.CONCAT(I5,"/",Q5)</f>
        <v>0/</v>
      </c>
    </row>
    <row r="6" spans="2:19" s="27" customFormat="1" ht="21.75" customHeight="1" x14ac:dyDescent="0.5">
      <c r="B6" s="27">
        <v>2</v>
      </c>
      <c r="C6" s="29"/>
      <c r="D6" s="111">
        <v>5200175</v>
      </c>
      <c r="E6" s="112" t="s">
        <v>169</v>
      </c>
      <c r="F6" s="30"/>
      <c r="G6" s="31">
        <f>COUNTIFS(Todos!$B$2:$B$72,'Resumo '!G$1,Todos!$A$2:$A$72,'Resumo '!$E6)</f>
        <v>1</v>
      </c>
      <c r="H6" s="31">
        <f>COUNTIFS(Todos!$B$2:$B$72,'Resumo '!H$1,Todos!$A$2:$A$72,'Resumo '!$E6)</f>
        <v>2</v>
      </c>
      <c r="I6" s="32">
        <f t="shared" ref="I6:I7" si="0">SUM(G6+H6)</f>
        <v>3</v>
      </c>
      <c r="K6" s="29">
        <v>45749</v>
      </c>
      <c r="L6" s="76">
        <v>5200175</v>
      </c>
      <c r="M6" s="77" t="s">
        <v>169</v>
      </c>
      <c r="N6" s="30"/>
      <c r="O6" s="31"/>
      <c r="P6" s="31"/>
      <c r="Q6" s="32"/>
      <c r="S6" s="27" t="str">
        <f t="shared" ref="S6:S29" si="1">_xlfn.CONCAT(I6,"/",Q6)</f>
        <v>3/</v>
      </c>
    </row>
    <row r="7" spans="2:19" s="27" customFormat="1" ht="21.75" customHeight="1" x14ac:dyDescent="0.5">
      <c r="C7" s="29"/>
      <c r="D7" s="111">
        <v>5200258</v>
      </c>
      <c r="E7" s="112" t="s">
        <v>241</v>
      </c>
      <c r="F7" s="30"/>
      <c r="G7" s="31">
        <f>COUNTIFS(Todos!$B$2:$B$72,'Resumo '!G$1,Todos!$A$2:$A$72,'Resumo '!$E7)</f>
        <v>0</v>
      </c>
      <c r="H7" s="31">
        <f>COUNTIFS(Todos!$B$2:$B$72,'Resumo '!H$1,Todos!$A$2:$A$72,'Resumo '!$E7)</f>
        <v>1</v>
      </c>
      <c r="I7" s="32">
        <f t="shared" si="0"/>
        <v>1</v>
      </c>
      <c r="K7" s="29"/>
      <c r="L7" s="76">
        <v>5200258</v>
      </c>
      <c r="M7" s="77" t="s">
        <v>241</v>
      </c>
      <c r="N7" s="30"/>
      <c r="O7" s="31"/>
      <c r="P7" s="31"/>
      <c r="Q7" s="32"/>
    </row>
    <row r="8" spans="2:19" s="27" customFormat="1" ht="21.75" customHeight="1" x14ac:dyDescent="0.5">
      <c r="C8" s="29"/>
      <c r="D8" s="111">
        <v>5200308</v>
      </c>
      <c r="E8" s="112" t="s">
        <v>278</v>
      </c>
      <c r="F8" s="30"/>
      <c r="G8" s="31">
        <f>COUNTIFS(Todos!$B$2:$B$72,'Resumo '!G$1,Todos!$A$2:$A$72,'Resumo '!$E8)</f>
        <v>0</v>
      </c>
      <c r="H8" s="31">
        <f>COUNTIFS(Todos!$B$2:$B$72,'Resumo '!H$1,Todos!$A$2:$A$72,'Resumo '!$E8)</f>
        <v>2</v>
      </c>
      <c r="I8" s="32">
        <f t="shared" ref="I8:I27" si="2">SUM(G8+H8)</f>
        <v>2</v>
      </c>
      <c r="K8" s="29"/>
      <c r="L8" s="76">
        <v>5200308</v>
      </c>
      <c r="M8" s="77" t="s">
        <v>278</v>
      </c>
      <c r="N8" s="30"/>
      <c r="O8" s="31"/>
      <c r="P8" s="31"/>
      <c r="Q8" s="32"/>
    </row>
    <row r="9" spans="2:19" s="27" customFormat="1" ht="21.75" customHeight="1" x14ac:dyDescent="0.5">
      <c r="C9" s="29"/>
      <c r="D9" s="111">
        <v>5200605</v>
      </c>
      <c r="E9" s="112" t="s">
        <v>354</v>
      </c>
      <c r="F9" s="30"/>
      <c r="G9" s="31">
        <f>COUNTIFS(Todos!$B$2:$B$72,'Resumo '!G$1,Todos!$A$2:$A$72,'Resumo '!$E9)</f>
        <v>0</v>
      </c>
      <c r="H9" s="31">
        <f>COUNTIFS(Todos!$B$2:$B$72,'Resumo '!H$1,Todos!$A$2:$A$72,'Resumo '!$E9)</f>
        <v>0</v>
      </c>
      <c r="I9" s="32">
        <f t="shared" si="2"/>
        <v>0</v>
      </c>
      <c r="K9" s="29"/>
      <c r="L9" s="76">
        <v>5200605</v>
      </c>
      <c r="M9" s="77" t="s">
        <v>354</v>
      </c>
      <c r="N9" s="30"/>
      <c r="O9" s="31"/>
      <c r="P9" s="31"/>
      <c r="Q9" s="32"/>
    </row>
    <row r="10" spans="2:19" s="27" customFormat="1" ht="21.75" customHeight="1" x14ac:dyDescent="0.5">
      <c r="C10" s="29"/>
      <c r="D10" s="111">
        <v>5204003</v>
      </c>
      <c r="E10" s="112" t="s">
        <v>210</v>
      </c>
      <c r="F10" s="30"/>
      <c r="G10" s="31">
        <f>COUNTIFS(Todos!$B$2:$B$72,'Resumo '!G$1,Todos!$A$2:$A$72,'Resumo '!$E10)</f>
        <v>1</v>
      </c>
      <c r="H10" s="31">
        <f>COUNTIFS(Todos!$B$2:$B$72,'Resumo '!H$1,Todos!$A$2:$A$72,'Resumo '!$E10)</f>
        <v>2</v>
      </c>
      <c r="I10" s="32">
        <f t="shared" si="2"/>
        <v>3</v>
      </c>
      <c r="K10" s="29"/>
      <c r="L10" s="76">
        <v>5204003</v>
      </c>
      <c r="M10" s="77" t="s">
        <v>210</v>
      </c>
      <c r="N10" s="30"/>
      <c r="O10" s="31"/>
      <c r="P10" s="31"/>
      <c r="Q10" s="32"/>
    </row>
    <row r="11" spans="2:19" s="27" customFormat="1" ht="21.75" customHeight="1" x14ac:dyDescent="0.5">
      <c r="C11" s="29"/>
      <c r="D11" s="111">
        <v>5204805</v>
      </c>
      <c r="E11" s="112" t="s">
        <v>355</v>
      </c>
      <c r="F11" s="30"/>
      <c r="G11" s="31">
        <f>COUNTIFS(Todos!$B$2:$B$72,'Resumo '!G$1,Todos!$A$2:$A$72,'Resumo '!$E11)</f>
        <v>0</v>
      </c>
      <c r="H11" s="31">
        <f>COUNTIFS(Todos!$B$2:$B$72,'Resumo '!H$1,Todos!$A$2:$A$72,'Resumo '!$E11)</f>
        <v>0</v>
      </c>
      <c r="I11" s="32">
        <f t="shared" si="2"/>
        <v>0</v>
      </c>
      <c r="K11" s="29"/>
      <c r="L11" s="76">
        <v>5204805</v>
      </c>
      <c r="M11" s="77" t="s">
        <v>355</v>
      </c>
      <c r="N11" s="30"/>
      <c r="O11" s="31"/>
      <c r="P11" s="31"/>
      <c r="Q11" s="32"/>
    </row>
    <row r="12" spans="2:19" s="27" customFormat="1" ht="21.75" customHeight="1" x14ac:dyDescent="0.5">
      <c r="C12" s="29"/>
      <c r="D12" s="111">
        <v>5205109</v>
      </c>
      <c r="E12" s="112" t="s">
        <v>356</v>
      </c>
      <c r="F12" s="30"/>
      <c r="G12" s="31">
        <f>COUNTIFS(Todos!$B$2:$B$72,'Resumo '!G$1,Todos!$A$2:$A$72,'Resumo '!$E12)</f>
        <v>0</v>
      </c>
      <c r="H12" s="31">
        <f>COUNTIFS(Todos!$B$2:$B$72,'Resumo '!H$1,Todos!$A$2:$A$72,'Resumo '!$E12)</f>
        <v>0</v>
      </c>
      <c r="I12" s="32">
        <f t="shared" si="2"/>
        <v>0</v>
      </c>
      <c r="K12" s="29"/>
      <c r="L12" s="76">
        <v>5205109</v>
      </c>
      <c r="M12" s="77" t="s">
        <v>356</v>
      </c>
      <c r="N12" s="30"/>
      <c r="O12" s="31"/>
      <c r="P12" s="31"/>
      <c r="Q12" s="32"/>
    </row>
    <row r="13" spans="2:19" s="27" customFormat="1" ht="21.75" customHeight="1" x14ac:dyDescent="0.5">
      <c r="C13" s="29"/>
      <c r="D13" s="111">
        <v>5205497</v>
      </c>
      <c r="E13" s="112" t="s">
        <v>177</v>
      </c>
      <c r="F13" s="30"/>
      <c r="G13" s="31">
        <f>COUNTIFS(Todos!$B$2:$B$72,'Resumo '!G$1,Todos!$A$2:$A$72,'Resumo '!$E13)</f>
        <v>0</v>
      </c>
      <c r="H13" s="31">
        <f>COUNTIFS(Todos!$B$2:$B$72,'Resumo '!H$1,Todos!$A$2:$A$72,'Resumo '!$E13)</f>
        <v>2</v>
      </c>
      <c r="I13" s="32">
        <f t="shared" si="2"/>
        <v>2</v>
      </c>
      <c r="K13" s="29"/>
      <c r="L13" s="76">
        <v>5205497</v>
      </c>
      <c r="M13" s="77" t="s">
        <v>177</v>
      </c>
      <c r="N13" s="30"/>
      <c r="O13" s="31"/>
      <c r="P13" s="31"/>
      <c r="Q13" s="32"/>
    </row>
    <row r="14" spans="2:19" s="27" customFormat="1" ht="21.75" customHeight="1" x14ac:dyDescent="0.5">
      <c r="C14" s="29"/>
      <c r="D14" s="111">
        <v>5205513</v>
      </c>
      <c r="E14" s="112" t="s">
        <v>357</v>
      </c>
      <c r="F14" s="30"/>
      <c r="G14" s="31">
        <f>COUNTIFS(Todos!$B$2:$B$72,'Resumo '!G$1,Todos!$A$2:$A$72,'Resumo '!$E14)</f>
        <v>0</v>
      </c>
      <c r="H14" s="31">
        <f>COUNTIFS(Todos!$B$2:$B$72,'Resumo '!H$1,Todos!$A$2:$A$72,'Resumo '!$E14)</f>
        <v>0</v>
      </c>
      <c r="I14" s="32">
        <f t="shared" si="2"/>
        <v>0</v>
      </c>
      <c r="K14" s="29"/>
      <c r="L14" s="76">
        <v>5205513</v>
      </c>
      <c r="M14" s="77" t="s">
        <v>357</v>
      </c>
      <c r="N14" s="30"/>
      <c r="O14" s="31"/>
      <c r="P14" s="31"/>
      <c r="Q14" s="32"/>
    </row>
    <row r="15" spans="2:19" s="27" customFormat="1" ht="21.75" customHeight="1" x14ac:dyDescent="0.5">
      <c r="C15" s="29"/>
      <c r="D15" s="111">
        <v>5206206</v>
      </c>
      <c r="E15" s="112" t="s">
        <v>263</v>
      </c>
      <c r="F15" s="30"/>
      <c r="G15" s="31">
        <f>COUNTIFS(Todos!$B$2:$B$72,'Resumo '!G$1,Todos!$A$2:$A$72,'Resumo '!$E15)</f>
        <v>1</v>
      </c>
      <c r="H15" s="31">
        <f>COUNTIFS(Todos!$B$2:$B$72,'Resumo '!H$1,Todos!$A$2:$A$72,'Resumo '!$E15)</f>
        <v>2</v>
      </c>
      <c r="I15" s="32">
        <f t="shared" si="2"/>
        <v>3</v>
      </c>
      <c r="K15" s="29"/>
      <c r="L15" s="76">
        <v>5206206</v>
      </c>
      <c r="M15" s="77" t="s">
        <v>263</v>
      </c>
      <c r="N15" s="30"/>
      <c r="O15" s="31"/>
      <c r="P15" s="31"/>
      <c r="Q15" s="32"/>
    </row>
    <row r="16" spans="2:19" s="27" customFormat="1" ht="21.75" customHeight="1" x14ac:dyDescent="0.5">
      <c r="C16" s="29"/>
      <c r="D16" s="111">
        <v>5206909</v>
      </c>
      <c r="E16" s="112" t="s">
        <v>358</v>
      </c>
      <c r="F16" s="30"/>
      <c r="G16" s="31">
        <f>COUNTIFS(Todos!$B$2:$B$72,'Resumo '!G$1,Todos!$A$2:$A$72,'Resumo '!$E16)</f>
        <v>0</v>
      </c>
      <c r="H16" s="31">
        <f>COUNTIFS(Todos!$B$2:$B$72,'Resumo '!H$1,Todos!$A$2:$A$72,'Resumo '!$E16)</f>
        <v>0</v>
      </c>
      <c r="I16" s="32">
        <f t="shared" si="2"/>
        <v>0</v>
      </c>
      <c r="K16" s="29"/>
      <c r="L16" s="76">
        <v>5206909</v>
      </c>
      <c r="M16" s="77" t="s">
        <v>358</v>
      </c>
      <c r="N16" s="30"/>
      <c r="O16" s="31"/>
      <c r="P16" s="31"/>
      <c r="Q16" s="32"/>
    </row>
    <row r="17" spans="2:19" s="27" customFormat="1" ht="21.75" customHeight="1" x14ac:dyDescent="0.5">
      <c r="C17" s="29"/>
      <c r="D17" s="111">
        <v>5208004</v>
      </c>
      <c r="E17" s="112" t="s">
        <v>287</v>
      </c>
      <c r="F17" s="30"/>
      <c r="G17" s="31">
        <f>COUNTIFS(Todos!$B$2:$B$72,'Resumo '!G$1,Todos!$A$2:$A$72,'Resumo '!$E17)</f>
        <v>1</v>
      </c>
      <c r="H17" s="31">
        <f>COUNTIFS(Todos!$B$2:$B$72,'Resumo '!H$1,Todos!$A$2:$A$72,'Resumo '!$E17)</f>
        <v>1</v>
      </c>
      <c r="I17" s="32">
        <f t="shared" si="2"/>
        <v>2</v>
      </c>
      <c r="K17" s="29"/>
      <c r="L17" s="76">
        <v>5208004</v>
      </c>
      <c r="M17" s="77" t="s">
        <v>287</v>
      </c>
      <c r="N17" s="30"/>
      <c r="O17" s="31"/>
      <c r="P17" s="31"/>
      <c r="Q17" s="32"/>
    </row>
    <row r="18" spans="2:19" s="27" customFormat="1" ht="21.75" customHeight="1" x14ac:dyDescent="0.5">
      <c r="C18" s="29"/>
      <c r="D18" s="111">
        <v>5212501</v>
      </c>
      <c r="E18" s="112" t="s">
        <v>194</v>
      </c>
      <c r="F18" s="30"/>
      <c r="G18" s="31">
        <f>COUNTIFS(Todos!$B$2:$B$72,'Resumo '!G$1,Todos!$A$2:$A$72,'Resumo '!$E18)</f>
        <v>0</v>
      </c>
      <c r="H18" s="31">
        <f>COUNTIFS(Todos!$B$2:$B$72,'Resumo '!H$1,Todos!$A$2:$A$72,'Resumo '!$E18)</f>
        <v>3</v>
      </c>
      <c r="I18" s="32">
        <f t="shared" si="2"/>
        <v>3</v>
      </c>
      <c r="K18" s="29"/>
      <c r="L18" s="76">
        <v>5212501</v>
      </c>
      <c r="M18" s="77" t="s">
        <v>194</v>
      </c>
      <c r="N18" s="30"/>
      <c r="O18" s="31"/>
      <c r="P18" s="31"/>
      <c r="Q18" s="32"/>
    </row>
    <row r="19" spans="2:19" s="27" customFormat="1" ht="21.75" customHeight="1" x14ac:dyDescent="0.5">
      <c r="C19" s="29"/>
      <c r="D19" s="111">
        <v>5213053</v>
      </c>
      <c r="E19" s="112" t="s">
        <v>331</v>
      </c>
      <c r="F19" s="30"/>
      <c r="G19" s="31">
        <f>COUNTIFS(Todos!$B$2:$B$72,'Resumo '!G$1,Todos!$A$2:$A$72,'Resumo '!$E19)</f>
        <v>0</v>
      </c>
      <c r="H19" s="31">
        <f>COUNTIFS(Todos!$B$2:$B$72,'Resumo '!H$1,Todos!$A$2:$A$72,'Resumo '!$E19)</f>
        <v>2</v>
      </c>
      <c r="I19" s="32">
        <f t="shared" si="2"/>
        <v>2</v>
      </c>
      <c r="K19" s="29"/>
      <c r="L19" s="76">
        <v>5213053</v>
      </c>
      <c r="M19" s="77" t="s">
        <v>331</v>
      </c>
      <c r="N19" s="30"/>
      <c r="O19" s="31"/>
      <c r="P19" s="31"/>
      <c r="Q19" s="32"/>
    </row>
    <row r="20" spans="2:19" s="27" customFormat="1" ht="21.75" customHeight="1" x14ac:dyDescent="0.5">
      <c r="C20" s="29"/>
      <c r="D20" s="111">
        <v>5215231</v>
      </c>
      <c r="E20" s="112" t="s">
        <v>359</v>
      </c>
      <c r="F20" s="30"/>
      <c r="G20" s="31">
        <f>COUNTIFS(Todos!$B$2:$B$72,'Resumo '!G$1,Todos!$A$2:$A$72,'Resumo '!$E20)</f>
        <v>0</v>
      </c>
      <c r="H20" s="31">
        <f>COUNTIFS(Todos!$B$2:$B$72,'Resumo '!H$1,Todos!$A$2:$A$72,'Resumo '!$E20)</f>
        <v>0</v>
      </c>
      <c r="I20" s="32">
        <f t="shared" si="2"/>
        <v>0</v>
      </c>
      <c r="K20" s="29"/>
      <c r="L20" s="76">
        <v>5215231</v>
      </c>
      <c r="M20" s="77" t="s">
        <v>359</v>
      </c>
      <c r="N20" s="30"/>
      <c r="O20" s="31"/>
      <c r="P20" s="31"/>
      <c r="Q20" s="32"/>
    </row>
    <row r="21" spans="2:19" s="27" customFormat="1" ht="21.75" customHeight="1" x14ac:dyDescent="0.5">
      <c r="C21" s="29"/>
      <c r="D21" s="111">
        <v>5215504</v>
      </c>
      <c r="E21" s="112" t="s">
        <v>360</v>
      </c>
      <c r="F21" s="30"/>
      <c r="G21" s="31">
        <f>COUNTIFS(Todos!$B$2:$B$72,'Resumo '!G$1,Todos!$A$2:$A$72,'Resumo '!$E21)</f>
        <v>0</v>
      </c>
      <c r="H21" s="31">
        <f>COUNTIFS(Todos!$B$2:$B$72,'Resumo '!H$1,Todos!$A$2:$A$72,'Resumo '!$E21)</f>
        <v>0</v>
      </c>
      <c r="I21" s="32">
        <f t="shared" si="2"/>
        <v>0</v>
      </c>
      <c r="K21" s="29"/>
      <c r="L21" s="76">
        <v>5215504</v>
      </c>
      <c r="M21" s="77" t="s">
        <v>360</v>
      </c>
      <c r="N21" s="30"/>
      <c r="O21" s="31"/>
      <c r="P21" s="31"/>
      <c r="Q21" s="32"/>
    </row>
    <row r="22" spans="2:19" s="27" customFormat="1" ht="21.75" customHeight="1" x14ac:dyDescent="0.5">
      <c r="C22" s="29"/>
      <c r="D22" s="111">
        <v>5215603</v>
      </c>
      <c r="E22" s="112" t="s">
        <v>361</v>
      </c>
      <c r="F22" s="30"/>
      <c r="G22" s="31">
        <f>COUNTIFS(Todos!$B$2:$B$72,'Resumo '!G$1,Todos!$A$2:$A$72,'Resumo '!$E22)</f>
        <v>0</v>
      </c>
      <c r="H22" s="31">
        <f>COUNTIFS(Todos!$B$2:$B$72,'Resumo '!H$1,Todos!$A$2:$A$72,'Resumo '!$E22)</f>
        <v>0</v>
      </c>
      <c r="I22" s="32">
        <f t="shared" si="2"/>
        <v>0</v>
      </c>
      <c r="K22" s="29"/>
      <c r="L22" s="76">
        <v>5215603</v>
      </c>
      <c r="M22" s="77" t="s">
        <v>361</v>
      </c>
      <c r="N22" s="30"/>
      <c r="O22" s="31"/>
      <c r="P22" s="31"/>
      <c r="Q22" s="32"/>
    </row>
    <row r="23" spans="2:19" s="27" customFormat="1" ht="21.75" customHeight="1" x14ac:dyDescent="0.5">
      <c r="C23" s="29"/>
      <c r="D23" s="111">
        <v>5217609</v>
      </c>
      <c r="E23" s="112" t="s">
        <v>362</v>
      </c>
      <c r="F23" s="30"/>
      <c r="G23" s="31">
        <f>COUNTIFS(Todos!$B$2:$B$72,'Resumo '!G$1,Todos!$A$2:$A$72,'Resumo '!$E23)</f>
        <v>0</v>
      </c>
      <c r="H23" s="31">
        <f>COUNTIFS(Todos!$B$2:$B$72,'Resumo '!H$1,Todos!$A$2:$A$72,'Resumo '!$E23)</f>
        <v>0</v>
      </c>
      <c r="I23" s="32">
        <f t="shared" si="2"/>
        <v>0</v>
      </c>
      <c r="K23" s="29"/>
      <c r="L23" s="76">
        <v>5217609</v>
      </c>
      <c r="M23" s="77" t="s">
        <v>362</v>
      </c>
      <c r="N23" s="30"/>
      <c r="O23" s="31"/>
      <c r="P23" s="31"/>
      <c r="Q23" s="32"/>
    </row>
    <row r="24" spans="2:19" s="27" customFormat="1" ht="21.75" customHeight="1" x14ac:dyDescent="0.5">
      <c r="C24" s="29"/>
      <c r="D24" s="111">
        <v>5220009</v>
      </c>
      <c r="E24" s="112" t="s">
        <v>301</v>
      </c>
      <c r="F24" s="30"/>
      <c r="G24" s="31">
        <f>COUNTIFS(Todos!$B$2:$B$72,'Resumo '!G$1,Todos!$A$2:$A$72,'Resumo '!$E24)</f>
        <v>1</v>
      </c>
      <c r="H24" s="31">
        <f>COUNTIFS(Todos!$B$2:$B$72,'Resumo '!H$1,Todos!$A$2:$A$72,'Resumo '!$E24)</f>
        <v>1</v>
      </c>
      <c r="I24" s="32">
        <f t="shared" si="2"/>
        <v>2</v>
      </c>
      <c r="K24" s="29"/>
      <c r="L24" s="76">
        <v>5220009</v>
      </c>
      <c r="M24" s="77" t="s">
        <v>301</v>
      </c>
      <c r="N24" s="30"/>
      <c r="O24" s="31"/>
      <c r="P24" s="31"/>
      <c r="Q24" s="32"/>
    </row>
    <row r="25" spans="2:19" s="27" customFormat="1" ht="21.75" customHeight="1" x14ac:dyDescent="0.5">
      <c r="C25" s="29"/>
      <c r="D25" s="111">
        <v>5221304</v>
      </c>
      <c r="E25" s="112" t="s">
        <v>363</v>
      </c>
      <c r="F25" s="30"/>
      <c r="G25" s="31">
        <f>COUNTIFS(Todos!$B$2:$B$72,'Resumo '!G$1,Todos!$A$2:$A$72,'Resumo '!$E25)</f>
        <v>0</v>
      </c>
      <c r="H25" s="31">
        <f>COUNTIFS(Todos!$B$2:$B$72,'Resumo '!H$1,Todos!$A$2:$A$72,'Resumo '!$E25)</f>
        <v>0</v>
      </c>
      <c r="I25" s="32">
        <f t="shared" si="2"/>
        <v>0</v>
      </c>
      <c r="K25" s="29"/>
      <c r="L25" s="76">
        <v>5221304</v>
      </c>
      <c r="M25" s="77" t="s">
        <v>363</v>
      </c>
      <c r="N25" s="30"/>
      <c r="O25" s="31"/>
      <c r="P25" s="31"/>
      <c r="Q25" s="32"/>
    </row>
    <row r="26" spans="2:19" s="27" customFormat="1" ht="21.75" customHeight="1" x14ac:dyDescent="0.5">
      <c r="C26" s="29"/>
      <c r="D26" s="111">
        <v>5221858</v>
      </c>
      <c r="E26" s="112" t="s">
        <v>364</v>
      </c>
      <c r="F26" s="30"/>
      <c r="G26" s="31">
        <f>COUNTIFS(Todos!$B$2:$B$72,'Resumo '!G$1,Todos!$A$2:$A$72,'Resumo '!$E26)</f>
        <v>0</v>
      </c>
      <c r="H26" s="31">
        <f>COUNTIFS(Todos!$B$2:$B$72,'Resumo '!H$1,Todos!$A$2:$A$72,'Resumo '!$E26)</f>
        <v>0</v>
      </c>
      <c r="I26" s="32">
        <f t="shared" si="2"/>
        <v>0</v>
      </c>
      <c r="K26" s="29"/>
      <c r="L26" s="76">
        <v>5221858</v>
      </c>
      <c r="M26" s="77" t="s">
        <v>364</v>
      </c>
      <c r="N26" s="30"/>
      <c r="O26" s="31"/>
      <c r="P26" s="31"/>
      <c r="Q26" s="32"/>
    </row>
    <row r="27" spans="2:19" s="27" customFormat="1" ht="21.75" customHeight="1" thickBot="1" x14ac:dyDescent="0.55000000000000004">
      <c r="C27" s="29"/>
      <c r="D27" s="111">
        <v>5219753</v>
      </c>
      <c r="E27" s="112" t="s">
        <v>185</v>
      </c>
      <c r="F27" s="30"/>
      <c r="G27" s="31">
        <f>COUNTIFS(Todos!$B$2:$B$72,'Resumo '!G$1,Todos!$A$2:$A$72,'Resumo '!$E27)</f>
        <v>0</v>
      </c>
      <c r="H27" s="31">
        <f>COUNTIFS(Todos!$B$2:$B$72,'Resumo '!H$1,Todos!$A$2:$A$72,'Resumo '!$E27)</f>
        <v>2</v>
      </c>
      <c r="I27" s="32">
        <f t="shared" si="2"/>
        <v>2</v>
      </c>
      <c r="K27" s="29"/>
      <c r="L27" s="76">
        <v>5219753</v>
      </c>
      <c r="M27" s="77" t="s">
        <v>185</v>
      </c>
      <c r="N27" s="30"/>
      <c r="O27" s="31"/>
      <c r="P27" s="31"/>
      <c r="Q27" s="32"/>
    </row>
    <row r="28" spans="2:19" s="27" customFormat="1" ht="21.75" customHeight="1" x14ac:dyDescent="0.5">
      <c r="C28" s="103" t="s">
        <v>51</v>
      </c>
      <c r="D28" s="103"/>
      <c r="E28" s="103"/>
      <c r="F28" s="103"/>
      <c r="G28" s="33">
        <f>SUM(G5:G27)</f>
        <v>5</v>
      </c>
      <c r="H28" s="33">
        <f>SUM(H5:H27)</f>
        <v>20</v>
      </c>
      <c r="I28" s="34">
        <f>SUM(I5:I27)</f>
        <v>25</v>
      </c>
      <c r="K28" s="103" t="s">
        <v>51</v>
      </c>
      <c r="L28" s="103"/>
      <c r="M28" s="103"/>
      <c r="N28" s="103"/>
      <c r="O28" s="33">
        <v>32</v>
      </c>
      <c r="P28" s="33">
        <v>60</v>
      </c>
      <c r="Q28" s="34">
        <v>92</v>
      </c>
      <c r="S28" s="27" t="str">
        <f t="shared" si="1"/>
        <v>25/92</v>
      </c>
    </row>
    <row r="29" spans="2:19" s="27" customFormat="1" ht="21.75" customHeight="1" thickBot="1" x14ac:dyDescent="0.55000000000000004">
      <c r="B29" s="35"/>
      <c r="C29" s="103" t="s">
        <v>52</v>
      </c>
      <c r="D29" s="103"/>
      <c r="E29" s="103"/>
      <c r="F29" s="103"/>
      <c r="G29" s="36">
        <f>COUNTIF(G5:G27,"&lt;&gt;0")</f>
        <v>5</v>
      </c>
      <c r="H29" s="36">
        <f>COUNTIF(H5:H27,"&lt;&gt;0")</f>
        <v>11</v>
      </c>
      <c r="I29" s="37">
        <f>COUNTIF(I5:I27,"&lt;&gt;0")</f>
        <v>11</v>
      </c>
      <c r="K29" s="103" t="s">
        <v>52</v>
      </c>
      <c r="L29" s="103"/>
      <c r="M29" s="103"/>
      <c r="N29" s="103"/>
      <c r="O29" s="36">
        <v>20</v>
      </c>
      <c r="P29" s="36">
        <v>34</v>
      </c>
      <c r="Q29" s="37">
        <v>35</v>
      </c>
      <c r="S29" s="27" t="str">
        <f t="shared" si="1"/>
        <v>11/35</v>
      </c>
    </row>
    <row r="30" spans="2:19" s="27" customFormat="1" ht="21.75" customHeight="1" x14ac:dyDescent="0.5">
      <c r="E30" s="38"/>
      <c r="G30" s="27">
        <v>32</v>
      </c>
      <c r="H30" s="27">
        <v>60</v>
      </c>
      <c r="I30" s="27">
        <v>92</v>
      </c>
    </row>
    <row r="31" spans="2:19" s="27" customFormat="1" ht="21.75" customHeight="1" x14ac:dyDescent="0.5">
      <c r="E31" s="38"/>
      <c r="G31" s="39">
        <f t="shared" ref="G31:H31" si="3">+G28/G30</f>
        <v>0.15625</v>
      </c>
      <c r="H31" s="39">
        <f t="shared" si="3"/>
        <v>0.33333333333333331</v>
      </c>
      <c r="I31" s="39">
        <f>+I28/I30</f>
        <v>0.27173913043478259</v>
      </c>
    </row>
    <row r="33" spans="3:13" ht="21.75" customHeight="1" x14ac:dyDescent="0.25">
      <c r="K33" s="40">
        <f>+G28/$I$28</f>
        <v>0.2</v>
      </c>
      <c r="L33" s="40">
        <f>+H28/$I$28</f>
        <v>0.8</v>
      </c>
      <c r="M33" s="40">
        <f>+I28/$I$28</f>
        <v>1</v>
      </c>
    </row>
    <row r="34" spans="3:13" ht="21.75" customHeight="1" x14ac:dyDescent="0.25">
      <c r="G34" s="28" t="s">
        <v>3</v>
      </c>
      <c r="H34" s="28" t="s">
        <v>56</v>
      </c>
      <c r="I34" s="28" t="s">
        <v>46</v>
      </c>
    </row>
    <row r="35" spans="3:13" s="41" customFormat="1" ht="21.75" customHeight="1" x14ac:dyDescent="0.25">
      <c r="D35" s="42"/>
      <c r="E35" s="42"/>
      <c r="F35" s="42" t="s">
        <v>54</v>
      </c>
      <c r="G35" s="43">
        <f>+G28</f>
        <v>5</v>
      </c>
      <c r="H35" s="43">
        <f t="shared" ref="H35:I35" si="4">+H28</f>
        <v>20</v>
      </c>
      <c r="I35" s="43">
        <f t="shared" si="4"/>
        <v>25</v>
      </c>
    </row>
    <row r="36" spans="3:13" s="41" customFormat="1" ht="21.75" customHeight="1" x14ac:dyDescent="0.25">
      <c r="D36" s="42"/>
      <c r="E36" s="42"/>
      <c r="F36" s="42" t="s">
        <v>55</v>
      </c>
      <c r="G36" s="43">
        <f>+G29</f>
        <v>5</v>
      </c>
      <c r="H36" s="43">
        <f t="shared" ref="H36:I36" si="5">+H29</f>
        <v>11</v>
      </c>
      <c r="I36" s="43">
        <f t="shared" si="5"/>
        <v>11</v>
      </c>
    </row>
    <row r="37" spans="3:13" s="41" customFormat="1" ht="21.75" customHeight="1" x14ac:dyDescent="0.25">
      <c r="E37" s="44"/>
      <c r="F37" s="45"/>
    </row>
    <row r="38" spans="3:13" s="41" customFormat="1" ht="21.75" customHeight="1" x14ac:dyDescent="0.25">
      <c r="E38" s="44"/>
      <c r="F38" s="45"/>
    </row>
    <row r="39" spans="3:13" s="41" customFormat="1" ht="21.75" customHeight="1" x14ac:dyDescent="0.25">
      <c r="C39" s="101" t="s">
        <v>51</v>
      </c>
      <c r="D39" s="101"/>
      <c r="E39" s="101"/>
      <c r="F39" s="101"/>
    </row>
    <row r="40" spans="3:13" s="41" customFormat="1" ht="21.75" customHeight="1" x14ac:dyDescent="0.25">
      <c r="C40" s="101" t="s">
        <v>52</v>
      </c>
      <c r="D40" s="101"/>
      <c r="E40" s="101"/>
      <c r="F40" s="101"/>
    </row>
    <row r="41" spans="3:13" s="41" customFormat="1" ht="21.75" customHeight="1" x14ac:dyDescent="0.25">
      <c r="E41" s="44"/>
      <c r="F41" s="45"/>
    </row>
    <row r="42" spans="3:13" s="41" customFormat="1" ht="21.75" customHeight="1" x14ac:dyDescent="0.25">
      <c r="E42" s="44"/>
      <c r="F42" s="45" t="s">
        <v>54</v>
      </c>
      <c r="G42" s="41" t="s">
        <v>55</v>
      </c>
    </row>
    <row r="43" spans="3:13" s="41" customFormat="1" ht="21.75" customHeight="1" x14ac:dyDescent="0.25">
      <c r="E43" s="44" t="s">
        <v>3</v>
      </c>
      <c r="F43" s="45">
        <f>+G35</f>
        <v>5</v>
      </c>
      <c r="G43" s="41">
        <f>+G36</f>
        <v>5</v>
      </c>
    </row>
    <row r="44" spans="3:13" s="41" customFormat="1" ht="21.75" customHeight="1" x14ac:dyDescent="0.25">
      <c r="E44" s="44" t="s">
        <v>56</v>
      </c>
      <c r="F44" s="45">
        <f>+H35</f>
        <v>20</v>
      </c>
      <c r="G44" s="41">
        <f>+H36</f>
        <v>11</v>
      </c>
    </row>
    <row r="45" spans="3:13" s="41" customFormat="1" ht="21.75" customHeight="1" x14ac:dyDescent="0.25">
      <c r="E45" s="44"/>
      <c r="F45" s="45"/>
    </row>
    <row r="46" spans="3:13" s="41" customFormat="1" ht="21.75" customHeight="1" x14ac:dyDescent="0.25">
      <c r="E46" s="44"/>
      <c r="F46" s="45"/>
    </row>
    <row r="47" spans="3:13" s="41" customFormat="1" ht="21.75" customHeight="1" x14ac:dyDescent="0.25">
      <c r="E47" s="44"/>
      <c r="F47" s="45"/>
    </row>
    <row r="48" spans="3:13" s="41" customFormat="1" ht="21.75" customHeight="1" x14ac:dyDescent="0.25">
      <c r="E48" s="44"/>
      <c r="F48" s="45"/>
    </row>
    <row r="49" spans="5:6" s="41" customFormat="1" ht="21.75" customHeight="1" x14ac:dyDescent="0.25">
      <c r="E49" s="44"/>
      <c r="F49" s="45"/>
    </row>
    <row r="50" spans="5:6" s="41" customFormat="1" ht="21.75" customHeight="1" x14ac:dyDescent="0.25">
      <c r="E50" s="44"/>
      <c r="F50" s="45"/>
    </row>
    <row r="51" spans="5:6" s="41" customFormat="1" ht="21.75" customHeight="1" x14ac:dyDescent="0.25">
      <c r="E51" s="44"/>
      <c r="F51" s="45"/>
    </row>
    <row r="52" spans="5:6" s="41" customFormat="1" ht="21.75" customHeight="1" x14ac:dyDescent="0.25">
      <c r="E52" s="44"/>
      <c r="F52" s="45"/>
    </row>
    <row r="53" spans="5:6" s="41" customFormat="1" ht="21.75" customHeight="1" x14ac:dyDescent="0.25">
      <c r="E53" s="44"/>
      <c r="F53" s="45"/>
    </row>
    <row r="54" spans="5:6" s="41" customFormat="1" ht="21.75" customHeight="1" x14ac:dyDescent="0.25">
      <c r="E54" s="44"/>
      <c r="F54" s="45"/>
    </row>
    <row r="55" spans="5:6" s="41" customFormat="1" ht="21.75" customHeight="1" x14ac:dyDescent="0.25">
      <c r="E55" s="44"/>
      <c r="F55" s="45"/>
    </row>
    <row r="56" spans="5:6" s="41" customFormat="1" ht="21.75" customHeight="1" x14ac:dyDescent="0.25">
      <c r="E56" s="44"/>
      <c r="F56" s="45"/>
    </row>
    <row r="57" spans="5:6" s="41" customFormat="1" ht="21.75" customHeight="1" x14ac:dyDescent="0.25">
      <c r="E57" s="44"/>
      <c r="F57" s="45"/>
    </row>
    <row r="58" spans="5:6" s="41" customFormat="1" ht="21.75" customHeight="1" x14ac:dyDescent="0.25">
      <c r="E58" s="44"/>
      <c r="F58" s="45"/>
    </row>
  </sheetData>
  <mergeCells count="16">
    <mergeCell ref="C40:F40"/>
    <mergeCell ref="O3:Q3"/>
    <mergeCell ref="K28:N28"/>
    <mergeCell ref="K29:N29"/>
    <mergeCell ref="C39:F39"/>
    <mergeCell ref="C28:F28"/>
    <mergeCell ref="C29:F29"/>
    <mergeCell ref="K3:K4"/>
    <mergeCell ref="L3:L4"/>
    <mergeCell ref="M3:M4"/>
    <mergeCell ref="N3:N4"/>
    <mergeCell ref="C3:C4"/>
    <mergeCell ref="D3:D4"/>
    <mergeCell ref="E3:E4"/>
    <mergeCell ref="F3:F4"/>
    <mergeCell ref="G3:I3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Dados</vt:lpstr>
      <vt:lpstr>Apendice III</vt:lpstr>
      <vt:lpstr>Todos</vt:lpstr>
      <vt:lpstr>CACS</vt:lpstr>
      <vt:lpstr>GESTORES</vt:lpstr>
      <vt:lpstr>Resumo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Robinson Giraldo</dc:creator>
  <cp:lastModifiedBy>Robinson Zuluaga</cp:lastModifiedBy>
  <dcterms:created xsi:type="dcterms:W3CDTF">2024-06-20T01:29:06Z</dcterms:created>
  <dcterms:modified xsi:type="dcterms:W3CDTF">2025-12-16T09:43:50Z</dcterms:modified>
</cp:coreProperties>
</file>