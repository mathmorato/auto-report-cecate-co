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inson\Dropbox\090_UFG\08_PTE - FAPPTE\19_6CTE\Relatorio\"/>
    </mc:Choice>
  </mc:AlternateContent>
  <xr:revisionPtr revIDLastSave="0" documentId="13_ncr:1_{BF487008-F2F1-4D13-8720-0CF8735C485A}" xr6:coauthVersionLast="47" xr6:coauthVersionMax="47" xr10:uidLastSave="{00000000-0000-0000-0000-000000000000}"/>
  <bookViews>
    <workbookView xWindow="-120" yWindow="-120" windowWidth="20730" windowHeight="11160" tabRatio="772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5" hidden="1">'Resumo '!$D$4:$H$44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23" l="1"/>
  <c r="H69" i="23"/>
  <c r="G69" i="23"/>
  <c r="F69" i="23"/>
  <c r="E69" i="23"/>
  <c r="D69" i="23"/>
  <c r="C69" i="23"/>
  <c r="B69" i="23"/>
  <c r="A69" i="23"/>
  <c r="I68" i="23"/>
  <c r="H68" i="23"/>
  <c r="G68" i="23"/>
  <c r="F68" i="23"/>
  <c r="E68" i="23"/>
  <c r="D68" i="23"/>
  <c r="C68" i="23"/>
  <c r="B68" i="23"/>
  <c r="A68" i="23"/>
  <c r="I67" i="23"/>
  <c r="H67" i="23"/>
  <c r="G67" i="23"/>
  <c r="F67" i="23"/>
  <c r="E67" i="23"/>
  <c r="D67" i="23"/>
  <c r="C67" i="23"/>
  <c r="B67" i="23"/>
  <c r="A67" i="23"/>
  <c r="I66" i="23"/>
  <c r="H66" i="23"/>
  <c r="G66" i="23"/>
  <c r="F66" i="23"/>
  <c r="E66" i="23"/>
  <c r="D66" i="23"/>
  <c r="C66" i="23"/>
  <c r="B66" i="23"/>
  <c r="A66" i="23"/>
  <c r="I65" i="23"/>
  <c r="H65" i="23"/>
  <c r="G65" i="23"/>
  <c r="F65" i="23"/>
  <c r="E65" i="23"/>
  <c r="D65" i="23"/>
  <c r="C65" i="23"/>
  <c r="B65" i="23"/>
  <c r="A65" i="23"/>
  <c r="I64" i="23"/>
  <c r="H64" i="23"/>
  <c r="G64" i="23"/>
  <c r="F64" i="23"/>
  <c r="E64" i="23"/>
  <c r="D64" i="23"/>
  <c r="C64" i="23"/>
  <c r="B64" i="23"/>
  <c r="A64" i="23"/>
  <c r="I63" i="23"/>
  <c r="H63" i="23"/>
  <c r="G63" i="23"/>
  <c r="F63" i="23"/>
  <c r="E63" i="23"/>
  <c r="D63" i="23"/>
  <c r="C63" i="23"/>
  <c r="B63" i="23"/>
  <c r="A63" i="23"/>
  <c r="I62" i="23"/>
  <c r="H62" i="23"/>
  <c r="G62" i="23"/>
  <c r="F62" i="23"/>
  <c r="E62" i="23"/>
  <c r="D62" i="23"/>
  <c r="C62" i="23"/>
  <c r="B62" i="23"/>
  <c r="A62" i="23"/>
  <c r="I61" i="23"/>
  <c r="H61" i="23"/>
  <c r="G61" i="23"/>
  <c r="F61" i="23"/>
  <c r="E61" i="23"/>
  <c r="D61" i="23"/>
  <c r="C61" i="23"/>
  <c r="B61" i="23"/>
  <c r="A61" i="23"/>
  <c r="I60" i="23"/>
  <c r="H60" i="23"/>
  <c r="G60" i="23"/>
  <c r="F60" i="23"/>
  <c r="E60" i="23"/>
  <c r="D60" i="23"/>
  <c r="C60" i="23"/>
  <c r="B60" i="23"/>
  <c r="A60" i="23"/>
  <c r="I59" i="23"/>
  <c r="H59" i="23"/>
  <c r="G59" i="23"/>
  <c r="F59" i="23"/>
  <c r="E59" i="23"/>
  <c r="D59" i="23"/>
  <c r="C59" i="23"/>
  <c r="B59" i="23"/>
  <c r="A59" i="23"/>
  <c r="I58" i="23"/>
  <c r="H58" i="23"/>
  <c r="G58" i="23"/>
  <c r="F58" i="23"/>
  <c r="E58" i="23"/>
  <c r="D58" i="23"/>
  <c r="C58" i="23"/>
  <c r="B58" i="23"/>
  <c r="A58" i="23"/>
  <c r="I57" i="23"/>
  <c r="H57" i="23"/>
  <c r="G57" i="23"/>
  <c r="F57" i="23"/>
  <c r="E57" i="23"/>
  <c r="D57" i="23"/>
  <c r="C57" i="23"/>
  <c r="B57" i="23"/>
  <c r="A57" i="23"/>
  <c r="I56" i="23"/>
  <c r="H56" i="23"/>
  <c r="G56" i="23"/>
  <c r="F56" i="23"/>
  <c r="E56" i="23"/>
  <c r="D56" i="23"/>
  <c r="C56" i="23"/>
  <c r="B56" i="23"/>
  <c r="A56" i="23"/>
  <c r="I55" i="23"/>
  <c r="H55" i="23"/>
  <c r="G55" i="23"/>
  <c r="F55" i="23"/>
  <c r="E55" i="23"/>
  <c r="D55" i="23"/>
  <c r="C55" i="23"/>
  <c r="B55" i="23"/>
  <c r="A55" i="23"/>
  <c r="I54" i="23"/>
  <c r="H54" i="23"/>
  <c r="G54" i="23"/>
  <c r="F54" i="23"/>
  <c r="E54" i="23"/>
  <c r="D54" i="23"/>
  <c r="C54" i="23"/>
  <c r="B54" i="23"/>
  <c r="A54" i="23"/>
  <c r="I53" i="23"/>
  <c r="H53" i="23"/>
  <c r="G53" i="23"/>
  <c r="F53" i="23"/>
  <c r="E53" i="23"/>
  <c r="D53" i="23"/>
  <c r="C53" i="23"/>
  <c r="B53" i="23"/>
  <c r="A53" i="23"/>
  <c r="I52" i="23"/>
  <c r="H52" i="23"/>
  <c r="G52" i="23"/>
  <c r="F52" i="23"/>
  <c r="E52" i="23"/>
  <c r="D52" i="23"/>
  <c r="C52" i="23"/>
  <c r="B52" i="23"/>
  <c r="A52" i="23"/>
  <c r="I51" i="23"/>
  <c r="H51" i="23"/>
  <c r="G51" i="23"/>
  <c r="F51" i="23"/>
  <c r="E51" i="23"/>
  <c r="D51" i="23"/>
  <c r="C51" i="23"/>
  <c r="B51" i="23"/>
  <c r="A51" i="23"/>
  <c r="I50" i="23"/>
  <c r="H50" i="23"/>
  <c r="G50" i="23"/>
  <c r="F50" i="23"/>
  <c r="E50" i="23"/>
  <c r="D50" i="23"/>
  <c r="C50" i="23"/>
  <c r="B50" i="23"/>
  <c r="A50" i="23"/>
  <c r="I49" i="23"/>
  <c r="H49" i="23"/>
  <c r="G49" i="23"/>
  <c r="F49" i="23"/>
  <c r="E49" i="23"/>
  <c r="D49" i="23"/>
  <c r="C49" i="23"/>
  <c r="B49" i="23"/>
  <c r="A49" i="23"/>
  <c r="I48" i="23"/>
  <c r="H48" i="23"/>
  <c r="G48" i="23"/>
  <c r="F48" i="23"/>
  <c r="E48" i="23"/>
  <c r="D48" i="23"/>
  <c r="C48" i="23"/>
  <c r="B48" i="23"/>
  <c r="A48" i="23"/>
  <c r="I47" i="23"/>
  <c r="H47" i="23"/>
  <c r="G47" i="23"/>
  <c r="F47" i="23"/>
  <c r="E47" i="23"/>
  <c r="D47" i="23"/>
  <c r="C47" i="23"/>
  <c r="B47" i="23"/>
  <c r="A47" i="23"/>
  <c r="I46" i="23"/>
  <c r="H46" i="23"/>
  <c r="G46" i="23"/>
  <c r="F46" i="23"/>
  <c r="E46" i="23"/>
  <c r="D46" i="23"/>
  <c r="C46" i="23"/>
  <c r="B46" i="23"/>
  <c r="A46" i="23"/>
  <c r="I45" i="23"/>
  <c r="H45" i="23"/>
  <c r="G45" i="23"/>
  <c r="F45" i="23"/>
  <c r="E45" i="23"/>
  <c r="D45" i="23"/>
  <c r="C45" i="23"/>
  <c r="B45" i="23"/>
  <c r="A45" i="23"/>
  <c r="I44" i="23"/>
  <c r="H44" i="23"/>
  <c r="G44" i="23"/>
  <c r="F44" i="23"/>
  <c r="E44" i="23"/>
  <c r="D44" i="23"/>
  <c r="C44" i="23"/>
  <c r="B44" i="23"/>
  <c r="A44" i="23"/>
  <c r="I43" i="23"/>
  <c r="H43" i="23"/>
  <c r="G43" i="23"/>
  <c r="F43" i="23"/>
  <c r="E43" i="23"/>
  <c r="D43" i="23"/>
  <c r="C43" i="23"/>
  <c r="B43" i="23"/>
  <c r="A43" i="23"/>
  <c r="I42" i="23"/>
  <c r="H42" i="23"/>
  <c r="G42" i="23"/>
  <c r="F42" i="23"/>
  <c r="E42" i="23"/>
  <c r="D42" i="23"/>
  <c r="C42" i="23"/>
  <c r="B42" i="23"/>
  <c r="A42" i="23"/>
  <c r="I41" i="23"/>
  <c r="H41" i="23"/>
  <c r="G41" i="23"/>
  <c r="F41" i="23"/>
  <c r="E41" i="23"/>
  <c r="D41" i="23"/>
  <c r="C41" i="23"/>
  <c r="B41" i="23"/>
  <c r="A41" i="23"/>
  <c r="I40" i="23"/>
  <c r="H40" i="23"/>
  <c r="G40" i="23"/>
  <c r="F40" i="23"/>
  <c r="E40" i="23"/>
  <c r="D40" i="23"/>
  <c r="C40" i="23"/>
  <c r="B40" i="23"/>
  <c r="A40" i="23"/>
  <c r="I39" i="23"/>
  <c r="H39" i="23"/>
  <c r="G39" i="23"/>
  <c r="F39" i="23"/>
  <c r="E39" i="23"/>
  <c r="D39" i="23"/>
  <c r="C39" i="23"/>
  <c r="B39" i="23"/>
  <c r="A39" i="23"/>
  <c r="I38" i="23"/>
  <c r="H38" i="23"/>
  <c r="G38" i="23"/>
  <c r="F38" i="23"/>
  <c r="E38" i="23"/>
  <c r="D38" i="23"/>
  <c r="C38" i="23"/>
  <c r="B38" i="23"/>
  <c r="A38" i="23"/>
  <c r="I37" i="23"/>
  <c r="H37" i="23"/>
  <c r="G37" i="23"/>
  <c r="F37" i="23"/>
  <c r="E37" i="23"/>
  <c r="D37" i="23"/>
  <c r="C37" i="23"/>
  <c r="B37" i="23"/>
  <c r="A37" i="23"/>
  <c r="I36" i="23"/>
  <c r="H36" i="23"/>
  <c r="G36" i="23"/>
  <c r="F36" i="23"/>
  <c r="E36" i="23"/>
  <c r="D36" i="23"/>
  <c r="C36" i="23"/>
  <c r="B36" i="23"/>
  <c r="A36" i="23"/>
  <c r="I35" i="23"/>
  <c r="H35" i="23"/>
  <c r="G35" i="23"/>
  <c r="F35" i="23"/>
  <c r="E35" i="23"/>
  <c r="D35" i="23"/>
  <c r="C35" i="23"/>
  <c r="B35" i="23"/>
  <c r="A35" i="23"/>
  <c r="I34" i="23"/>
  <c r="H34" i="23"/>
  <c r="G34" i="23"/>
  <c r="F34" i="23"/>
  <c r="E34" i="23"/>
  <c r="D34" i="23"/>
  <c r="C34" i="23"/>
  <c r="B34" i="23"/>
  <c r="A34" i="23"/>
  <c r="I33" i="23"/>
  <c r="H33" i="23"/>
  <c r="G33" i="23"/>
  <c r="F33" i="23"/>
  <c r="E33" i="23"/>
  <c r="D33" i="23"/>
  <c r="C33" i="23"/>
  <c r="B33" i="23"/>
  <c r="A33" i="23"/>
  <c r="I32" i="23"/>
  <c r="H32" i="23"/>
  <c r="G32" i="23"/>
  <c r="F32" i="23"/>
  <c r="E32" i="23"/>
  <c r="D32" i="23"/>
  <c r="C32" i="23"/>
  <c r="B32" i="23"/>
  <c r="A32" i="23"/>
  <c r="I31" i="23"/>
  <c r="H31" i="23"/>
  <c r="G31" i="23"/>
  <c r="F31" i="23"/>
  <c r="E31" i="23"/>
  <c r="D31" i="23"/>
  <c r="C31" i="23"/>
  <c r="B31" i="23"/>
  <c r="A31" i="23"/>
  <c r="I30" i="23"/>
  <c r="H30" i="23"/>
  <c r="G30" i="23"/>
  <c r="F30" i="23"/>
  <c r="E30" i="23"/>
  <c r="D30" i="23"/>
  <c r="C30" i="23"/>
  <c r="B30" i="23"/>
  <c r="A30" i="23"/>
  <c r="I29" i="23"/>
  <c r="H29" i="23"/>
  <c r="G29" i="23"/>
  <c r="F29" i="23"/>
  <c r="E29" i="23"/>
  <c r="D29" i="23"/>
  <c r="C29" i="23"/>
  <c r="B29" i="23"/>
  <c r="A29" i="23"/>
  <c r="I28" i="23"/>
  <c r="H28" i="23"/>
  <c r="G28" i="23"/>
  <c r="F28" i="23"/>
  <c r="E28" i="23"/>
  <c r="D28" i="23"/>
  <c r="C28" i="23"/>
  <c r="B28" i="23"/>
  <c r="A28" i="23"/>
  <c r="I27" i="23"/>
  <c r="H27" i="23"/>
  <c r="G27" i="23"/>
  <c r="F27" i="23"/>
  <c r="E27" i="23"/>
  <c r="D27" i="23"/>
  <c r="C27" i="23"/>
  <c r="B27" i="23"/>
  <c r="A27" i="23"/>
  <c r="I26" i="23"/>
  <c r="H26" i="23"/>
  <c r="G26" i="23"/>
  <c r="F26" i="23"/>
  <c r="E26" i="23"/>
  <c r="D26" i="23"/>
  <c r="C26" i="23"/>
  <c r="B26" i="23"/>
  <c r="A26" i="23"/>
  <c r="I25" i="23"/>
  <c r="H25" i="23"/>
  <c r="G25" i="23"/>
  <c r="F25" i="23"/>
  <c r="E25" i="23"/>
  <c r="D25" i="23"/>
  <c r="C25" i="23"/>
  <c r="B25" i="23"/>
  <c r="A25" i="23"/>
  <c r="I24" i="23"/>
  <c r="H24" i="23"/>
  <c r="G24" i="23"/>
  <c r="F24" i="23"/>
  <c r="E24" i="23"/>
  <c r="D24" i="23"/>
  <c r="C24" i="23"/>
  <c r="B24" i="23"/>
  <c r="A24" i="23"/>
  <c r="R5" i="23"/>
  <c r="Q5" i="23"/>
  <c r="P5" i="23"/>
  <c r="O5" i="23"/>
  <c r="N5" i="23"/>
  <c r="R9" i="23"/>
  <c r="P10" i="23"/>
  <c r="Q6" i="23"/>
  <c r="P11" i="23"/>
  <c r="P7" i="23"/>
  <c r="O12" i="23"/>
  <c r="Q11" i="23"/>
  <c r="O10" i="23"/>
  <c r="Q9" i="23"/>
  <c r="O8" i="23"/>
  <c r="Q7" i="23"/>
  <c r="O6" i="23"/>
  <c r="I23" i="22"/>
  <c r="H23" i="22"/>
  <c r="G23" i="22"/>
  <c r="F23" i="22"/>
  <c r="E23" i="22"/>
  <c r="D23" i="22"/>
  <c r="C23" i="22"/>
  <c r="B23" i="22"/>
  <c r="A23" i="22"/>
  <c r="I22" i="22"/>
  <c r="H22" i="22"/>
  <c r="G22" i="22"/>
  <c r="F22" i="22"/>
  <c r="E22" i="22"/>
  <c r="D22" i="22"/>
  <c r="C22" i="22"/>
  <c r="B22" i="22"/>
  <c r="A22" i="22"/>
  <c r="I21" i="22"/>
  <c r="H21" i="22"/>
  <c r="G21" i="22"/>
  <c r="F21" i="22"/>
  <c r="E21" i="22"/>
  <c r="D21" i="22"/>
  <c r="C21" i="22"/>
  <c r="B21" i="22"/>
  <c r="A21" i="22"/>
  <c r="I20" i="22"/>
  <c r="H20" i="22"/>
  <c r="G20" i="22"/>
  <c r="F20" i="22"/>
  <c r="E20" i="22"/>
  <c r="D20" i="22"/>
  <c r="C20" i="22"/>
  <c r="B20" i="22"/>
  <c r="A20" i="22"/>
  <c r="I19" i="22"/>
  <c r="H19" i="22"/>
  <c r="G19" i="22"/>
  <c r="F19" i="22"/>
  <c r="E19" i="22"/>
  <c r="D19" i="22"/>
  <c r="C19" i="22"/>
  <c r="B19" i="22"/>
  <c r="A19" i="22"/>
  <c r="I18" i="22"/>
  <c r="H18" i="22"/>
  <c r="G18" i="22"/>
  <c r="F18" i="22"/>
  <c r="E18" i="22"/>
  <c r="D18" i="22"/>
  <c r="C18" i="22"/>
  <c r="B18" i="22"/>
  <c r="A18" i="22"/>
  <c r="I17" i="22"/>
  <c r="H17" i="22"/>
  <c r="G17" i="22"/>
  <c r="F17" i="22"/>
  <c r="E17" i="22"/>
  <c r="D17" i="22"/>
  <c r="C17" i="22"/>
  <c r="B17" i="22"/>
  <c r="A17" i="22"/>
  <c r="I16" i="22"/>
  <c r="H16" i="22"/>
  <c r="G16" i="22"/>
  <c r="F16" i="22"/>
  <c r="E16" i="22"/>
  <c r="D16" i="22"/>
  <c r="C16" i="22"/>
  <c r="B16" i="22"/>
  <c r="A16" i="22"/>
  <c r="I15" i="22"/>
  <c r="H15" i="22"/>
  <c r="G15" i="22"/>
  <c r="F15" i="22"/>
  <c r="E15" i="22"/>
  <c r="D15" i="22"/>
  <c r="C15" i="22"/>
  <c r="B15" i="22"/>
  <c r="A15" i="22"/>
  <c r="I14" i="22"/>
  <c r="H14" i="22"/>
  <c r="G14" i="22"/>
  <c r="F14" i="22"/>
  <c r="E14" i="22"/>
  <c r="D14" i="22"/>
  <c r="C14" i="22"/>
  <c r="B14" i="22"/>
  <c r="A14" i="22"/>
  <c r="I13" i="22"/>
  <c r="H13" i="22"/>
  <c r="G13" i="22"/>
  <c r="F13" i="22"/>
  <c r="E13" i="22"/>
  <c r="D13" i="22"/>
  <c r="C13" i="22"/>
  <c r="B13" i="22"/>
  <c r="A13" i="22"/>
  <c r="I12" i="22"/>
  <c r="H12" i="22"/>
  <c r="G12" i="22"/>
  <c r="F12" i="22"/>
  <c r="E12" i="22"/>
  <c r="D12" i="22"/>
  <c r="C12" i="22"/>
  <c r="B12" i="22"/>
  <c r="A12" i="22"/>
  <c r="I11" i="22"/>
  <c r="H11" i="22"/>
  <c r="G11" i="22"/>
  <c r="F11" i="22"/>
  <c r="E11" i="22"/>
  <c r="D11" i="22"/>
  <c r="C11" i="22"/>
  <c r="B11" i="22"/>
  <c r="A11" i="22"/>
  <c r="I10" i="22"/>
  <c r="H10" i="22"/>
  <c r="G10" i="22"/>
  <c r="F10" i="22"/>
  <c r="E10" i="22"/>
  <c r="D10" i="22"/>
  <c r="C10" i="22"/>
  <c r="B10" i="22"/>
  <c r="A10" i="22"/>
  <c r="I9" i="22"/>
  <c r="H9" i="22"/>
  <c r="G9" i="22"/>
  <c r="F9" i="22"/>
  <c r="E9" i="22"/>
  <c r="D9" i="22"/>
  <c r="C9" i="22"/>
  <c r="B9" i="22"/>
  <c r="A9" i="22"/>
  <c r="I8" i="22"/>
  <c r="H8" i="22"/>
  <c r="G8" i="22"/>
  <c r="F8" i="22"/>
  <c r="E8" i="22"/>
  <c r="D8" i="22"/>
  <c r="C8" i="22"/>
  <c r="B8" i="22"/>
  <c r="A8" i="22"/>
  <c r="I7" i="22"/>
  <c r="H7" i="22"/>
  <c r="G7" i="22"/>
  <c r="F7" i="22"/>
  <c r="E7" i="22"/>
  <c r="D7" i="22"/>
  <c r="C7" i="22"/>
  <c r="B7" i="22"/>
  <c r="A7" i="22"/>
  <c r="I6" i="22"/>
  <c r="H6" i="22"/>
  <c r="G6" i="22"/>
  <c r="F6" i="22"/>
  <c r="E6" i="22"/>
  <c r="D6" i="22"/>
  <c r="C6" i="22"/>
  <c r="B6" i="22"/>
  <c r="A6" i="22"/>
  <c r="R5" i="22"/>
  <c r="Q5" i="22"/>
  <c r="P5" i="22"/>
  <c r="O5" i="22"/>
  <c r="N5" i="22"/>
  <c r="I5" i="22"/>
  <c r="H5" i="22"/>
  <c r="G5" i="22"/>
  <c r="F5" i="22"/>
  <c r="R9" i="22" s="1"/>
  <c r="E5" i="22"/>
  <c r="D5" i="22"/>
  <c r="C5" i="22"/>
  <c r="B5" i="22"/>
  <c r="A5" i="22"/>
  <c r="I4" i="22"/>
  <c r="H4" i="22"/>
  <c r="G4" i="22"/>
  <c r="P10" i="22" s="1"/>
  <c r="F4" i="22"/>
  <c r="E4" i="22"/>
  <c r="D4" i="22"/>
  <c r="C4" i="22"/>
  <c r="P6" i="22" s="1"/>
  <c r="B4" i="22"/>
  <c r="A4" i="22"/>
  <c r="I3" i="22"/>
  <c r="H3" i="22"/>
  <c r="P11" i="22" s="1"/>
  <c r="G3" i="22"/>
  <c r="F3" i="22"/>
  <c r="P9" i="22" s="1"/>
  <c r="E3" i="22"/>
  <c r="D3" i="22"/>
  <c r="P7" i="22" s="1"/>
  <c r="C3" i="22"/>
  <c r="B3" i="22"/>
  <c r="A3" i="22"/>
  <c r="I2" i="22"/>
  <c r="O12" i="22" s="1"/>
  <c r="H2" i="22"/>
  <c r="Q11" i="22" s="1"/>
  <c r="G2" i="22"/>
  <c r="O10" i="22" s="1"/>
  <c r="F2" i="22"/>
  <c r="Q9" i="22" s="1"/>
  <c r="E2" i="22"/>
  <c r="O8" i="22" s="1"/>
  <c r="D2" i="22"/>
  <c r="Q7" i="22" s="1"/>
  <c r="C2" i="22"/>
  <c r="O6" i="22" s="1"/>
  <c r="B2" i="22"/>
  <c r="A2" i="22"/>
  <c r="O5" i="18"/>
  <c r="P5" i="18"/>
  <c r="Q5" i="18"/>
  <c r="R5" i="18"/>
  <c r="N5" i="18"/>
  <c r="R7" i="23" l="1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I21" i="21" s="1"/>
  <c r="S21" i="21" s="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I37" i="21" s="1"/>
  <c r="S37" i="21" s="1"/>
  <c r="H38" i="21"/>
  <c r="H39" i="21"/>
  <c r="H40" i="21"/>
  <c r="H41" i="21"/>
  <c r="H5" i="21"/>
  <c r="G5" i="21"/>
  <c r="G6" i="21"/>
  <c r="I6" i="21" s="1"/>
  <c r="S6" i="21" s="1"/>
  <c r="G7" i="21"/>
  <c r="G8" i="21"/>
  <c r="G9" i="21"/>
  <c r="G10" i="21"/>
  <c r="I10" i="21" s="1"/>
  <c r="S10" i="21" s="1"/>
  <c r="G11" i="21"/>
  <c r="G12" i="21"/>
  <c r="G13" i="21"/>
  <c r="G14" i="21"/>
  <c r="I14" i="21" s="1"/>
  <c r="S14" i="21" s="1"/>
  <c r="G15" i="21"/>
  <c r="G16" i="21"/>
  <c r="G17" i="21"/>
  <c r="G18" i="21"/>
  <c r="I18" i="21" s="1"/>
  <c r="S18" i="21" s="1"/>
  <c r="G19" i="21"/>
  <c r="G20" i="21"/>
  <c r="G21" i="21"/>
  <c r="G22" i="21"/>
  <c r="I22" i="21" s="1"/>
  <c r="S22" i="21" s="1"/>
  <c r="G23" i="21"/>
  <c r="G24" i="21"/>
  <c r="G25" i="21"/>
  <c r="G26" i="21"/>
  <c r="I26" i="21" s="1"/>
  <c r="S26" i="21" s="1"/>
  <c r="G27" i="21"/>
  <c r="G28" i="21"/>
  <c r="G29" i="21"/>
  <c r="G30" i="21"/>
  <c r="I30" i="21" s="1"/>
  <c r="S30" i="21" s="1"/>
  <c r="G31" i="21"/>
  <c r="G32" i="21"/>
  <c r="G33" i="21"/>
  <c r="G34" i="21"/>
  <c r="I34" i="21" s="1"/>
  <c r="S34" i="21" s="1"/>
  <c r="G35" i="21"/>
  <c r="G36" i="21"/>
  <c r="G37" i="21"/>
  <c r="G38" i="21"/>
  <c r="I38" i="21" s="1"/>
  <c r="S38" i="21" s="1"/>
  <c r="G39" i="21"/>
  <c r="G40" i="21"/>
  <c r="G41" i="21"/>
  <c r="I41" i="21" l="1"/>
  <c r="S41" i="21" s="1"/>
  <c r="I33" i="21"/>
  <c r="S33" i="21" s="1"/>
  <c r="I29" i="21"/>
  <c r="S29" i="21" s="1"/>
  <c r="I25" i="21"/>
  <c r="S25" i="21" s="1"/>
  <c r="I17" i="21"/>
  <c r="S17" i="21" s="1"/>
  <c r="I13" i="21"/>
  <c r="S13" i="21" s="1"/>
  <c r="I9" i="21"/>
  <c r="S9" i="21" s="1"/>
  <c r="I5" i="21"/>
  <c r="S5" i="21" s="1"/>
  <c r="I40" i="21"/>
  <c r="S40" i="21" s="1"/>
  <c r="I36" i="21"/>
  <c r="S36" i="21" s="1"/>
  <c r="I32" i="21"/>
  <c r="S32" i="21" s="1"/>
  <c r="I28" i="21"/>
  <c r="S28" i="21" s="1"/>
  <c r="I24" i="21"/>
  <c r="S24" i="21" s="1"/>
  <c r="I20" i="21"/>
  <c r="S20" i="21" s="1"/>
  <c r="I16" i="21"/>
  <c r="S16" i="21" s="1"/>
  <c r="I12" i="21"/>
  <c r="S12" i="21" s="1"/>
  <c r="I8" i="21"/>
  <c r="S8" i="21" s="1"/>
  <c r="I39" i="21"/>
  <c r="S39" i="21" s="1"/>
  <c r="I35" i="21"/>
  <c r="S35" i="21" s="1"/>
  <c r="I31" i="21"/>
  <c r="S31" i="21" s="1"/>
  <c r="I27" i="21"/>
  <c r="S27" i="21" s="1"/>
  <c r="I23" i="21"/>
  <c r="S23" i="21" s="1"/>
  <c r="I19" i="21"/>
  <c r="S19" i="21" s="1"/>
  <c r="I15" i="21"/>
  <c r="S15" i="21" s="1"/>
  <c r="I11" i="21"/>
  <c r="S11" i="21" s="1"/>
  <c r="I7" i="21"/>
  <c r="S7" i="21" s="1"/>
  <c r="G42" i="21"/>
  <c r="G43" i="21"/>
  <c r="G50" i="21" s="1"/>
  <c r="G57" i="21" s="1"/>
  <c r="H42" i="21"/>
  <c r="H43" i="21"/>
  <c r="H50" i="21" s="1"/>
  <c r="G58" i="21" s="1"/>
  <c r="G49" i="21" l="1"/>
  <c r="F57" i="21" s="1"/>
  <c r="G45" i="21"/>
  <c r="H49" i="21"/>
  <c r="F58" i="21" s="1"/>
  <c r="H45" i="21"/>
  <c r="I43" i="21"/>
  <c r="I42" i="21"/>
  <c r="I49" i="21" l="1"/>
  <c r="S42" i="21"/>
  <c r="M47" i="21"/>
  <c r="I45" i="21"/>
  <c r="I50" i="21"/>
  <c r="S43" i="21"/>
  <c r="K47" i="21"/>
  <c r="L47" i="21"/>
  <c r="N6" i="18"/>
  <c r="O6" i="18"/>
  <c r="A24" i="18"/>
  <c r="B24" i="18"/>
  <c r="C24" i="18"/>
  <c r="D24" i="18"/>
  <c r="E24" i="18"/>
  <c r="F24" i="18"/>
  <c r="G24" i="18"/>
  <c r="H24" i="18"/>
  <c r="I24" i="18"/>
  <c r="A25" i="18"/>
  <c r="B25" i="18"/>
  <c r="C25" i="18"/>
  <c r="D25" i="18"/>
  <c r="E25" i="18"/>
  <c r="F25" i="18"/>
  <c r="G25" i="18"/>
  <c r="H25" i="18"/>
  <c r="I25" i="18"/>
  <c r="A26" i="18"/>
  <c r="B26" i="18"/>
  <c r="C26" i="18"/>
  <c r="D26" i="18"/>
  <c r="E26" i="18"/>
  <c r="F26" i="18"/>
  <c r="G26" i="18"/>
  <c r="H26" i="18"/>
  <c r="I26" i="18"/>
  <c r="A27" i="18"/>
  <c r="B27" i="18"/>
  <c r="C27" i="18"/>
  <c r="D27" i="18"/>
  <c r="E27" i="18"/>
  <c r="F27" i="18"/>
  <c r="G27" i="18"/>
  <c r="H27" i="18"/>
  <c r="I27" i="18"/>
  <c r="A28" i="18"/>
  <c r="B28" i="18"/>
  <c r="C28" i="18"/>
  <c r="D28" i="18"/>
  <c r="E28" i="18"/>
  <c r="F28" i="18"/>
  <c r="G28" i="18"/>
  <c r="H28" i="18"/>
  <c r="I28" i="18"/>
  <c r="A29" i="18"/>
  <c r="B29" i="18"/>
  <c r="C29" i="18"/>
  <c r="D29" i="18"/>
  <c r="E29" i="18"/>
  <c r="F29" i="18"/>
  <c r="G29" i="18"/>
  <c r="H29" i="18"/>
  <c r="I29" i="18"/>
  <c r="A30" i="18"/>
  <c r="B30" i="18"/>
  <c r="C30" i="18"/>
  <c r="D30" i="18"/>
  <c r="E30" i="18"/>
  <c r="F30" i="18"/>
  <c r="G30" i="18"/>
  <c r="H30" i="18"/>
  <c r="I30" i="18"/>
  <c r="A31" i="18"/>
  <c r="B31" i="18"/>
  <c r="C31" i="18"/>
  <c r="D31" i="18"/>
  <c r="E31" i="18"/>
  <c r="F31" i="18"/>
  <c r="G31" i="18"/>
  <c r="H31" i="18"/>
  <c r="I31" i="18"/>
  <c r="A32" i="18"/>
  <c r="B32" i="18"/>
  <c r="C32" i="18"/>
  <c r="D32" i="18"/>
  <c r="E32" i="18"/>
  <c r="F32" i="18"/>
  <c r="G32" i="18"/>
  <c r="H32" i="18"/>
  <c r="I32" i="18"/>
  <c r="A33" i="18"/>
  <c r="B33" i="18"/>
  <c r="C33" i="18"/>
  <c r="D33" i="18"/>
  <c r="E33" i="18"/>
  <c r="F33" i="18"/>
  <c r="G33" i="18"/>
  <c r="H33" i="18"/>
  <c r="I33" i="18"/>
  <c r="A34" i="18"/>
  <c r="B34" i="18"/>
  <c r="C34" i="18"/>
  <c r="D34" i="18"/>
  <c r="E34" i="18"/>
  <c r="F34" i="18"/>
  <c r="G34" i="18"/>
  <c r="H34" i="18"/>
  <c r="I34" i="18"/>
  <c r="A35" i="18"/>
  <c r="B35" i="18"/>
  <c r="C35" i="18"/>
  <c r="D35" i="18"/>
  <c r="E35" i="18"/>
  <c r="F35" i="18"/>
  <c r="G35" i="18"/>
  <c r="H35" i="18"/>
  <c r="I35" i="18"/>
  <c r="A36" i="18"/>
  <c r="B36" i="18"/>
  <c r="C36" i="18"/>
  <c r="D36" i="18"/>
  <c r="E36" i="18"/>
  <c r="F36" i="18"/>
  <c r="G36" i="18"/>
  <c r="H36" i="18"/>
  <c r="I36" i="18"/>
  <c r="A37" i="18"/>
  <c r="B37" i="18"/>
  <c r="C37" i="18"/>
  <c r="D37" i="18"/>
  <c r="E37" i="18"/>
  <c r="F37" i="18"/>
  <c r="G37" i="18"/>
  <c r="H37" i="18"/>
  <c r="I37" i="18"/>
  <c r="A38" i="18"/>
  <c r="B38" i="18"/>
  <c r="C38" i="18"/>
  <c r="D38" i="18"/>
  <c r="E38" i="18"/>
  <c r="F38" i="18"/>
  <c r="G38" i="18"/>
  <c r="H38" i="18"/>
  <c r="I38" i="18"/>
  <c r="A39" i="18"/>
  <c r="B39" i="18"/>
  <c r="C39" i="18"/>
  <c r="D39" i="18"/>
  <c r="E39" i="18"/>
  <c r="F39" i="18"/>
  <c r="G39" i="18"/>
  <c r="H39" i="18"/>
  <c r="I39" i="18"/>
  <c r="A40" i="18"/>
  <c r="B40" i="18"/>
  <c r="C40" i="18"/>
  <c r="D40" i="18"/>
  <c r="E40" i="18"/>
  <c r="F40" i="18"/>
  <c r="G40" i="18"/>
  <c r="H40" i="18"/>
  <c r="I40" i="18"/>
  <c r="A41" i="18"/>
  <c r="B41" i="18"/>
  <c r="C41" i="18"/>
  <c r="D41" i="18"/>
  <c r="E41" i="18"/>
  <c r="F41" i="18"/>
  <c r="G41" i="18"/>
  <c r="H41" i="18"/>
  <c r="I41" i="18"/>
  <c r="A42" i="18"/>
  <c r="B42" i="18"/>
  <c r="C42" i="18"/>
  <c r="D42" i="18"/>
  <c r="E42" i="18"/>
  <c r="F42" i="18"/>
  <c r="G42" i="18"/>
  <c r="H42" i="18"/>
  <c r="I42" i="18"/>
  <c r="A43" i="18"/>
  <c r="B43" i="18"/>
  <c r="C43" i="18"/>
  <c r="D43" i="18"/>
  <c r="E43" i="18"/>
  <c r="F43" i="18"/>
  <c r="G43" i="18"/>
  <c r="H43" i="18"/>
  <c r="I43" i="18"/>
  <c r="A44" i="18"/>
  <c r="B44" i="18"/>
  <c r="C44" i="18"/>
  <c r="D44" i="18"/>
  <c r="E44" i="18"/>
  <c r="F44" i="18"/>
  <c r="G44" i="18"/>
  <c r="H44" i="18"/>
  <c r="I44" i="18"/>
  <c r="A45" i="18"/>
  <c r="B45" i="18"/>
  <c r="C45" i="18"/>
  <c r="D45" i="18"/>
  <c r="E45" i="18"/>
  <c r="F45" i="18"/>
  <c r="G45" i="18"/>
  <c r="H45" i="18"/>
  <c r="I45" i="18"/>
  <c r="A46" i="18"/>
  <c r="B46" i="18"/>
  <c r="C46" i="18"/>
  <c r="D46" i="18"/>
  <c r="E46" i="18"/>
  <c r="F46" i="18"/>
  <c r="G46" i="18"/>
  <c r="H46" i="18"/>
  <c r="I46" i="18"/>
  <c r="A47" i="18"/>
  <c r="B47" i="18"/>
  <c r="C47" i="18"/>
  <c r="D47" i="18"/>
  <c r="E47" i="18"/>
  <c r="F47" i="18"/>
  <c r="G47" i="18"/>
  <c r="H47" i="18"/>
  <c r="I47" i="18"/>
  <c r="A3" i="18"/>
  <c r="B3" i="18"/>
  <c r="C3" i="18"/>
  <c r="D3" i="18"/>
  <c r="E3" i="18"/>
  <c r="F3" i="18"/>
  <c r="G3" i="18"/>
  <c r="H3" i="18"/>
  <c r="I3" i="18"/>
  <c r="A48" i="18"/>
  <c r="B48" i="18"/>
  <c r="C48" i="18"/>
  <c r="D48" i="18"/>
  <c r="E48" i="18"/>
  <c r="F48" i="18"/>
  <c r="G48" i="18"/>
  <c r="H48" i="18"/>
  <c r="I48" i="18"/>
  <c r="A4" i="18"/>
  <c r="B4" i="18"/>
  <c r="C4" i="18"/>
  <c r="D4" i="18"/>
  <c r="E4" i="18"/>
  <c r="F4" i="18"/>
  <c r="G4" i="18"/>
  <c r="H4" i="18"/>
  <c r="I4" i="18"/>
  <c r="A49" i="18"/>
  <c r="B49" i="18"/>
  <c r="C49" i="18"/>
  <c r="D49" i="18"/>
  <c r="E49" i="18"/>
  <c r="F49" i="18"/>
  <c r="G49" i="18"/>
  <c r="H49" i="18"/>
  <c r="I49" i="18"/>
  <c r="A5" i="18"/>
  <c r="B5" i="18"/>
  <c r="C5" i="18"/>
  <c r="D5" i="18"/>
  <c r="E5" i="18"/>
  <c r="F5" i="18"/>
  <c r="G5" i="18"/>
  <c r="H5" i="18"/>
  <c r="I5" i="18"/>
  <c r="A6" i="18"/>
  <c r="B6" i="18"/>
  <c r="C6" i="18"/>
  <c r="D6" i="18"/>
  <c r="E6" i="18"/>
  <c r="F6" i="18"/>
  <c r="G6" i="18"/>
  <c r="H6" i="18"/>
  <c r="I6" i="18"/>
  <c r="A50" i="18"/>
  <c r="B50" i="18"/>
  <c r="C50" i="18"/>
  <c r="D50" i="18"/>
  <c r="E50" i="18"/>
  <c r="F50" i="18"/>
  <c r="G50" i="18"/>
  <c r="H50" i="18"/>
  <c r="I50" i="18"/>
  <c r="A7" i="18"/>
  <c r="B7" i="18"/>
  <c r="C7" i="18"/>
  <c r="D7" i="18"/>
  <c r="E7" i="18"/>
  <c r="F7" i="18"/>
  <c r="G7" i="18"/>
  <c r="H7" i="18"/>
  <c r="I7" i="18"/>
  <c r="A8" i="18"/>
  <c r="B8" i="18"/>
  <c r="C8" i="18"/>
  <c r="D8" i="18"/>
  <c r="E8" i="18"/>
  <c r="F8" i="18"/>
  <c r="G8" i="18"/>
  <c r="H8" i="18"/>
  <c r="I8" i="18"/>
  <c r="A9" i="18"/>
  <c r="B9" i="18"/>
  <c r="C9" i="18"/>
  <c r="D9" i="18"/>
  <c r="E9" i="18"/>
  <c r="F9" i="18"/>
  <c r="G9" i="18"/>
  <c r="H9" i="18"/>
  <c r="I9" i="18"/>
  <c r="A10" i="18"/>
  <c r="B10" i="18"/>
  <c r="C10" i="18"/>
  <c r="D10" i="18"/>
  <c r="E10" i="18"/>
  <c r="F10" i="18"/>
  <c r="G10" i="18"/>
  <c r="H10" i="18"/>
  <c r="I10" i="18"/>
  <c r="A51" i="18"/>
  <c r="B51" i="18"/>
  <c r="C51" i="18"/>
  <c r="D51" i="18"/>
  <c r="E51" i="18"/>
  <c r="F51" i="18"/>
  <c r="G51" i="18"/>
  <c r="H51" i="18"/>
  <c r="I51" i="18"/>
  <c r="A11" i="18"/>
  <c r="B11" i="18"/>
  <c r="C11" i="18"/>
  <c r="D11" i="18"/>
  <c r="E11" i="18"/>
  <c r="F11" i="18"/>
  <c r="G11" i="18"/>
  <c r="H11" i="18"/>
  <c r="I11" i="18"/>
  <c r="A12" i="18"/>
  <c r="B12" i="18"/>
  <c r="C12" i="18"/>
  <c r="D12" i="18"/>
  <c r="E12" i="18"/>
  <c r="F12" i="18"/>
  <c r="G12" i="18"/>
  <c r="H12" i="18"/>
  <c r="I12" i="18"/>
  <c r="A13" i="18"/>
  <c r="B13" i="18"/>
  <c r="C13" i="18"/>
  <c r="D13" i="18"/>
  <c r="E13" i="18"/>
  <c r="F13" i="18"/>
  <c r="G13" i="18"/>
  <c r="H13" i="18"/>
  <c r="I13" i="18"/>
  <c r="A14" i="18"/>
  <c r="B14" i="18"/>
  <c r="C14" i="18"/>
  <c r="D14" i="18"/>
  <c r="E14" i="18"/>
  <c r="F14" i="18"/>
  <c r="G14" i="18"/>
  <c r="H14" i="18"/>
  <c r="I14" i="18"/>
  <c r="A15" i="18"/>
  <c r="B15" i="18"/>
  <c r="C15" i="18"/>
  <c r="D15" i="18"/>
  <c r="E15" i="18"/>
  <c r="F15" i="18"/>
  <c r="G15" i="18"/>
  <c r="H15" i="18"/>
  <c r="I15" i="18"/>
  <c r="A52" i="18"/>
  <c r="B52" i="18"/>
  <c r="C52" i="18"/>
  <c r="D52" i="18"/>
  <c r="E52" i="18"/>
  <c r="F52" i="18"/>
  <c r="G52" i="18"/>
  <c r="H52" i="18"/>
  <c r="I52" i="18"/>
  <c r="A53" i="18"/>
  <c r="B53" i="18"/>
  <c r="C53" i="18"/>
  <c r="D53" i="18"/>
  <c r="E53" i="18"/>
  <c r="F53" i="18"/>
  <c r="G53" i="18"/>
  <c r="H53" i="18"/>
  <c r="I53" i="18"/>
  <c r="A16" i="18"/>
  <c r="B16" i="18"/>
  <c r="C16" i="18"/>
  <c r="D16" i="18"/>
  <c r="E16" i="18"/>
  <c r="F16" i="18"/>
  <c r="G16" i="18"/>
  <c r="H16" i="18"/>
  <c r="I16" i="18"/>
  <c r="A17" i="18"/>
  <c r="B17" i="18"/>
  <c r="C17" i="18"/>
  <c r="D17" i="18"/>
  <c r="E17" i="18"/>
  <c r="F17" i="18"/>
  <c r="G17" i="18"/>
  <c r="H17" i="18"/>
  <c r="I17" i="18"/>
  <c r="A18" i="18"/>
  <c r="B18" i="18"/>
  <c r="C18" i="18"/>
  <c r="D18" i="18"/>
  <c r="E18" i="18"/>
  <c r="F18" i="18"/>
  <c r="G18" i="18"/>
  <c r="H18" i="18"/>
  <c r="I18" i="18"/>
  <c r="A19" i="18"/>
  <c r="B19" i="18"/>
  <c r="C19" i="18"/>
  <c r="D19" i="18"/>
  <c r="E19" i="18"/>
  <c r="F19" i="18"/>
  <c r="G19" i="18"/>
  <c r="H19" i="18"/>
  <c r="I19" i="18"/>
  <c r="A20" i="18"/>
  <c r="B20" i="18"/>
  <c r="C20" i="18"/>
  <c r="D20" i="18"/>
  <c r="E20" i="18"/>
  <c r="F20" i="18"/>
  <c r="G20" i="18"/>
  <c r="H20" i="18"/>
  <c r="I20" i="18"/>
  <c r="A21" i="18"/>
  <c r="B21" i="18"/>
  <c r="C21" i="18"/>
  <c r="D21" i="18"/>
  <c r="E21" i="18"/>
  <c r="F21" i="18"/>
  <c r="G21" i="18"/>
  <c r="H21" i="18"/>
  <c r="I21" i="18"/>
  <c r="A22" i="18"/>
  <c r="B22" i="18"/>
  <c r="C22" i="18"/>
  <c r="D22" i="18"/>
  <c r="E22" i="18"/>
  <c r="F22" i="18"/>
  <c r="G22" i="18"/>
  <c r="H22" i="18"/>
  <c r="I22" i="18"/>
  <c r="A54" i="18"/>
  <c r="B54" i="18"/>
  <c r="C54" i="18"/>
  <c r="D54" i="18"/>
  <c r="E54" i="18"/>
  <c r="F54" i="18"/>
  <c r="G54" i="18"/>
  <c r="H54" i="18"/>
  <c r="I54" i="18"/>
  <c r="A55" i="18"/>
  <c r="B55" i="18"/>
  <c r="C55" i="18"/>
  <c r="D55" i="18"/>
  <c r="E55" i="18"/>
  <c r="F55" i="18"/>
  <c r="G55" i="18"/>
  <c r="H55" i="18"/>
  <c r="I55" i="18"/>
  <c r="A56" i="18"/>
  <c r="B56" i="18"/>
  <c r="C56" i="18"/>
  <c r="D56" i="18"/>
  <c r="E56" i="18"/>
  <c r="F56" i="18"/>
  <c r="G56" i="18"/>
  <c r="H56" i="18"/>
  <c r="I56" i="18"/>
  <c r="A57" i="18"/>
  <c r="B57" i="18"/>
  <c r="C57" i="18"/>
  <c r="D57" i="18"/>
  <c r="E57" i="18"/>
  <c r="F57" i="18"/>
  <c r="G57" i="18"/>
  <c r="H57" i="18"/>
  <c r="I57" i="18"/>
  <c r="A23" i="18"/>
  <c r="B23" i="18"/>
  <c r="C23" i="18"/>
  <c r="D23" i="18"/>
  <c r="E23" i="18"/>
  <c r="F23" i="18"/>
  <c r="G23" i="18"/>
  <c r="H23" i="18"/>
  <c r="I23" i="18"/>
  <c r="A58" i="18"/>
  <c r="B58" i="18"/>
  <c r="C58" i="18"/>
  <c r="D58" i="18"/>
  <c r="E58" i="18"/>
  <c r="F58" i="18"/>
  <c r="G58" i="18"/>
  <c r="H58" i="18"/>
  <c r="I58" i="18"/>
  <c r="A59" i="18"/>
  <c r="B59" i="18"/>
  <c r="C59" i="18"/>
  <c r="D59" i="18"/>
  <c r="E59" i="18"/>
  <c r="F59" i="18"/>
  <c r="G59" i="18"/>
  <c r="H59" i="18"/>
  <c r="I59" i="18"/>
  <c r="A60" i="18"/>
  <c r="B60" i="18"/>
  <c r="C60" i="18"/>
  <c r="D60" i="18"/>
  <c r="E60" i="18"/>
  <c r="F60" i="18"/>
  <c r="G60" i="18"/>
  <c r="H60" i="18"/>
  <c r="I60" i="18"/>
  <c r="A61" i="18"/>
  <c r="B61" i="18"/>
  <c r="C61" i="18"/>
  <c r="D61" i="18"/>
  <c r="E61" i="18"/>
  <c r="F61" i="18"/>
  <c r="G61" i="18"/>
  <c r="H61" i="18"/>
  <c r="I61" i="18"/>
  <c r="A62" i="18"/>
  <c r="B62" i="18"/>
  <c r="C62" i="18"/>
  <c r="D62" i="18"/>
  <c r="E62" i="18"/>
  <c r="F62" i="18"/>
  <c r="G62" i="18"/>
  <c r="H62" i="18"/>
  <c r="I62" i="18"/>
  <c r="A63" i="18"/>
  <c r="B63" i="18"/>
  <c r="C63" i="18"/>
  <c r="D63" i="18"/>
  <c r="E63" i="18"/>
  <c r="F63" i="18"/>
  <c r="G63" i="18"/>
  <c r="H63" i="18"/>
  <c r="I63" i="18"/>
  <c r="A64" i="18"/>
  <c r="B64" i="18"/>
  <c r="C64" i="18"/>
  <c r="D64" i="18"/>
  <c r="E64" i="18"/>
  <c r="F64" i="18"/>
  <c r="G64" i="18"/>
  <c r="H64" i="18"/>
  <c r="I64" i="18"/>
  <c r="A65" i="18"/>
  <c r="B65" i="18"/>
  <c r="C65" i="18"/>
  <c r="D65" i="18"/>
  <c r="E65" i="18"/>
  <c r="F65" i="18"/>
  <c r="G65" i="18"/>
  <c r="H65" i="18"/>
  <c r="I65" i="18"/>
  <c r="A66" i="18"/>
  <c r="B66" i="18"/>
  <c r="C66" i="18"/>
  <c r="D66" i="18"/>
  <c r="E66" i="18"/>
  <c r="F66" i="18"/>
  <c r="G66" i="18"/>
  <c r="H66" i="18"/>
  <c r="I66" i="18"/>
  <c r="A67" i="18"/>
  <c r="B67" i="18"/>
  <c r="C67" i="18"/>
  <c r="D67" i="18"/>
  <c r="E67" i="18"/>
  <c r="F67" i="18"/>
  <c r="G67" i="18"/>
  <c r="H67" i="18"/>
  <c r="I67" i="18"/>
  <c r="A68" i="18"/>
  <c r="B68" i="18"/>
  <c r="C68" i="18"/>
  <c r="D68" i="18"/>
  <c r="E68" i="18"/>
  <c r="F68" i="18"/>
  <c r="G68" i="18"/>
  <c r="H68" i="18"/>
  <c r="I68" i="18"/>
  <c r="A69" i="18"/>
  <c r="B69" i="18"/>
  <c r="C69" i="18"/>
  <c r="D69" i="18"/>
  <c r="E69" i="18"/>
  <c r="F69" i="18"/>
  <c r="G69" i="18"/>
  <c r="H69" i="18"/>
  <c r="I69" i="18"/>
  <c r="B2" i="18"/>
  <c r="C2" i="18"/>
  <c r="D2" i="18"/>
  <c r="E2" i="18"/>
  <c r="F2" i="18"/>
  <c r="O9" i="18" s="1"/>
  <c r="G2" i="18"/>
  <c r="H2" i="18"/>
  <c r="I2" i="18"/>
  <c r="A2" i="18"/>
  <c r="O11" i="18" l="1"/>
  <c r="N12" i="18"/>
  <c r="N11" i="18"/>
  <c r="N7" i="18"/>
  <c r="O7" i="18"/>
  <c r="N8" i="18"/>
  <c r="P10" i="18"/>
  <c r="Q6" i="18"/>
  <c r="Q12" i="18"/>
  <c r="O8" i="18"/>
  <c r="R10" i="18"/>
  <c r="Q8" i="18"/>
  <c r="O12" i="18"/>
  <c r="N10" i="18"/>
  <c r="Q11" i="18"/>
  <c r="P9" i="18"/>
  <c r="N9" i="18"/>
  <c r="R6" i="18"/>
  <c r="R12" i="18"/>
  <c r="R8" i="18"/>
  <c r="Q10" i="18"/>
  <c r="P12" i="18"/>
  <c r="P8" i="18"/>
  <c r="O10" i="18"/>
  <c r="P6" i="18"/>
  <c r="R9" i="18"/>
  <c r="Q7" i="18"/>
  <c r="R11" i="18"/>
  <c r="R7" i="18"/>
  <c r="Q9" i="18"/>
  <c r="P11" i="18"/>
  <c r="P7" i="18"/>
</calcChain>
</file>

<file path=xl/sharedStrings.xml><?xml version="1.0" encoding="utf-8"?>
<sst xmlns="http://schemas.openxmlformats.org/spreadsheetml/2006/main" count="1336" uniqueCount="601">
  <si>
    <t>Carimbo de data/hora</t>
  </si>
  <si>
    <t>Comentários e/ou Sugestões:</t>
  </si>
  <si>
    <t>Webinar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</si>
  <si>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</si>
  <si>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</si>
  <si>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</si>
  <si>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</si>
  <si>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</si>
  <si>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</si>
  <si>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</si>
  <si>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Sete</t>
  </si>
  <si>
    <t>Oficio de convocação feito pelo FNDE, Grupos de WhatsApp</t>
  </si>
  <si>
    <t>Muito bom</t>
  </si>
  <si>
    <t>Instagram</t>
  </si>
  <si>
    <t>Vídeos</t>
  </si>
  <si>
    <t>Foi ótimo</t>
  </si>
  <si>
    <t>Gostei muito</t>
  </si>
  <si>
    <t>Nome Completo:</t>
  </si>
  <si>
    <t>CPF</t>
  </si>
  <si>
    <t>e-mail</t>
  </si>
  <si>
    <r>
      <t xml:space="preserve">Telefone </t>
    </r>
    <r>
      <rPr>
        <sz val="10"/>
        <color rgb="FFFFFFFF"/>
        <rFont val="Arial"/>
        <family val="2"/>
      </rPr>
      <t>(XX)XXXXX-XXXX</t>
    </r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</si>
  <si>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</si>
  <si>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</si>
  <si>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</si>
  <si>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</si>
  <si>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</si>
  <si>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</si>
  <si>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</si>
  <si>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</si>
  <si>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</si>
  <si>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</si>
  <si>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</si>
  <si>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</si>
  <si>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</si>
  <si>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r>
      <t xml:space="preserve">Sugestão de </t>
    </r>
    <r>
      <rPr>
        <b/>
        <sz val="10"/>
        <color rgb="FFFFFFFF"/>
        <rFont val="Arial"/>
        <family val="2"/>
      </rPr>
      <t>temas</t>
    </r>
    <r>
      <rPr>
        <sz val="10"/>
        <color rgb="FFFFFFFF"/>
        <rFont val="Arial"/>
        <family val="2"/>
      </rPr>
      <t xml:space="preserve"> para </t>
    </r>
    <r>
      <rPr>
        <b/>
        <sz val="10"/>
        <color rgb="FFFFFFFF"/>
        <rFont val="Arial"/>
        <family val="2"/>
      </rPr>
      <t>futuras</t>
    </r>
    <r>
      <rPr>
        <sz val="10"/>
        <color rgb="FFFFFFFF"/>
        <rFont val="Arial"/>
        <family val="2"/>
      </rPr>
      <t xml:space="preserve"> capacitações 
(Webinar, vídeos de Youtube, postagens de Instagram, </t>
    </r>
    <r>
      <rPr>
        <i/>
        <sz val="10"/>
        <color rgb="FFFFFFFF"/>
        <rFont val="Arial"/>
        <family val="2"/>
      </rPr>
      <t>etc.</t>
    </r>
    <r>
      <rPr>
        <sz val="10"/>
        <color rgb="FFFFFFFF"/>
        <rFont val="Arial"/>
        <family val="2"/>
      </rPr>
      <t xml:space="preserve">) </t>
    </r>
  </si>
  <si>
    <t>Davi Vieira Lopes</t>
  </si>
  <si>
    <t>840.823.481-15</t>
  </si>
  <si>
    <t>davi.v.lopes@hotmail.com</t>
  </si>
  <si>
    <t>(67)99925-9086</t>
  </si>
  <si>
    <t>Caarapó</t>
  </si>
  <si>
    <t>CACS-FUNDEB</t>
  </si>
  <si>
    <t>Conhecimento do formador, temas abordados</t>
  </si>
  <si>
    <t>Sim estava ruim. Organização do tempo.</t>
  </si>
  <si>
    <t>Conselheira (o) do CACS/Fundeb</t>
  </si>
  <si>
    <t>Prestação de Contas Fundeb</t>
  </si>
  <si>
    <t>Grupos de WhatsApp, Outro</t>
  </si>
  <si>
    <t>LUZINEL SOCORRO DO NASCIMENTO</t>
  </si>
  <si>
    <t>802.739.041-91</t>
  </si>
  <si>
    <t>luzinel01@gmail.com</t>
  </si>
  <si>
    <t>(67)98209-6325</t>
  </si>
  <si>
    <t>Itaquiraí</t>
  </si>
  <si>
    <t>Gestão municipal</t>
  </si>
  <si>
    <t>Dinamica e linguagem</t>
  </si>
  <si>
    <t>Tempo</t>
  </si>
  <si>
    <t>Secretaria Municipal de Educação;</t>
  </si>
  <si>
    <t>otimo</t>
  </si>
  <si>
    <t>MAURO SAN PEREIRA DA SILVA</t>
  </si>
  <si>
    <t>038.697.801-85</t>
  </si>
  <si>
    <t>MAUROSANP_@HOTMAIL.COM</t>
  </si>
  <si>
    <t>(67)99677-7013</t>
  </si>
  <si>
    <t>Iguatemi</t>
  </si>
  <si>
    <t>SISTEMA SETE</t>
  </si>
  <si>
    <t>SISTEMA SETE, FAZER IMPORTAÇÃO DOS ALUNOS DA REDE ESTUDUAL PARA O SISTEMA</t>
  </si>
  <si>
    <t>BOAS</t>
  </si>
  <si>
    <t>JOSILÂINE NEVES DA SILVA</t>
  </si>
  <si>
    <t>032.679.841-22</t>
  </si>
  <si>
    <t>josilaineneves01@gmail.com</t>
  </si>
  <si>
    <t>(67)99101-5042</t>
  </si>
  <si>
    <t>clareza nos assuntos e melhor suporte ao sistema sete</t>
  </si>
  <si>
    <t xml:space="preserve">mais treinamento durante o ano
</t>
  </si>
  <si>
    <t>Prefeitura;</t>
  </si>
  <si>
    <t>Nara Henrique Braguini</t>
  </si>
  <si>
    <t>023.395.351-58</t>
  </si>
  <si>
    <t>narahbraguini@gmail.com</t>
  </si>
  <si>
    <t>(67)99971-3774</t>
  </si>
  <si>
    <t>Ivinhema</t>
  </si>
  <si>
    <t>Didática. Linguagem fácil. Ensino na Prática.</t>
  </si>
  <si>
    <t>O curso foi excelente na forma como oferecido.</t>
  </si>
  <si>
    <t>E-mail encaminhado pelo CECATE/CO, Instagram</t>
  </si>
  <si>
    <t>Luiza Quevedo Nascimento</t>
  </si>
  <si>
    <t>065.889.541-90</t>
  </si>
  <si>
    <t>luizaquevedonascimento@gmail.com</t>
  </si>
  <si>
    <t>(67)99938-1694</t>
  </si>
  <si>
    <t>Dourados</t>
  </si>
  <si>
    <t>organização e profissionalismo</t>
  </si>
  <si>
    <t>muito longa</t>
  </si>
  <si>
    <t>RAFAEL APARECIDO DA SILVA BEZERRA</t>
  </si>
  <si>
    <t>028.916.671-31</t>
  </si>
  <si>
    <t>rafaelfilho.sofia@gmail.com</t>
  </si>
  <si>
    <t>(67)98182-7265</t>
  </si>
  <si>
    <t>Bataguassu</t>
  </si>
  <si>
    <t>grupo e os professores</t>
  </si>
  <si>
    <t>nada, atendeu minhas necessidades</t>
  </si>
  <si>
    <t>José Fernando Vieira da Silva</t>
  </si>
  <si>
    <t>005.338.441-50</t>
  </si>
  <si>
    <t>fv7474993@gmail.com</t>
  </si>
  <si>
    <t>(67)99225-2689</t>
  </si>
  <si>
    <t>Angélica</t>
  </si>
  <si>
    <t>Detalhamento do Programa Sete</t>
  </si>
  <si>
    <t>Em uma próxima oportunidade aprofundar o conhecimento do programa Sete.</t>
  </si>
  <si>
    <t>E-mail encaminhado pelo CECATE/CO</t>
  </si>
  <si>
    <t>Danillo Petinari Ferratto</t>
  </si>
  <si>
    <t>654.708.931-20</t>
  </si>
  <si>
    <t>dpfedufisica@hotmail.com</t>
  </si>
  <si>
    <t>(67)99677-9393</t>
  </si>
  <si>
    <t>Itaporã</t>
  </si>
  <si>
    <t>Facilidade de entendimento dos temas abordados</t>
  </si>
  <si>
    <t>Não tem</t>
  </si>
  <si>
    <t>GUSTAVO TEXEIRA SILVA</t>
  </si>
  <si>
    <t>070.308.241-80</t>
  </si>
  <si>
    <t>gustavo.texeira33@gmail.com</t>
  </si>
  <si>
    <t>(67)99691-2218</t>
  </si>
  <si>
    <t>Esclarecimento de muitas duvidas e apresentação do sistema SETE</t>
  </si>
  <si>
    <t>Momento de dúvidas e perguntas</t>
  </si>
  <si>
    <t>Jonson Carvalho Miranda</t>
  </si>
  <si>
    <t>814.407.571-15</t>
  </si>
  <si>
    <t>jonsongeduita@gmail.com</t>
  </si>
  <si>
    <t>(67)99624-8316</t>
  </si>
  <si>
    <t>Aprendizado</t>
  </si>
  <si>
    <t>Mais formação</t>
  </si>
  <si>
    <t>Traga mais capacitação FNDE</t>
  </si>
  <si>
    <t>Luciano Morisco Rapchan</t>
  </si>
  <si>
    <t>447.812.531-72</t>
  </si>
  <si>
    <t>lucianomorisco@hotmail.com</t>
  </si>
  <si>
    <t>(67)99648-3181</t>
  </si>
  <si>
    <t>horário cumprido e ótima dinâmica dos ministrantes</t>
  </si>
  <si>
    <t>mais detalhamento na parte prática</t>
  </si>
  <si>
    <t>pode ser realizado mais tempo na prática para operacionalizar o sistema sete</t>
  </si>
  <si>
    <t>Marcos Antonio Kol Rudes</t>
  </si>
  <si>
    <t>088.101.191-69</t>
  </si>
  <si>
    <t>marcosantoniokol17@gmail.com</t>
  </si>
  <si>
    <t>(67)99991-3879</t>
  </si>
  <si>
    <t>Aral Moreira</t>
  </si>
  <si>
    <t>Sistema Sete</t>
  </si>
  <si>
    <t>Som do ambiente no período matutino, estava muito baixo.</t>
  </si>
  <si>
    <t>Prestação de contas</t>
  </si>
  <si>
    <t>wagner pereira fernandes</t>
  </si>
  <si>
    <t>555.696.501-30</t>
  </si>
  <si>
    <t>montilegal171@hotmail.com</t>
  </si>
  <si>
    <t>(67)99657-9030</t>
  </si>
  <si>
    <t>aplicador desenrolado</t>
  </si>
  <si>
    <t>tempo</t>
  </si>
  <si>
    <t>Valdemar Antonio de Oliveira</t>
  </si>
  <si>
    <t>372.774.131-72</t>
  </si>
  <si>
    <t>valdemarantonio5@hotmail.com</t>
  </si>
  <si>
    <t>(67)99802-6446</t>
  </si>
  <si>
    <t>Amambai</t>
  </si>
  <si>
    <t>clareza e eficiência</t>
  </si>
  <si>
    <t>não precisa</t>
  </si>
  <si>
    <t>PRESTAÇÃO DE CONTAS DO PNATE, PAR.</t>
  </si>
  <si>
    <t>SEM SUGESTÃO</t>
  </si>
  <si>
    <t>Sueli Menezes da Silva</t>
  </si>
  <si>
    <t>480.712.501-04</t>
  </si>
  <si>
    <t>professorasuelli@gmail.com</t>
  </si>
  <si>
    <t>(67)99617-5907</t>
  </si>
  <si>
    <t>Glória de Dourados</t>
  </si>
  <si>
    <t>a didática</t>
  </si>
  <si>
    <t>mais dias</t>
  </si>
  <si>
    <t>prestação de contas</t>
  </si>
  <si>
    <t>Jucimar Carvalho Chaves</t>
  </si>
  <si>
    <t>031.051.231-05</t>
  </si>
  <si>
    <t>prof_jcarvalho@outlook.com</t>
  </si>
  <si>
    <t>(67)99172-4459</t>
  </si>
  <si>
    <t>Coronel Sapucaia</t>
  </si>
  <si>
    <t>Oficina de práticas e gerência do tempo de formação.</t>
  </si>
  <si>
    <t>Localidade e coffe break.</t>
  </si>
  <si>
    <t>JOSE CAMILO SANCHES</t>
  </si>
  <si>
    <t>312.780.271-49</t>
  </si>
  <si>
    <t>camilosanches2247@hotmail.com</t>
  </si>
  <si>
    <t>(67)99698-7171</t>
  </si>
  <si>
    <t>Eldorado</t>
  </si>
  <si>
    <t>Pratica no sistema SETE</t>
  </si>
  <si>
    <t>Novas capacitações</t>
  </si>
  <si>
    <t>Nihil</t>
  </si>
  <si>
    <t>Tânia Regina dos Santos Almeida</t>
  </si>
  <si>
    <t>637.035.051-68</t>
  </si>
  <si>
    <t>tania.salmeida@hotmail.com</t>
  </si>
  <si>
    <t>(67)99648-1099</t>
  </si>
  <si>
    <t>Douradina</t>
  </si>
  <si>
    <t>a parte prática</t>
  </si>
  <si>
    <t>tempo, mais computadores</t>
  </si>
  <si>
    <t>vídeos de youtube, postagens de instagram</t>
  </si>
  <si>
    <t>E-mail encaminhado pelo CECATE/CO, Grupos de WhatsApp</t>
  </si>
  <si>
    <t>Benilson Ormandes de Oliveira</t>
  </si>
  <si>
    <t>959.818.611-34</t>
  </si>
  <si>
    <t>benilson.or.oliveira@hotmail.com</t>
  </si>
  <si>
    <t>(67)99883-1574</t>
  </si>
  <si>
    <t>Paraíso das Águas</t>
  </si>
  <si>
    <t>Dinâmica</t>
  </si>
  <si>
    <t>Horário e tempo de forma organizar por regiões</t>
  </si>
  <si>
    <t>Presencial</t>
  </si>
  <si>
    <t>Ótimo</t>
  </si>
  <si>
    <t>Clarice de Almeida Faria</t>
  </si>
  <si>
    <t>018.097.781-40</t>
  </si>
  <si>
    <t>clariceeducacaof2@gmail.com</t>
  </si>
  <si>
    <t>(67)99870-7697</t>
  </si>
  <si>
    <t>conhecimento dos formadores e a explicação na pratica nos PC</t>
  </si>
  <si>
    <t>Facilidade na exportação de dados de um programa para outro</t>
  </si>
  <si>
    <t>transporte de terceiro</t>
  </si>
  <si>
    <t>Adriana Ramos da Silva</t>
  </si>
  <si>
    <t>015.884.291-05</t>
  </si>
  <si>
    <t>smec2018@outlook.com</t>
  </si>
  <si>
    <t>(67)99626-6555</t>
  </si>
  <si>
    <t>Batayporã</t>
  </si>
  <si>
    <t>Logística
Metodologia</t>
  </si>
  <si>
    <t>Que sejam realizadas mais capacitações como essa para que possamos realizar nossos trabalhos com mais eficiência.</t>
  </si>
  <si>
    <t>Edson Umbelino</t>
  </si>
  <si>
    <t>554.765.201-63</t>
  </si>
  <si>
    <t>nenemdaolaria@yahoo.com.br</t>
  </si>
  <si>
    <t>(67)99835-3076</t>
  </si>
  <si>
    <t>Anaurilândia</t>
  </si>
  <si>
    <t>Local e horario de inicio</t>
  </si>
  <si>
    <t>Explicar com mais calma e falta de mais equipamento!</t>
  </si>
  <si>
    <t>videos de youtube</t>
  </si>
  <si>
    <t>WENDER LUIZ FARIAS GARAI</t>
  </si>
  <si>
    <t>971.277.281-00</t>
  </si>
  <si>
    <t>transporte.escolar.amambai@hotmail.com</t>
  </si>
  <si>
    <t>(67)99108-5287</t>
  </si>
  <si>
    <t>Clareza e eficiência</t>
  </si>
  <si>
    <t>Nada a sugerir</t>
  </si>
  <si>
    <t>Sem sugestão</t>
  </si>
  <si>
    <t>Cleber Roza de Faria</t>
  </si>
  <si>
    <t>982.073.261-15</t>
  </si>
  <si>
    <t>cleberfaria5552@gmail.com</t>
  </si>
  <si>
    <t>(67)99906-3441</t>
  </si>
  <si>
    <t>Deodápolis</t>
  </si>
  <si>
    <t>Oportunidade e conhecimento</t>
  </si>
  <si>
    <t>Nenhuma</t>
  </si>
  <si>
    <t>Vanderlei de Freitas Santos</t>
  </si>
  <si>
    <t>019.226.361-77</t>
  </si>
  <si>
    <t>vanderleifreitas722@gmail.com</t>
  </si>
  <si>
    <t>(67)99919-6945</t>
  </si>
  <si>
    <t>Local e abordagem</t>
  </si>
  <si>
    <t>Sem aspectos</t>
  </si>
  <si>
    <t>Ricardo Souza Marchini</t>
  </si>
  <si>
    <t>022.616.841-77</t>
  </si>
  <si>
    <t>ricardosm2002@hotmail.com</t>
  </si>
  <si>
    <t>(67)99671-9885</t>
  </si>
  <si>
    <t>Todos</t>
  </si>
  <si>
    <t>Cleverson Ramos Cardoso</t>
  </si>
  <si>
    <t>017.137.001-58</t>
  </si>
  <si>
    <t>cleversongospelkeys@gmail.com</t>
  </si>
  <si>
    <t>(67)99245-6438</t>
  </si>
  <si>
    <t>Muito bem explicado</t>
  </si>
  <si>
    <t>Webnar</t>
  </si>
  <si>
    <t>Alcenir Rodrigues de Lima</t>
  </si>
  <si>
    <t>365.252.431-49</t>
  </si>
  <si>
    <t>alcenirlima2025semec@gmail.com</t>
  </si>
  <si>
    <t>(67)98192-0562</t>
  </si>
  <si>
    <t>A didática</t>
  </si>
  <si>
    <t>aulas práticas;</t>
  </si>
  <si>
    <t>Maria Aparecida Miranda da Silva</t>
  </si>
  <si>
    <t>481.570.661-15</t>
  </si>
  <si>
    <t>cidamirandasilva@gmail.com</t>
  </si>
  <si>
    <t>(67)99829-2334</t>
  </si>
  <si>
    <t>Foi muito esclarecedora</t>
  </si>
  <si>
    <t>.</t>
  </si>
  <si>
    <t>Crodoaldo Spessoto Prado</t>
  </si>
  <si>
    <t>489.415.901-59</t>
  </si>
  <si>
    <t>crodoaldosp@hotmail.com</t>
  </si>
  <si>
    <t>(67)99836-4443</t>
  </si>
  <si>
    <t>Cafezinho</t>
  </si>
  <si>
    <t>Secretaria Estadual de Educação;</t>
  </si>
  <si>
    <t>Ana Cecília Santos Oliveira</t>
  </si>
  <si>
    <t>022.800.451-92</t>
  </si>
  <si>
    <t>anapedrodugordo12@gmail.com</t>
  </si>
  <si>
    <t>(67)99901-8177</t>
  </si>
  <si>
    <t>Tudo</t>
  </si>
  <si>
    <t>Nada</t>
  </si>
  <si>
    <t>Todas</t>
  </si>
  <si>
    <t>Edinaldo silva</t>
  </si>
  <si>
    <t>830.554.871-68</t>
  </si>
  <si>
    <t>Edinaldo_s_silva@hotmail.com</t>
  </si>
  <si>
    <t>(67)99649-7035</t>
  </si>
  <si>
    <t>Atendimento</t>
  </si>
  <si>
    <t>Rossana Viviane Euriques de Lucena</t>
  </si>
  <si>
    <t>052.969.794-78</t>
  </si>
  <si>
    <t>Vivianelucena71@gmail.com</t>
  </si>
  <si>
    <t>(67)99833-6489</t>
  </si>
  <si>
    <t>A dinâmica é didática</t>
  </si>
  <si>
    <t>Maria Augustha Espíndola Domingues</t>
  </si>
  <si>
    <t>000.249.231-84</t>
  </si>
  <si>
    <t>maria_augustha@hotmail.com</t>
  </si>
  <si>
    <t>(67)99971-2118</t>
  </si>
  <si>
    <t>Metodologia - fácil que compreender todas as informações .</t>
  </si>
  <si>
    <t>Achei tão boa que não consigo elencar . Realmente achei excelente e sai com todas minhas dúvidas sanadas.</t>
  </si>
  <si>
    <t>como avaliar os balancetes , saber o que pode ou não pagar com o Fundeb … principalmente pra novos conselheiros .</t>
  </si>
  <si>
    <t>Adoreiii!</t>
  </si>
  <si>
    <t>Claudineis Nunes</t>
  </si>
  <si>
    <t>035.212.591-88</t>
  </si>
  <si>
    <t>profnunes11@gmail.com</t>
  </si>
  <si>
    <t>(67)99172-2974</t>
  </si>
  <si>
    <t>Sabendo a função do conselho - FUNDEB</t>
  </si>
  <si>
    <t>Capacitação mais detalhadas sobre o recurso e para os novos conselheiro</t>
  </si>
  <si>
    <t>Excelente curso, muito aprendizagem.</t>
  </si>
  <si>
    <t>Valdinei da Silva Pavanelli</t>
  </si>
  <si>
    <t>000.371.471-37</t>
  </si>
  <si>
    <t>valdineipavanelli@hotmail.com</t>
  </si>
  <si>
    <t>(67)98141-1864</t>
  </si>
  <si>
    <t>Japorã</t>
  </si>
  <si>
    <t>Prática sete
Teoria</t>
  </si>
  <si>
    <t>Bbbbb</t>
  </si>
  <si>
    <t>André de Souza Mattos</t>
  </si>
  <si>
    <t>813.198.431-15</t>
  </si>
  <si>
    <t>andresenize@hotmail.com</t>
  </si>
  <si>
    <t>(67)98131-5635</t>
  </si>
  <si>
    <t>Horário, prática.</t>
  </si>
  <si>
    <t>Acesso ao sistema</t>
  </si>
  <si>
    <t>Uesley Souza Silva</t>
  </si>
  <si>
    <t>041.510.051-88</t>
  </si>
  <si>
    <t>uesley.u@gmail.com</t>
  </si>
  <si>
    <t>(67)99933-1714</t>
  </si>
  <si>
    <t>Rio Brilhante</t>
  </si>
  <si>
    <t>Juliani cristini sieve</t>
  </si>
  <si>
    <t>045.073.871-08</t>
  </si>
  <si>
    <t>Julianimalu@gmail.com</t>
  </si>
  <si>
    <t>(67)98119-9686</t>
  </si>
  <si>
    <t>Novo Horizonte do Sul</t>
  </si>
  <si>
    <t>Esclarecimento de dúvidas e formadores muito bons</t>
  </si>
  <si>
    <t>Som</t>
  </si>
  <si>
    <t>Maurici Nascimento Silva</t>
  </si>
  <si>
    <t>913.159.131-00</t>
  </si>
  <si>
    <t>maurinha1964@gmail.com</t>
  </si>
  <si>
    <t>(67)99856-6954</t>
  </si>
  <si>
    <t>Ponta Porã</t>
  </si>
  <si>
    <t xml:space="preserve">Como foi conduzida pelos ministrantes, fazendo com que não ficasse cansativa.
</t>
  </si>
  <si>
    <t xml:space="preserve">Faltou o café. 
</t>
  </si>
  <si>
    <t>Sugestão de acolhida com cafézinho.</t>
  </si>
  <si>
    <t>Luciana Ferriol de Matos</t>
  </si>
  <si>
    <t>506.487.641-68</t>
  </si>
  <si>
    <t>luciana_fmatos@hotmail.com</t>
  </si>
  <si>
    <t>(67)99983-5384</t>
  </si>
  <si>
    <t>Conhecimento</t>
  </si>
  <si>
    <t>Café</t>
  </si>
  <si>
    <t>Milene B Zamai Crivelli</t>
  </si>
  <si>
    <t>899.884.261-00</t>
  </si>
  <si>
    <t>milenezamai@gmail.com</t>
  </si>
  <si>
    <t>(67)99963-2139</t>
  </si>
  <si>
    <t>Taquarussu</t>
  </si>
  <si>
    <t>Clareza</t>
  </si>
  <si>
    <t>André Luiz Gomes da Silva</t>
  </si>
  <si>
    <t>038.713.231-79</t>
  </si>
  <si>
    <t>andreluizgomes5691@gmail.com</t>
  </si>
  <si>
    <t>(67)98475-4680</t>
  </si>
  <si>
    <t>Juti</t>
  </si>
  <si>
    <t>Bastante aprendizado</t>
  </si>
  <si>
    <t>Horário</t>
  </si>
  <si>
    <t>Simão Sirineu Schuh Dias</t>
  </si>
  <si>
    <t>033.593.471-45</t>
  </si>
  <si>
    <t>simaoschuh1@gmail.com</t>
  </si>
  <si>
    <t>(67)99627-7244</t>
  </si>
  <si>
    <t>Sete Quedas</t>
  </si>
  <si>
    <t>Maneira simples e explicativa</t>
  </si>
  <si>
    <t>O áudio do auditório</t>
  </si>
  <si>
    <t>Carla Cristiane Silva Rocha Cunha</t>
  </si>
  <si>
    <t>888.127.741-72</t>
  </si>
  <si>
    <t>cami_edu_domingos@hotmail.com</t>
  </si>
  <si>
    <t>(67)99913-8834</t>
  </si>
  <si>
    <t>Naviraí</t>
  </si>
  <si>
    <t>Dinâmica de apresentação.
Material rico de informações.</t>
  </si>
  <si>
    <t>Sem comentários</t>
  </si>
  <si>
    <t>Dinamar de Souza Freitas</t>
  </si>
  <si>
    <t>832.356.201-68</t>
  </si>
  <si>
    <t>dinamarfreitas@hotmail.com</t>
  </si>
  <si>
    <t>(67)99671-6678</t>
  </si>
  <si>
    <t>Maracaju</t>
  </si>
  <si>
    <t>O palestrante é a informação</t>
  </si>
  <si>
    <t>O som é mais textes</t>
  </si>
  <si>
    <t>Postagem</t>
  </si>
  <si>
    <t>Melhorar o som</t>
  </si>
  <si>
    <t>Delma Eugênia de Araújo</t>
  </si>
  <si>
    <t>562.142.511-15</t>
  </si>
  <si>
    <t>delmaaraujo1973@hotmail.com</t>
  </si>
  <si>
    <t>(67)99676-9368</t>
  </si>
  <si>
    <t>Vicentina</t>
  </si>
  <si>
    <t>Sobre quem pode utilizar o transporte escolar 
A função de cada membro</t>
  </si>
  <si>
    <t>Aulas mais dinâmicas
Menos tempo</t>
  </si>
  <si>
    <t>Muito importante</t>
  </si>
  <si>
    <t>Ana Cristina Tardin da Silva Félix</t>
  </si>
  <si>
    <t>962.064.541-34</t>
  </si>
  <si>
    <t>cristinatardin2024@gmail.com</t>
  </si>
  <si>
    <t>(67)99832-1972</t>
  </si>
  <si>
    <t>Comunicação</t>
  </si>
  <si>
    <t>Transparência da tela ampliada</t>
  </si>
  <si>
    <t>Adalberto Honorato</t>
  </si>
  <si>
    <t>015.174.281-22</t>
  </si>
  <si>
    <t>adalbertohonorato@hotmail.com</t>
  </si>
  <si>
    <t>(67)99614-9223</t>
  </si>
  <si>
    <t>Nova Alvorada do Sul</t>
  </si>
  <si>
    <t>Acústica</t>
  </si>
  <si>
    <t>Sônia Regina Meireles Lago</t>
  </si>
  <si>
    <t>063.006.468-74</t>
  </si>
  <si>
    <t>soniareginameireleslago@gmail.com</t>
  </si>
  <si>
    <t>(67)99923-8890</t>
  </si>
  <si>
    <t>Laguna Carapã</t>
  </si>
  <si>
    <t>Dinâmica e explanação das atividades trabalhadas.</t>
  </si>
  <si>
    <t>Explanação de algumas dúvidas caso ocorrer.</t>
  </si>
  <si>
    <t>Parabéns..foi ótimo.</t>
  </si>
  <si>
    <t>Gabriel Barbosa Costa</t>
  </si>
  <si>
    <t>050.776.421-84</t>
  </si>
  <si>
    <t>gabrielbarbosa_costa@live.com</t>
  </si>
  <si>
    <t>(67)98103-8391</t>
  </si>
  <si>
    <t>Bons professores; Local de fácil acesso</t>
  </si>
  <si>
    <t>Ter um cafézinho</t>
  </si>
  <si>
    <t>Nada a declarar</t>
  </si>
  <si>
    <t>Sistema nada útil para maioria dos municípios</t>
  </si>
  <si>
    <t>Carolina Fernandes Paes de Almeida</t>
  </si>
  <si>
    <t>905.700.301-53</t>
  </si>
  <si>
    <t>carol_juti@hotmail.com</t>
  </si>
  <si>
    <t>(67)98448-6815</t>
  </si>
  <si>
    <t>Como estou iniciando na Secretaria de Educação, pra mim a capacitação foi muito válida</t>
  </si>
  <si>
    <t>Pra mim foi muito bom</t>
  </si>
  <si>
    <t>Luciano Marques da Costa Martins</t>
  </si>
  <si>
    <t>899.070.941-53</t>
  </si>
  <si>
    <t>luciano_mcm@hotmail.com</t>
  </si>
  <si>
    <t>(67)98419-2006</t>
  </si>
  <si>
    <t>Prática e conhecimento</t>
  </si>
  <si>
    <t>pausa para o café e tela maior de apresentação</t>
  </si>
  <si>
    <t>Guilherme Mateus Silva Cardoso</t>
  </si>
  <si>
    <t>086.228.041-94</t>
  </si>
  <si>
    <t>guilhermemateus348@gmail.com</t>
  </si>
  <si>
    <t>(67)99178-8895</t>
  </si>
  <si>
    <t>treinamento prático</t>
  </si>
  <si>
    <t>coffe break e certificação</t>
  </si>
  <si>
    <t>AUTENIR RODRIGUES DE LIMA</t>
  </si>
  <si>
    <t>825.762.621-04</t>
  </si>
  <si>
    <t>autenir1@hotmail.com</t>
  </si>
  <si>
    <t>(67)99911-2198</t>
  </si>
  <si>
    <t>Jateí</t>
  </si>
  <si>
    <t>conteudo - capacitadores</t>
  </si>
  <si>
    <t>sem opção</t>
  </si>
  <si>
    <t>JOELBA FERREIRA GOMES</t>
  </si>
  <si>
    <t>501.461.651-87</t>
  </si>
  <si>
    <t>joelbaferreiragomes@gmail.com</t>
  </si>
  <si>
    <t>(67)99996-9080</t>
  </si>
  <si>
    <t>dinâmica e apresentação</t>
  </si>
  <si>
    <t>não há aspectos a serem melhorados</t>
  </si>
  <si>
    <t>vídeos de youtube</t>
  </si>
  <si>
    <t>DIEGO RIBEIRO</t>
  </si>
  <si>
    <t>355.073.268-60</t>
  </si>
  <si>
    <t>dr.diego.ribeiro25@gmail.com</t>
  </si>
  <si>
    <t>(67)99139-1611</t>
  </si>
  <si>
    <t>um todo</t>
  </si>
  <si>
    <t>...</t>
  </si>
  <si>
    <t>GABRIEL VINICIUS RICARTE PEDROZO</t>
  </si>
  <si>
    <t>070.184.021-82</t>
  </si>
  <si>
    <t>ricartegv@outlook.com.br</t>
  </si>
  <si>
    <t>(67)99178-0319</t>
  </si>
  <si>
    <t>EXPLICAÇÃO E ATENCIOSIDADE</t>
  </si>
  <si>
    <t>FALTOU UM CAFÉ</t>
  </si>
  <si>
    <t>FAGNER RODRIGUES GALINA</t>
  </si>
  <si>
    <t>046.804.109-57</t>
  </si>
  <si>
    <t>fagnergalina33@gmail.com</t>
  </si>
  <si>
    <t>(67)99653-5397</t>
  </si>
  <si>
    <t>Paranhos</t>
  </si>
  <si>
    <t>a pratica do sistema no computador</t>
  </si>
  <si>
    <t>som anbiente,</t>
  </si>
  <si>
    <t>videos do youtube</t>
  </si>
  <si>
    <t>Paulo Cesar Mota dos Santos</t>
  </si>
  <si>
    <t>560.189.911-87</t>
  </si>
  <si>
    <t>paulo.cesar.75@hotmail.com</t>
  </si>
  <si>
    <t>(67)99624-4128</t>
  </si>
  <si>
    <t>A didática e desenvoltura dos formadores.</t>
  </si>
  <si>
    <t>Poderia ter intervalo e café.</t>
  </si>
  <si>
    <t>Formação muito importante para os novos técnicos.</t>
  </si>
  <si>
    <t>Raul Fernando Garcia</t>
  </si>
  <si>
    <t>592.634.901-04</t>
  </si>
  <si>
    <t>rauljateieducacao@gmail.com</t>
  </si>
  <si>
    <t>(67)99602-6840</t>
  </si>
  <si>
    <t>Didática dos instrutores, testes criativos</t>
  </si>
  <si>
    <t>sem declaração</t>
  </si>
  <si>
    <t>Leis Municipais de Transportes, Orientações sobre transporte em municípios vizinhos</t>
  </si>
  <si>
    <t>Agradecer a receptividade</t>
  </si>
  <si>
    <t>FRANZ WILLIANS COIMBRA MARTINS</t>
  </si>
  <si>
    <t>851.073.361-91</t>
  </si>
  <si>
    <t>franzwillians@gmail.com</t>
  </si>
  <si>
    <t>(67)99337-0272</t>
  </si>
  <si>
    <t>Cassilândia</t>
  </si>
  <si>
    <t>Disponibilidade de contatos para esclarecer as duvidas frequentes do sistema.</t>
  </si>
  <si>
    <t>Agendar as capacitações para não coincidir com outros no mesmo dia.</t>
  </si>
  <si>
    <t>thaine stefani dos santos</t>
  </si>
  <si>
    <t>034.548.621-83</t>
  </si>
  <si>
    <t>thaine.stefani@gmail.com</t>
  </si>
  <si>
    <t>(67)99682-0430</t>
  </si>
  <si>
    <t>didática
dinamica</t>
  </si>
  <si>
    <t>nada, formação bem simples de fácil entendimento para todos</t>
  </si>
  <si>
    <t>modernização sete</t>
  </si>
  <si>
    <t>DANIELA MEDINA</t>
  </si>
  <si>
    <t>083.222.581-94</t>
  </si>
  <si>
    <t>danimedina826@gmail.com</t>
  </si>
  <si>
    <t>(67)99852-3934</t>
  </si>
  <si>
    <t>tudo</t>
  </si>
  <si>
    <t>foi tudo, se melhorar estraga</t>
  </si>
  <si>
    <t>sem mais...</t>
  </si>
  <si>
    <t>bom curso</t>
  </si>
  <si>
    <t>Romeu Goulart da Silva</t>
  </si>
  <si>
    <t>312.097.501-04</t>
  </si>
  <si>
    <t>roomeugoulart@gmail.com</t>
  </si>
  <si>
    <t>(67)98129-2310</t>
  </si>
  <si>
    <t>O material didáctico ofertado na net. A possibilidade de acesso a outras fontes de dados</t>
  </si>
  <si>
    <t>O som do 1º modulo de dificil entendimento</t>
  </si>
  <si>
    <t>JAQUELINE HERNACKI</t>
  </si>
  <si>
    <t>023.145.741-33</t>
  </si>
  <si>
    <t>jaque_hernacki@hotmail.com</t>
  </si>
  <si>
    <t>(67)99962-9226</t>
  </si>
  <si>
    <t>Formação na pratica</t>
  </si>
  <si>
    <t>Exportação dos alunos do Censo Escolar</t>
  </si>
  <si>
    <t>Willian Carlos magi santos</t>
  </si>
  <si>
    <t>732.767.072-68</t>
  </si>
  <si>
    <t>frota@mundonovo.ms.gov.br</t>
  </si>
  <si>
    <t>(67)99611-1941</t>
  </si>
  <si>
    <t>Mundo Novo</t>
  </si>
  <si>
    <t>Assuntos bem explicados e claramente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</si>
  <si>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</si>
  <si>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</si>
  <si>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</si>
  <si>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</si>
  <si>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</si>
  <si>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</si>
  <si>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</si>
  <si>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</si>
  <si>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</si>
  <si>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</si>
  <si>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</si>
  <si>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</si>
  <si>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</si>
  <si>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</si>
  <si>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</si>
  <si>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</si>
  <si>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</si>
  <si>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</si>
  <si>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5000609 </t>
  </si>
  <si>
    <t>109 </t>
  </si>
  <si>
    <t>5000807 </t>
  </si>
  <si>
    <t>245 </t>
  </si>
  <si>
    <t>5000856 </t>
  </si>
  <si>
    <t>136 </t>
  </si>
  <si>
    <t>5001243 </t>
  </si>
  <si>
    <t>149 </t>
  </si>
  <si>
    <t>5001904 </t>
  </si>
  <si>
    <t>328 </t>
  </si>
  <si>
    <t>5002001 </t>
  </si>
  <si>
    <t>180 </t>
  </si>
  <si>
    <t>5002407 </t>
  </si>
  <si>
    <t>52 </t>
  </si>
  <si>
    <t>5003157 </t>
  </si>
  <si>
    <t>174 </t>
  </si>
  <si>
    <t>5003454 </t>
  </si>
  <si>
    <t>79 </t>
  </si>
  <si>
    <t>5003504 </t>
  </si>
  <si>
    <t>38 </t>
  </si>
  <si>
    <t>5003702 </t>
  </si>
  <si>
    <t>0 </t>
  </si>
  <si>
    <t>5003751 </t>
  </si>
  <si>
    <t>115 </t>
  </si>
  <si>
    <t>5003801 </t>
  </si>
  <si>
    <t>Fátima do Sul</t>
  </si>
  <si>
    <t>45 </t>
  </si>
  <si>
    <t>5004007 </t>
  </si>
  <si>
    <t>78 </t>
  </si>
  <si>
    <t>5004304 </t>
  </si>
  <si>
    <t>130 </t>
  </si>
  <si>
    <t>5004403 </t>
  </si>
  <si>
    <t>17 </t>
  </si>
  <si>
    <t>5004502 </t>
  </si>
  <si>
    <t>150 </t>
  </si>
  <si>
    <t>5004701 </t>
  </si>
  <si>
    <t>5004809 </t>
  </si>
  <si>
    <t>160 </t>
  </si>
  <si>
    <t>5004908 </t>
  </si>
  <si>
    <t>100 </t>
  </si>
  <si>
    <t>5005152 </t>
  </si>
  <si>
    <t>90 </t>
  </si>
  <si>
    <t>5005251 </t>
  </si>
  <si>
    <t>40 </t>
  </si>
  <si>
    <t>5005400 </t>
  </si>
  <si>
    <t>70 </t>
  </si>
  <si>
    <t>5005681 </t>
  </si>
  <si>
    <t>5005707 </t>
  </si>
  <si>
    <t>120 </t>
  </si>
  <si>
    <t>5006002 </t>
  </si>
  <si>
    <t>5006200 </t>
  </si>
  <si>
    <t>Nova Andradina</t>
  </si>
  <si>
    <t>5006275 </t>
  </si>
  <si>
    <t>110 </t>
  </si>
  <si>
    <t>5006309 </t>
  </si>
  <si>
    <t>5006606 </t>
  </si>
  <si>
    <t>5007208 </t>
  </si>
  <si>
    <t>5007703 </t>
  </si>
  <si>
    <t>5007950 </t>
  </si>
  <si>
    <t>Tacuru</t>
  </si>
  <si>
    <t>5007976 </t>
  </si>
  <si>
    <t>5008404 </t>
  </si>
  <si>
    <t>50 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</si>
  <si>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</si>
  <si>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</si>
  <si>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</si>
  <si>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</si>
  <si>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</si>
  <si>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</si>
  <si>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mais treinamento durante o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</si>
</sst>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%"/>
  </numFmts>
  <fonts count="18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i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8" fillId="0" borderId="0" xfId="0" applyFont="1"/>
    <xf numFmtId="22" fontId="9" fillId="5" borderId="7" xfId="0" applyNumberFormat="1" applyFont="1" applyFill="1" applyBorder="1" applyAlignment="1">
      <alignment horizontal="right" vertical="center" wrapText="1"/>
    </xf>
    <xf numFmtId="0" fontId="9" fillId="5" borderId="8" xfId="0" applyFont="1" applyFill="1" applyBorder="1" applyAlignment="1">
      <alignment vertical="center" wrapText="1"/>
    </xf>
    <xf numFmtId="0" fontId="9" fillId="5" borderId="8" xfId="0" applyFont="1" applyFill="1" applyBorder="1" applyAlignment="1">
      <alignment horizontal="right" vertical="center" wrapText="1"/>
    </xf>
    <xf numFmtId="0" fontId="8" fillId="5" borderId="8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vertical="center" wrapText="1"/>
    </xf>
    <xf numFmtId="0" fontId="8" fillId="0" borderId="10" xfId="0" applyFont="1" applyBorder="1" applyAlignment="1">
      <alignment wrapText="1"/>
    </xf>
    <xf numFmtId="22" fontId="9" fillId="6" borderId="11" xfId="0" applyNumberFormat="1" applyFont="1" applyFill="1" applyBorder="1" applyAlignment="1">
      <alignment horizontal="right" vertical="center" wrapText="1"/>
    </xf>
    <xf numFmtId="0" fontId="9" fillId="6" borderId="12" xfId="0" applyFont="1" applyFill="1" applyBorder="1" applyAlignment="1">
      <alignment vertical="center" wrapText="1"/>
    </xf>
    <xf numFmtId="0" fontId="9" fillId="6" borderId="12" xfId="0" applyFont="1" applyFill="1" applyBorder="1" applyAlignment="1">
      <alignment horizontal="right" vertical="center" wrapText="1"/>
    </xf>
    <xf numFmtId="0" fontId="8" fillId="6" borderId="12" xfId="0" applyFont="1" applyFill="1" applyBorder="1" applyAlignment="1">
      <alignment vertical="center" wrapText="1"/>
    </xf>
    <xf numFmtId="0" fontId="9" fillId="6" borderId="9" xfId="0" applyFont="1" applyFill="1" applyBorder="1" applyAlignment="1">
      <alignment vertical="center" wrapText="1"/>
    </xf>
    <xf numFmtId="0" fontId="8" fillId="6" borderId="9" xfId="0" applyFont="1" applyFill="1" applyBorder="1" applyAlignment="1">
      <alignment vertical="center" wrapText="1"/>
    </xf>
    <xf numFmtId="0" fontId="9" fillId="5" borderId="9" xfId="0" applyFont="1" applyFill="1" applyBorder="1" applyAlignment="1">
      <alignment vertical="center" wrapText="1"/>
    </xf>
    <xf numFmtId="22" fontId="9" fillId="6" borderId="13" xfId="0" applyNumberFormat="1" applyFont="1" applyFill="1" applyBorder="1" applyAlignment="1">
      <alignment horizontal="right" vertical="center" wrapText="1"/>
    </xf>
    <xf numFmtId="0" fontId="9" fillId="6" borderId="14" xfId="0" applyFont="1" applyFill="1" applyBorder="1" applyAlignment="1">
      <alignment vertical="center" wrapText="1"/>
    </xf>
    <xf numFmtId="0" fontId="9" fillId="6" borderId="14" xfId="0" applyFont="1" applyFill="1" applyBorder="1" applyAlignment="1">
      <alignment horizontal="right" vertical="center" wrapText="1"/>
    </xf>
    <xf numFmtId="0" fontId="8" fillId="6" borderId="14" xfId="0" applyFont="1" applyFill="1" applyBorder="1" applyAlignment="1">
      <alignment vertical="center" wrapText="1"/>
    </xf>
    <xf numFmtId="0" fontId="8" fillId="6" borderId="15" xfId="0" applyFont="1" applyFill="1" applyBorder="1" applyAlignment="1">
      <alignment vertical="center" wrapText="1"/>
    </xf>
    <xf numFmtId="0" fontId="3" fillId="3" borderId="3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8" fillId="0" borderId="6" xfId="0" applyFont="1" applyBorder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8" fontId="0" fillId="2" borderId="2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 indent="1"/>
    </xf>
    <xf numFmtId="0" fontId="15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9" fontId="8" fillId="0" borderId="0" xfId="1" applyFont="1" applyAlignment="1">
      <alignment horizontal="center" vertical="center"/>
    </xf>
    <xf numFmtId="168" fontId="8" fillId="0" borderId="0" xfId="1" applyNumberFormat="1" applyFont="1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Border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right" vertical="center"/>
    </xf>
    <xf numFmtId="0" fontId="17" fillId="11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7.3529411764705885E-2</c:v>
                </c:pt>
                <c:pt idx="1">
                  <c:v>0.17647058823529413</c:v>
                </c:pt>
                <c:pt idx="2">
                  <c:v>8.8235294117647065E-2</c:v>
                </c:pt>
                <c:pt idx="3">
                  <c:v>7.3529411764705885E-2</c:v>
                </c:pt>
                <c:pt idx="4">
                  <c:v>7.3529411764705885E-2</c:v>
                </c:pt>
                <c:pt idx="5">
                  <c:v>7.3529411764705885E-2</c:v>
                </c:pt>
                <c:pt idx="6">
                  <c:v>8.8235294117647065E-2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0.26470588235294118</c:v>
                </c:pt>
                <c:pt idx="1">
                  <c:v>0.33823529411764708</c:v>
                </c:pt>
                <c:pt idx="2">
                  <c:v>0.26470588235294118</c:v>
                </c:pt>
                <c:pt idx="3">
                  <c:v>0.27941176470588236</c:v>
                </c:pt>
                <c:pt idx="4">
                  <c:v>0.23529411764705882</c:v>
                </c:pt>
                <c:pt idx="5">
                  <c:v>0.27941176470588236</c:v>
                </c:pt>
                <c:pt idx="6">
                  <c:v>0.23529411764705882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0.66176470588235292</c:v>
                </c:pt>
                <c:pt idx="1">
                  <c:v>0.48529411764705882</c:v>
                </c:pt>
                <c:pt idx="2">
                  <c:v>0.6470588235294118</c:v>
                </c:pt>
                <c:pt idx="3">
                  <c:v>0.6470588235294118</c:v>
                </c:pt>
                <c:pt idx="4">
                  <c:v>0.69117647058823528</c:v>
                </c:pt>
                <c:pt idx="5">
                  <c:v>0.6470588235294118</c:v>
                </c:pt>
                <c:pt idx="6">
                  <c:v>0.67647058823529416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9.0909090909090912E-2</c:v>
                </c:pt>
                <c:pt idx="1">
                  <c:v>0.18181818181818182</c:v>
                </c:pt>
                <c:pt idx="2">
                  <c:v>9.0909090909090912E-2</c:v>
                </c:pt>
                <c:pt idx="3">
                  <c:v>9.0909090909090912E-2</c:v>
                </c:pt>
                <c:pt idx="4">
                  <c:v>9.0909090909090912E-2</c:v>
                </c:pt>
                <c:pt idx="5">
                  <c:v>9.0909090909090912E-2</c:v>
                </c:pt>
                <c:pt idx="6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0.40909090909090912</c:v>
                </c:pt>
                <c:pt idx="1">
                  <c:v>0.40909090909090912</c:v>
                </c:pt>
                <c:pt idx="2">
                  <c:v>0.40909090909090912</c:v>
                </c:pt>
                <c:pt idx="3">
                  <c:v>0.36363636363636365</c:v>
                </c:pt>
                <c:pt idx="4">
                  <c:v>0.31818181818181818</c:v>
                </c:pt>
                <c:pt idx="5">
                  <c:v>0.31818181818181818</c:v>
                </c:pt>
                <c:pt idx="6">
                  <c:v>0.31818181818181818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0.5</c:v>
                </c:pt>
                <c:pt idx="1">
                  <c:v>0.40909090909090912</c:v>
                </c:pt>
                <c:pt idx="2">
                  <c:v>0.5</c:v>
                </c:pt>
                <c:pt idx="3">
                  <c:v>0.54545454545454541</c:v>
                </c:pt>
                <c:pt idx="4">
                  <c:v>0.59090909090909094</c:v>
                </c:pt>
                <c:pt idx="5">
                  <c:v>0.59090909090909094</c:v>
                </c:pt>
                <c:pt idx="6">
                  <c:v>0.59090909090909094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C-4E46-8DB2-2997EBFC072B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C-4E46-8DB2-2997EBFC072B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6.5217391304347824E-2</c:v>
                </c:pt>
                <c:pt idx="1">
                  <c:v>0.17391304347826086</c:v>
                </c:pt>
                <c:pt idx="2">
                  <c:v>8.6956521739130432E-2</c:v>
                </c:pt>
                <c:pt idx="3">
                  <c:v>6.5217391304347824E-2</c:v>
                </c:pt>
                <c:pt idx="4">
                  <c:v>6.5217391304347824E-2</c:v>
                </c:pt>
                <c:pt idx="5">
                  <c:v>6.5217391304347824E-2</c:v>
                </c:pt>
                <c:pt idx="6">
                  <c:v>8.6956521739130432E-2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9C-4E46-8DB2-2997EBFC072B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0.19565217391304349</c:v>
                </c:pt>
                <c:pt idx="1">
                  <c:v>0.30434782608695654</c:v>
                </c:pt>
                <c:pt idx="2">
                  <c:v>0.19565217391304349</c:v>
                </c:pt>
                <c:pt idx="3">
                  <c:v>0.2391304347826087</c:v>
                </c:pt>
                <c:pt idx="4">
                  <c:v>0.19565217391304349</c:v>
                </c:pt>
                <c:pt idx="5">
                  <c:v>0.2608695652173913</c:v>
                </c:pt>
                <c:pt idx="6">
                  <c:v>0.19565217391304349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9C-4E46-8DB2-2997EBFC072B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0.73913043478260865</c:v>
                </c:pt>
                <c:pt idx="1">
                  <c:v>0.52173913043478259</c:v>
                </c:pt>
                <c:pt idx="2">
                  <c:v>0.71739130434782605</c:v>
                </c:pt>
                <c:pt idx="3">
                  <c:v>0.69565217391304346</c:v>
                </c:pt>
                <c:pt idx="4">
                  <c:v>0.73913043478260865</c:v>
                </c:pt>
                <c:pt idx="5">
                  <c:v>0.67391304347826086</c:v>
                </c:pt>
                <c:pt idx="6">
                  <c:v>0.71739130434782605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C-4E46-8DB2-2997EBFC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'!$F$56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eparator>.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'!$E$57:$E$58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'!$F$57:$F$58</c:f>
              <c:numCache>
                <c:formatCode>General</c:formatCode>
                <c:ptCount val="2"/>
                <c:pt idx="0">
                  <c:v>22</c:v>
                </c:pt>
                <c:pt idx="1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'!$G$48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'!$E$57:$E$58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'!$G$49:$G$50</c:f>
              <c:numCache>
                <c:formatCode>General</c:formatCode>
                <c:ptCount val="2"/>
                <c:pt idx="0">
                  <c:v>22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0CCD73-B738-4704-A8E8-1B142F270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53</xdr:row>
      <xdr:rowOff>23812</xdr:rowOff>
    </xdr:from>
    <xdr:to>
      <xdr:col>12</xdr:col>
      <xdr:colOff>590550</xdr:colOff>
      <xdr:row>63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A169"/>
  <sheetViews>
    <sheetView tabSelected="1" topLeftCell="P1" workbookViewId="0">
      <selection activeCell="F1" sqref="F1:P69"/>
    </sheetView>
  </sheetViews>
  <sheetFormatPr defaultRowHeight="15" customHeight="1" x14ac:dyDescent="0.4"/>
  <cols>
    <col min="1" max="1" width="13.5" bestFit="1" customWidth="1"/>
    <col min="2" max="2" width="30.5" bestFit="1" customWidth="1"/>
    <col min="3" max="3" width="28.375" customWidth="1"/>
    <col min="4" max="4" width="32.5" customWidth="1"/>
    <col min="5" max="7" width="15.875" customWidth="1"/>
    <col min="8" max="14" width="0" hidden="1" customWidth="1"/>
    <col min="15" max="15" width="65" hidden="1" customWidth="1"/>
    <col min="16" max="16" width="88.25" bestFit="1" customWidth="1"/>
    <col min="17" max="17" width="25.75" bestFit="1" customWidth="1"/>
    <col min="18" max="18" width="25" bestFit="1" customWidth="1"/>
    <col min="19" max="19" width="85.5" bestFit="1" customWidth="1"/>
    <col min="20" max="20" width="44.375" bestFit="1" customWidth="1"/>
    <col min="21" max="21" width="56.75" bestFit="1" customWidth="1"/>
  </cols>
  <sheetData>
    <row r="1" spans="1:27" s="29" customFormat="1" ht="15" customHeight="1" thickBot="1" x14ac:dyDescent="0.45">
      <c r="A1" s="22" t="s">
        <v>0</v>
      </c>
      <c r="B1" s="23" t="s">
        <v>17</v>
      </c>
      <c r="C1" s="23" t="s">
        <v>18</v>
      </c>
      <c r="D1" s="23" t="s">
        <v>19</v>
      </c>
      <c r="E1" s="24" t="s">
        <v>20</v>
      </c>
      <c r="F1" s="23" t="s">
        <v>21</v>
      </c>
      <c r="G1" s="23" t="s">
        <v>22</v>
      </c>
      <c r="H1" s="25" t="s">
        <v>23</v>
      </c>
      <c r="I1" s="25" t="s">
        <v>24</v>
      </c>
      <c r="J1" s="25" t="s">
        <v>25</v>
      </c>
      <c r="K1" s="25" t="s">
        <v>26</v>
      </c>
      <c r="L1" s="25" t="s">
        <v>27</v>
      </c>
      <c r="M1" s="25" t="s">
        <v>28</v>
      </c>
      <c r="N1" s="25" t="s">
        <v>29</v>
      </c>
      <c r="O1" s="25" t="s">
        <v>30</v>
      </c>
      <c r="P1" s="25" t="s">
        <v>31</v>
      </c>
      <c r="Q1" s="25" t="s">
        <v>32</v>
      </c>
      <c r="R1" s="25" t="s">
        <v>33</v>
      </c>
      <c r="S1" s="26" t="s">
        <v>34</v>
      </c>
      <c r="T1" s="25" t="s">
        <v>6</v>
      </c>
      <c r="U1" s="27" t="s">
        <v>1</v>
      </c>
      <c r="V1" s="28"/>
      <c r="W1" s="28"/>
      <c r="X1" s="28"/>
      <c r="Y1" s="28"/>
      <c r="Z1" s="28"/>
      <c r="AA1" s="28"/>
    </row>
    <row r="2" spans="1:27" ht="15" customHeight="1" thickBot="1" x14ac:dyDescent="0.45">
      <c r="A2" s="4">
        <v>45749.611493055556</v>
      </c>
      <c r="B2" s="5" t="s">
        <v>35</v>
      </c>
      <c r="C2" s="5" t="s">
        <v>36</v>
      </c>
      <c r="D2" s="5" t="s">
        <v>37</v>
      </c>
      <c r="E2" s="5" t="s">
        <v>38</v>
      </c>
      <c r="F2" s="5" t="s">
        <v>39</v>
      </c>
      <c r="G2" s="5" t="s">
        <v>40</v>
      </c>
      <c r="H2" s="6">
        <v>5</v>
      </c>
      <c r="I2" s="6">
        <v>4</v>
      </c>
      <c r="J2" s="6">
        <v>4</v>
      </c>
      <c r="K2" s="6">
        <v>4</v>
      </c>
      <c r="L2" s="6">
        <v>5</v>
      </c>
      <c r="M2" s="6">
        <v>5</v>
      </c>
      <c r="N2" s="6">
        <v>5</v>
      </c>
      <c r="O2" s="5" t="s">
        <v>41</v>
      </c>
      <c r="P2" s="5" t="s">
        <v>42</v>
      </c>
      <c r="Q2" s="5" t="s">
        <v>43</v>
      </c>
      <c r="R2" s="7"/>
      <c r="S2" s="5" t="s">
        <v>44</v>
      </c>
      <c r="T2" s="5" t="s">
        <v>45</v>
      </c>
      <c r="U2" s="8"/>
      <c r="V2" s="9"/>
      <c r="W2" s="9"/>
      <c r="X2" s="9"/>
      <c r="Y2" s="9"/>
      <c r="Z2" s="9"/>
      <c r="AA2" s="9"/>
    </row>
    <row r="3" spans="1:27" ht="15" customHeight="1" thickBot="1" x14ac:dyDescent="0.45">
      <c r="A3" s="10">
        <v>45749.689409722225</v>
      </c>
      <c r="B3" s="11" t="s">
        <v>46</v>
      </c>
      <c r="C3" s="11" t="s">
        <v>47</v>
      </c>
      <c r="D3" s="11" t="s">
        <v>48</v>
      </c>
      <c r="E3" s="11" t="s">
        <v>49</v>
      </c>
      <c r="F3" s="11" t="s">
        <v>50</v>
      </c>
      <c r="G3" s="11" t="s">
        <v>51</v>
      </c>
      <c r="H3" s="12">
        <v>5</v>
      </c>
      <c r="I3" s="12">
        <v>5</v>
      </c>
      <c r="J3" s="12">
        <v>5</v>
      </c>
      <c r="K3" s="12">
        <v>5</v>
      </c>
      <c r="L3" s="12">
        <v>5</v>
      </c>
      <c r="M3" s="12">
        <v>5</v>
      </c>
      <c r="N3" s="12">
        <v>5</v>
      </c>
      <c r="O3" s="11" t="s">
        <v>52</v>
      </c>
      <c r="P3" s="11" t="s">
        <v>53</v>
      </c>
      <c r="Q3" s="11" t="s">
        <v>54</v>
      </c>
      <c r="R3" s="13"/>
      <c r="S3" s="13"/>
      <c r="T3" s="11" t="s">
        <v>8</v>
      </c>
      <c r="U3" s="14" t="s">
        <v>55</v>
      </c>
      <c r="V3" s="9"/>
      <c r="W3" s="9"/>
      <c r="X3" s="9"/>
      <c r="Y3" s="9"/>
      <c r="Z3" s="9"/>
      <c r="AA3" s="9"/>
    </row>
    <row r="4" spans="1:27" ht="15" customHeight="1" thickBot="1" x14ac:dyDescent="0.45">
      <c r="A4" s="4">
        <v>45749.689756944441</v>
      </c>
      <c r="B4" s="5" t="s">
        <v>56</v>
      </c>
      <c r="C4" s="5" t="s">
        <v>57</v>
      </c>
      <c r="D4" s="5" t="s">
        <v>58</v>
      </c>
      <c r="E4" s="5" t="s">
        <v>59</v>
      </c>
      <c r="F4" s="5" t="s">
        <v>60</v>
      </c>
      <c r="G4" s="5" t="s">
        <v>51</v>
      </c>
      <c r="H4" s="6">
        <v>5</v>
      </c>
      <c r="I4" s="6">
        <v>5</v>
      </c>
      <c r="J4" s="6">
        <v>5</v>
      </c>
      <c r="K4" s="6">
        <v>5</v>
      </c>
      <c r="L4" s="6">
        <v>5</v>
      </c>
      <c r="M4" s="6">
        <v>5</v>
      </c>
      <c r="N4" s="6">
        <v>4</v>
      </c>
      <c r="O4" s="5" t="s">
        <v>61</v>
      </c>
      <c r="P4" s="5" t="s">
        <v>62</v>
      </c>
      <c r="Q4" s="5" t="s">
        <v>54</v>
      </c>
      <c r="R4" s="7"/>
      <c r="S4" s="5" t="s">
        <v>63</v>
      </c>
      <c r="T4" s="5" t="s">
        <v>7</v>
      </c>
      <c r="U4" s="8"/>
      <c r="V4" s="9"/>
      <c r="W4" s="9"/>
      <c r="X4" s="9"/>
      <c r="Y4" s="9"/>
      <c r="Z4" s="9"/>
      <c r="AA4" s="9"/>
    </row>
    <row r="5" spans="1:27" ht="15" customHeight="1" thickBot="1" x14ac:dyDescent="0.45">
      <c r="A5" s="10">
        <v>45749.690081018518</v>
      </c>
      <c r="B5" s="11" t="s">
        <v>64</v>
      </c>
      <c r="C5" s="11" t="s">
        <v>65</v>
      </c>
      <c r="D5" s="11" t="s">
        <v>66</v>
      </c>
      <c r="E5" s="11" t="s">
        <v>67</v>
      </c>
      <c r="F5" s="11" t="s">
        <v>39</v>
      </c>
      <c r="G5" s="11" t="s">
        <v>51</v>
      </c>
      <c r="H5" s="12">
        <v>5</v>
      </c>
      <c r="I5" s="12">
        <v>5</v>
      </c>
      <c r="J5" s="12">
        <v>5</v>
      </c>
      <c r="K5" s="12">
        <v>5</v>
      </c>
      <c r="L5" s="12">
        <v>5</v>
      </c>
      <c r="M5" s="12">
        <v>5</v>
      </c>
      <c r="N5" s="12">
        <v>5</v>
      </c>
      <c r="O5" s="11" t="s">
        <v>68</v>
      </c>
      <c r="P5" s="11" t="s">
        <v>69</v>
      </c>
      <c r="Q5" s="11" t="s">
        <v>70</v>
      </c>
      <c r="R5" s="13"/>
      <c r="S5" s="13"/>
      <c r="T5" s="11" t="s">
        <v>7</v>
      </c>
      <c r="U5" s="15"/>
      <c r="V5" s="9"/>
      <c r="W5" s="9"/>
      <c r="X5" s="9"/>
      <c r="Y5" s="9"/>
      <c r="Z5" s="9"/>
      <c r="AA5" s="9"/>
    </row>
    <row r="6" spans="1:27" ht="15" customHeight="1" thickBot="1" x14ac:dyDescent="0.45">
      <c r="A6" s="4">
        <v>45749.690092592595</v>
      </c>
      <c r="B6" s="5" t="s">
        <v>71</v>
      </c>
      <c r="C6" s="5" t="s">
        <v>72</v>
      </c>
      <c r="D6" s="5" t="s">
        <v>73</v>
      </c>
      <c r="E6" s="5" t="s">
        <v>74</v>
      </c>
      <c r="F6" s="5" t="s">
        <v>75</v>
      </c>
      <c r="G6" s="5" t="s">
        <v>51</v>
      </c>
      <c r="H6" s="6">
        <v>5</v>
      </c>
      <c r="I6" s="6">
        <v>4</v>
      </c>
      <c r="J6" s="6">
        <v>5</v>
      </c>
      <c r="K6" s="6">
        <v>5</v>
      </c>
      <c r="L6" s="6">
        <v>5</v>
      </c>
      <c r="M6" s="6">
        <v>5</v>
      </c>
      <c r="N6" s="6">
        <v>5</v>
      </c>
      <c r="O6" s="5" t="s">
        <v>76</v>
      </c>
      <c r="P6" s="5" t="s">
        <v>77</v>
      </c>
      <c r="Q6" s="5" t="s">
        <v>54</v>
      </c>
      <c r="R6" s="7"/>
      <c r="S6" s="7"/>
      <c r="T6" s="5" t="s">
        <v>78</v>
      </c>
      <c r="U6" s="8"/>
      <c r="V6" s="9"/>
      <c r="W6" s="9"/>
      <c r="X6" s="9"/>
      <c r="Y6" s="9"/>
      <c r="Z6" s="9"/>
      <c r="AA6" s="9"/>
    </row>
    <row r="7" spans="1:27" ht="15" customHeight="1" thickBot="1" x14ac:dyDescent="0.45">
      <c r="A7" s="10">
        <v>45749.690254629626</v>
      </c>
      <c r="B7" s="11" t="s">
        <v>79</v>
      </c>
      <c r="C7" s="11" t="s">
        <v>80</v>
      </c>
      <c r="D7" s="11" t="s">
        <v>81</v>
      </c>
      <c r="E7" s="11" t="s">
        <v>82</v>
      </c>
      <c r="F7" s="11" t="s">
        <v>83</v>
      </c>
      <c r="G7" s="11" t="s">
        <v>51</v>
      </c>
      <c r="H7" s="12">
        <v>5</v>
      </c>
      <c r="I7" s="12">
        <v>5</v>
      </c>
      <c r="J7" s="12">
        <v>5</v>
      </c>
      <c r="K7" s="12">
        <v>5</v>
      </c>
      <c r="L7" s="12">
        <v>5</v>
      </c>
      <c r="M7" s="12">
        <v>5</v>
      </c>
      <c r="N7" s="12">
        <v>5</v>
      </c>
      <c r="O7" s="11" t="s">
        <v>84</v>
      </c>
      <c r="P7" s="11" t="s">
        <v>85</v>
      </c>
      <c r="Q7" s="11" t="s">
        <v>70</v>
      </c>
      <c r="R7" s="13"/>
      <c r="S7" s="13"/>
      <c r="T7" s="11" t="s">
        <v>9</v>
      </c>
      <c r="U7" s="15"/>
      <c r="V7" s="9"/>
      <c r="W7" s="9"/>
      <c r="X7" s="9"/>
      <c r="Y7" s="9"/>
      <c r="Z7" s="9"/>
      <c r="AA7" s="9"/>
    </row>
    <row r="8" spans="1:27" ht="15" customHeight="1" thickBot="1" x14ac:dyDescent="0.45">
      <c r="A8" s="4">
        <v>45749.690266203703</v>
      </c>
      <c r="B8" s="5" t="s">
        <v>86</v>
      </c>
      <c r="C8" s="5" t="s">
        <v>87</v>
      </c>
      <c r="D8" s="5" t="s">
        <v>88</v>
      </c>
      <c r="E8" s="5" t="s">
        <v>89</v>
      </c>
      <c r="F8" s="5" t="s">
        <v>90</v>
      </c>
      <c r="G8" s="5" t="s">
        <v>51</v>
      </c>
      <c r="H8" s="6">
        <v>5</v>
      </c>
      <c r="I8" s="6">
        <v>5</v>
      </c>
      <c r="J8" s="6">
        <v>5</v>
      </c>
      <c r="K8" s="6">
        <v>5</v>
      </c>
      <c r="L8" s="6">
        <v>5</v>
      </c>
      <c r="M8" s="6">
        <v>5</v>
      </c>
      <c r="N8" s="6">
        <v>5</v>
      </c>
      <c r="O8" s="5" t="s">
        <v>91</v>
      </c>
      <c r="P8" s="5" t="s">
        <v>92</v>
      </c>
      <c r="Q8" s="5" t="s">
        <v>54</v>
      </c>
      <c r="R8" s="7"/>
      <c r="S8" s="7"/>
      <c r="T8" s="5" t="s">
        <v>9</v>
      </c>
      <c r="U8" s="8"/>
      <c r="V8" s="9"/>
      <c r="W8" s="9"/>
      <c r="X8" s="9"/>
      <c r="Y8" s="9"/>
      <c r="Z8" s="9"/>
      <c r="AA8" s="9"/>
    </row>
    <row r="9" spans="1:27" ht="15" customHeight="1" thickBot="1" x14ac:dyDescent="0.45">
      <c r="A9" s="10">
        <v>45749.690381944441</v>
      </c>
      <c r="B9" s="11" t="s">
        <v>93</v>
      </c>
      <c r="C9" s="11" t="s">
        <v>94</v>
      </c>
      <c r="D9" s="11" t="s">
        <v>95</v>
      </c>
      <c r="E9" s="11" t="s">
        <v>96</v>
      </c>
      <c r="F9" s="11" t="s">
        <v>97</v>
      </c>
      <c r="G9" s="11" t="s">
        <v>51</v>
      </c>
      <c r="H9" s="12">
        <v>5</v>
      </c>
      <c r="I9" s="12">
        <v>3</v>
      </c>
      <c r="J9" s="12">
        <v>4</v>
      </c>
      <c r="K9" s="12">
        <v>4</v>
      </c>
      <c r="L9" s="12">
        <v>4</v>
      </c>
      <c r="M9" s="12">
        <v>4</v>
      </c>
      <c r="N9" s="12">
        <v>4</v>
      </c>
      <c r="O9" s="11" t="s">
        <v>98</v>
      </c>
      <c r="P9" s="11" t="s">
        <v>99</v>
      </c>
      <c r="Q9" s="11" t="s">
        <v>70</v>
      </c>
      <c r="R9" s="13"/>
      <c r="S9" s="13"/>
      <c r="T9" s="11" t="s">
        <v>100</v>
      </c>
      <c r="U9" s="15"/>
      <c r="V9" s="9"/>
      <c r="W9" s="9"/>
      <c r="X9" s="9"/>
      <c r="Y9" s="9"/>
      <c r="Z9" s="9"/>
      <c r="AA9" s="9"/>
    </row>
    <row r="10" spans="1:27" ht="15" customHeight="1" thickBot="1" x14ac:dyDescent="0.45">
      <c r="A10" s="4">
        <v>45749.690462962964</v>
      </c>
      <c r="B10" s="5" t="s">
        <v>101</v>
      </c>
      <c r="C10" s="5" t="s">
        <v>102</v>
      </c>
      <c r="D10" s="5" t="s">
        <v>103</v>
      </c>
      <c r="E10" s="5" t="s">
        <v>104</v>
      </c>
      <c r="F10" s="5" t="s">
        <v>105</v>
      </c>
      <c r="G10" s="5" t="s">
        <v>51</v>
      </c>
      <c r="H10" s="6">
        <v>5</v>
      </c>
      <c r="I10" s="6">
        <v>5</v>
      </c>
      <c r="J10" s="6">
        <v>5</v>
      </c>
      <c r="K10" s="6">
        <v>5</v>
      </c>
      <c r="L10" s="6">
        <v>5</v>
      </c>
      <c r="M10" s="6">
        <v>5</v>
      </c>
      <c r="N10" s="6">
        <v>5</v>
      </c>
      <c r="O10" s="5" t="s">
        <v>106</v>
      </c>
      <c r="P10" s="5" t="s">
        <v>107</v>
      </c>
      <c r="Q10" s="5" t="s">
        <v>54</v>
      </c>
      <c r="R10" s="7"/>
      <c r="S10" s="5" t="s">
        <v>10</v>
      </c>
      <c r="T10" s="5" t="s">
        <v>100</v>
      </c>
      <c r="U10" s="8"/>
      <c r="V10" s="9"/>
      <c r="W10" s="9"/>
      <c r="X10" s="9"/>
      <c r="Y10" s="9"/>
      <c r="Z10" s="9"/>
      <c r="AA10" s="9"/>
    </row>
    <row r="11" spans="1:27" ht="15" customHeight="1" thickBot="1" x14ac:dyDescent="0.45">
      <c r="A11" s="10">
        <v>45749.690717592595</v>
      </c>
      <c r="B11" s="11" t="s">
        <v>108</v>
      </c>
      <c r="C11" s="11" t="s">
        <v>109</v>
      </c>
      <c r="D11" s="11" t="s">
        <v>110</v>
      </c>
      <c r="E11" s="11" t="s">
        <v>111</v>
      </c>
      <c r="F11" s="11" t="s">
        <v>83</v>
      </c>
      <c r="G11" s="11" t="s">
        <v>51</v>
      </c>
      <c r="H11" s="12">
        <v>5</v>
      </c>
      <c r="I11" s="12">
        <v>5</v>
      </c>
      <c r="J11" s="12">
        <v>5</v>
      </c>
      <c r="K11" s="12">
        <v>5</v>
      </c>
      <c r="L11" s="12">
        <v>5</v>
      </c>
      <c r="M11" s="12">
        <v>5</v>
      </c>
      <c r="N11" s="12">
        <v>5</v>
      </c>
      <c r="O11" s="11" t="s">
        <v>112</v>
      </c>
      <c r="P11" s="11" t="s">
        <v>113</v>
      </c>
      <c r="Q11" s="11" t="s">
        <v>54</v>
      </c>
      <c r="R11" s="13"/>
      <c r="S11" s="13"/>
      <c r="T11" s="11" t="s">
        <v>8</v>
      </c>
      <c r="U11" s="15"/>
      <c r="V11" s="9"/>
      <c r="W11" s="9"/>
      <c r="X11" s="9"/>
      <c r="Y11" s="9"/>
      <c r="Z11" s="9"/>
      <c r="AA11" s="9"/>
    </row>
    <row r="12" spans="1:27" ht="15" customHeight="1" thickBot="1" x14ac:dyDescent="0.45">
      <c r="A12" s="4">
        <v>45749.690983796296</v>
      </c>
      <c r="B12" s="5" t="s">
        <v>114</v>
      </c>
      <c r="C12" s="5" t="s">
        <v>115</v>
      </c>
      <c r="D12" s="5" t="s">
        <v>116</v>
      </c>
      <c r="E12" s="5" t="s">
        <v>117</v>
      </c>
      <c r="F12" s="5" t="s">
        <v>105</v>
      </c>
      <c r="G12" s="5" t="s">
        <v>51</v>
      </c>
      <c r="H12" s="6">
        <v>3</v>
      </c>
      <c r="I12" s="6">
        <v>3</v>
      </c>
      <c r="J12" s="6">
        <v>3</v>
      </c>
      <c r="K12" s="6">
        <v>3</v>
      </c>
      <c r="L12" s="6">
        <v>3</v>
      </c>
      <c r="M12" s="6">
        <v>3</v>
      </c>
      <c r="N12" s="6">
        <v>3</v>
      </c>
      <c r="O12" s="5" t="s">
        <v>118</v>
      </c>
      <c r="P12" s="5" t="s">
        <v>119</v>
      </c>
      <c r="Q12" s="5" t="s">
        <v>54</v>
      </c>
      <c r="R12" s="7"/>
      <c r="S12" s="7"/>
      <c r="T12" s="5" t="s">
        <v>100</v>
      </c>
      <c r="U12" s="16" t="s">
        <v>120</v>
      </c>
      <c r="V12" s="9"/>
      <c r="W12" s="9"/>
      <c r="X12" s="9"/>
      <c r="Y12" s="9"/>
      <c r="Z12" s="9"/>
      <c r="AA12" s="9"/>
    </row>
    <row r="13" spans="1:27" ht="15" customHeight="1" thickBot="1" x14ac:dyDescent="0.45">
      <c r="A13" s="10">
        <v>45749.691180555557</v>
      </c>
      <c r="B13" s="11" t="s">
        <v>121</v>
      </c>
      <c r="C13" s="11" t="s">
        <v>122</v>
      </c>
      <c r="D13" s="11" t="s">
        <v>123</v>
      </c>
      <c r="E13" s="11" t="s">
        <v>124</v>
      </c>
      <c r="F13" s="11" t="s">
        <v>75</v>
      </c>
      <c r="G13" s="11" t="s">
        <v>51</v>
      </c>
      <c r="H13" s="12">
        <v>5</v>
      </c>
      <c r="I13" s="12">
        <v>5</v>
      </c>
      <c r="J13" s="12">
        <v>5</v>
      </c>
      <c r="K13" s="12">
        <v>4</v>
      </c>
      <c r="L13" s="12">
        <v>5</v>
      </c>
      <c r="M13" s="12">
        <v>4</v>
      </c>
      <c r="N13" s="12">
        <v>5</v>
      </c>
      <c r="O13" s="11" t="s">
        <v>125</v>
      </c>
      <c r="P13" s="11" t="s">
        <v>126</v>
      </c>
      <c r="Q13" s="11" t="s">
        <v>54</v>
      </c>
      <c r="R13" s="13"/>
      <c r="S13" s="13"/>
      <c r="T13" s="11" t="s">
        <v>9</v>
      </c>
      <c r="U13" s="14" t="s">
        <v>127</v>
      </c>
      <c r="V13" s="9"/>
      <c r="W13" s="9"/>
      <c r="X13" s="9"/>
      <c r="Y13" s="9"/>
      <c r="Z13" s="9"/>
      <c r="AA13" s="9"/>
    </row>
    <row r="14" spans="1:27" ht="15" customHeight="1" thickBot="1" x14ac:dyDescent="0.45">
      <c r="A14" s="4">
        <v>45749.691527777781</v>
      </c>
      <c r="B14" s="5" t="s">
        <v>128</v>
      </c>
      <c r="C14" s="5" t="s">
        <v>129</v>
      </c>
      <c r="D14" s="5" t="s">
        <v>130</v>
      </c>
      <c r="E14" s="5" t="s">
        <v>131</v>
      </c>
      <c r="F14" s="5" t="s">
        <v>132</v>
      </c>
      <c r="G14" s="5" t="s">
        <v>51</v>
      </c>
      <c r="H14" s="6">
        <v>4</v>
      </c>
      <c r="I14" s="6">
        <v>3</v>
      </c>
      <c r="J14" s="6">
        <v>4</v>
      </c>
      <c r="K14" s="6">
        <v>4</v>
      </c>
      <c r="L14" s="6">
        <v>4</v>
      </c>
      <c r="M14" s="6">
        <v>4</v>
      </c>
      <c r="N14" s="6">
        <v>4</v>
      </c>
      <c r="O14" s="5" t="s">
        <v>133</v>
      </c>
      <c r="P14" s="5" t="s">
        <v>134</v>
      </c>
      <c r="Q14" s="5" t="s">
        <v>54</v>
      </c>
      <c r="R14" s="7"/>
      <c r="S14" s="5" t="s">
        <v>135</v>
      </c>
      <c r="T14" s="5" t="s">
        <v>9</v>
      </c>
      <c r="U14" s="8"/>
      <c r="V14" s="9"/>
      <c r="W14" s="9"/>
      <c r="X14" s="9"/>
      <c r="Y14" s="9"/>
      <c r="Z14" s="9"/>
      <c r="AA14" s="9"/>
    </row>
    <row r="15" spans="1:27" ht="15" customHeight="1" thickBot="1" x14ac:dyDescent="0.45">
      <c r="A15" s="10">
        <v>45749.691562499997</v>
      </c>
      <c r="B15" s="11" t="s">
        <v>136</v>
      </c>
      <c r="C15" s="11" t="s">
        <v>137</v>
      </c>
      <c r="D15" s="11" t="s">
        <v>138</v>
      </c>
      <c r="E15" s="11" t="s">
        <v>139</v>
      </c>
      <c r="F15" s="11" t="s">
        <v>50</v>
      </c>
      <c r="G15" s="11" t="s">
        <v>51</v>
      </c>
      <c r="H15" s="12">
        <v>5</v>
      </c>
      <c r="I15" s="12">
        <v>5</v>
      </c>
      <c r="J15" s="12">
        <v>5</v>
      </c>
      <c r="K15" s="12">
        <v>5</v>
      </c>
      <c r="L15" s="12">
        <v>5</v>
      </c>
      <c r="M15" s="12">
        <v>5</v>
      </c>
      <c r="N15" s="12">
        <v>5</v>
      </c>
      <c r="O15" s="11" t="s">
        <v>140</v>
      </c>
      <c r="P15" s="11" t="s">
        <v>141</v>
      </c>
      <c r="Q15" s="11" t="s">
        <v>54</v>
      </c>
      <c r="R15" s="13"/>
      <c r="S15" s="13"/>
      <c r="T15" s="11" t="s">
        <v>8</v>
      </c>
      <c r="U15" s="15"/>
      <c r="V15" s="9"/>
      <c r="W15" s="9"/>
      <c r="X15" s="9"/>
      <c r="Y15" s="9"/>
      <c r="Z15" s="9"/>
      <c r="AA15" s="9"/>
    </row>
    <row r="16" spans="1:27" ht="15" customHeight="1" thickBot="1" x14ac:dyDescent="0.45">
      <c r="A16" s="4">
        <v>45749.691620370373</v>
      </c>
      <c r="B16" s="5" t="s">
        <v>142</v>
      </c>
      <c r="C16" s="5" t="s">
        <v>143</v>
      </c>
      <c r="D16" s="5" t="s">
        <v>144</v>
      </c>
      <c r="E16" s="5" t="s">
        <v>145</v>
      </c>
      <c r="F16" s="5" t="s">
        <v>146</v>
      </c>
      <c r="G16" s="5" t="s">
        <v>51</v>
      </c>
      <c r="H16" s="6">
        <v>5</v>
      </c>
      <c r="I16" s="6">
        <v>4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5" t="s">
        <v>147</v>
      </c>
      <c r="P16" s="5" t="s">
        <v>148</v>
      </c>
      <c r="Q16" s="5" t="s">
        <v>70</v>
      </c>
      <c r="R16" s="7"/>
      <c r="S16" s="5" t="s">
        <v>149</v>
      </c>
      <c r="T16" s="5" t="s">
        <v>8</v>
      </c>
      <c r="U16" s="16" t="s">
        <v>150</v>
      </c>
      <c r="V16" s="9"/>
      <c r="W16" s="9"/>
      <c r="X16" s="9"/>
      <c r="Y16" s="9"/>
      <c r="Z16" s="9"/>
      <c r="AA16" s="9"/>
    </row>
    <row r="17" spans="1:27" ht="15" customHeight="1" thickBot="1" x14ac:dyDescent="0.45">
      <c r="A17" s="10">
        <v>45749.691747685189</v>
      </c>
      <c r="B17" s="11" t="s">
        <v>151</v>
      </c>
      <c r="C17" s="11" t="s">
        <v>152</v>
      </c>
      <c r="D17" s="11" t="s">
        <v>153</v>
      </c>
      <c r="E17" s="11" t="s">
        <v>154</v>
      </c>
      <c r="F17" s="11" t="s">
        <v>155</v>
      </c>
      <c r="G17" s="11" t="s">
        <v>51</v>
      </c>
      <c r="H17" s="12">
        <v>5</v>
      </c>
      <c r="I17" s="12">
        <v>5</v>
      </c>
      <c r="J17" s="12">
        <v>5</v>
      </c>
      <c r="K17" s="12">
        <v>5</v>
      </c>
      <c r="L17" s="12">
        <v>5</v>
      </c>
      <c r="M17" s="12">
        <v>5</v>
      </c>
      <c r="N17" s="12">
        <v>5</v>
      </c>
      <c r="O17" s="11" t="s">
        <v>156</v>
      </c>
      <c r="P17" s="11" t="s">
        <v>157</v>
      </c>
      <c r="Q17" s="11" t="s">
        <v>54</v>
      </c>
      <c r="R17" s="13"/>
      <c r="S17" s="11" t="s">
        <v>158</v>
      </c>
      <c r="T17" s="11" t="s">
        <v>13</v>
      </c>
      <c r="U17" s="15"/>
      <c r="V17" s="9"/>
      <c r="W17" s="9"/>
      <c r="X17" s="9"/>
      <c r="Y17" s="9"/>
      <c r="Z17" s="9"/>
      <c r="AA17" s="9"/>
    </row>
    <row r="18" spans="1:27" ht="15" customHeight="1" thickBot="1" x14ac:dyDescent="0.45">
      <c r="A18" s="4">
        <v>45749.69190972222</v>
      </c>
      <c r="B18" s="5" t="s">
        <v>159</v>
      </c>
      <c r="C18" s="5" t="s">
        <v>160</v>
      </c>
      <c r="D18" s="5" t="s">
        <v>161</v>
      </c>
      <c r="E18" s="5" t="s">
        <v>162</v>
      </c>
      <c r="F18" s="5" t="s">
        <v>163</v>
      </c>
      <c r="G18" s="5" t="s">
        <v>51</v>
      </c>
      <c r="H18" s="6">
        <v>5</v>
      </c>
      <c r="I18" s="6">
        <v>5</v>
      </c>
      <c r="J18" s="6">
        <v>5</v>
      </c>
      <c r="K18" s="6">
        <v>5</v>
      </c>
      <c r="L18" s="6">
        <v>5</v>
      </c>
      <c r="M18" s="6">
        <v>5</v>
      </c>
      <c r="N18" s="6">
        <v>5</v>
      </c>
      <c r="O18" s="5" t="s">
        <v>164</v>
      </c>
      <c r="P18" s="5" t="s">
        <v>165</v>
      </c>
      <c r="Q18" s="5" t="s">
        <v>54</v>
      </c>
      <c r="R18" s="7"/>
      <c r="S18" s="7"/>
      <c r="T18" s="5" t="s">
        <v>100</v>
      </c>
      <c r="U18" s="8"/>
      <c r="V18" s="9"/>
      <c r="W18" s="9"/>
      <c r="X18" s="9"/>
      <c r="Y18" s="9"/>
      <c r="Z18" s="9"/>
      <c r="AA18" s="9"/>
    </row>
    <row r="19" spans="1:27" ht="15" customHeight="1" thickBot="1" x14ac:dyDescent="0.45">
      <c r="A19" s="10">
        <v>45749.692743055559</v>
      </c>
      <c r="B19" s="11" t="s">
        <v>166</v>
      </c>
      <c r="C19" s="11" t="s">
        <v>167</v>
      </c>
      <c r="D19" s="11" t="s">
        <v>168</v>
      </c>
      <c r="E19" s="11" t="s">
        <v>169</v>
      </c>
      <c r="F19" s="11" t="s">
        <v>170</v>
      </c>
      <c r="G19" s="11" t="s">
        <v>51</v>
      </c>
      <c r="H19" s="12">
        <v>5</v>
      </c>
      <c r="I19" s="12">
        <v>5</v>
      </c>
      <c r="J19" s="12">
        <v>5</v>
      </c>
      <c r="K19" s="12">
        <v>5</v>
      </c>
      <c r="L19" s="12">
        <v>5</v>
      </c>
      <c r="M19" s="12">
        <v>5</v>
      </c>
      <c r="N19" s="12">
        <v>5</v>
      </c>
      <c r="O19" s="11" t="s">
        <v>171</v>
      </c>
      <c r="P19" s="11" t="s">
        <v>172</v>
      </c>
      <c r="Q19" s="11" t="s">
        <v>70</v>
      </c>
      <c r="R19" s="13"/>
      <c r="S19" s="11" t="s">
        <v>2</v>
      </c>
      <c r="T19" s="11" t="s">
        <v>9</v>
      </c>
      <c r="U19" s="14" t="s">
        <v>173</v>
      </c>
      <c r="V19" s="9"/>
      <c r="W19" s="9"/>
      <c r="X19" s="9"/>
      <c r="Y19" s="9"/>
      <c r="Z19" s="9"/>
      <c r="AA19" s="9"/>
    </row>
    <row r="20" spans="1:27" ht="15" customHeight="1" thickBot="1" x14ac:dyDescent="0.45">
      <c r="A20" s="4">
        <v>45749.69321759259</v>
      </c>
      <c r="B20" s="5" t="s">
        <v>174</v>
      </c>
      <c r="C20" s="5" t="s">
        <v>175</v>
      </c>
      <c r="D20" s="5" t="s">
        <v>176</v>
      </c>
      <c r="E20" s="5" t="s">
        <v>177</v>
      </c>
      <c r="F20" s="5" t="s">
        <v>178</v>
      </c>
      <c r="G20" s="5" t="s">
        <v>51</v>
      </c>
      <c r="H20" s="6">
        <v>4</v>
      </c>
      <c r="I20" s="6">
        <v>4</v>
      </c>
      <c r="J20" s="6">
        <v>4</v>
      </c>
      <c r="K20" s="6">
        <v>4</v>
      </c>
      <c r="L20" s="6">
        <v>4</v>
      </c>
      <c r="M20" s="6">
        <v>4</v>
      </c>
      <c r="N20" s="6">
        <v>4</v>
      </c>
      <c r="O20" s="5" t="s">
        <v>179</v>
      </c>
      <c r="P20" s="5" t="s">
        <v>180</v>
      </c>
      <c r="Q20" s="5" t="s">
        <v>54</v>
      </c>
      <c r="R20" s="7"/>
      <c r="S20" s="5" t="s">
        <v>181</v>
      </c>
      <c r="T20" s="5" t="s">
        <v>182</v>
      </c>
      <c r="U20" s="8"/>
      <c r="V20" s="9"/>
      <c r="W20" s="9"/>
      <c r="X20" s="9"/>
      <c r="Y20" s="9"/>
      <c r="Z20" s="9"/>
      <c r="AA20" s="9"/>
    </row>
    <row r="21" spans="1:27" ht="15" customHeight="1" thickBot="1" x14ac:dyDescent="0.45">
      <c r="A21" s="10">
        <v>45749.693923611114</v>
      </c>
      <c r="B21" s="11" t="s">
        <v>183</v>
      </c>
      <c r="C21" s="11" t="s">
        <v>184</v>
      </c>
      <c r="D21" s="11" t="s">
        <v>185</v>
      </c>
      <c r="E21" s="11" t="s">
        <v>186</v>
      </c>
      <c r="F21" s="11" t="s">
        <v>187</v>
      </c>
      <c r="G21" s="11" t="s">
        <v>51</v>
      </c>
      <c r="H21" s="12">
        <v>4</v>
      </c>
      <c r="I21" s="12">
        <v>4</v>
      </c>
      <c r="J21" s="12">
        <v>4</v>
      </c>
      <c r="K21" s="12">
        <v>4</v>
      </c>
      <c r="L21" s="12">
        <v>4</v>
      </c>
      <c r="M21" s="12">
        <v>4</v>
      </c>
      <c r="N21" s="12">
        <v>4</v>
      </c>
      <c r="O21" s="11" t="s">
        <v>188</v>
      </c>
      <c r="P21" s="11" t="s">
        <v>189</v>
      </c>
      <c r="Q21" s="11" t="s">
        <v>54</v>
      </c>
      <c r="R21" s="13"/>
      <c r="S21" s="11" t="s">
        <v>190</v>
      </c>
      <c r="T21" s="11" t="s">
        <v>9</v>
      </c>
      <c r="U21" s="14" t="s">
        <v>191</v>
      </c>
      <c r="V21" s="9"/>
      <c r="W21" s="9"/>
      <c r="X21" s="9"/>
      <c r="Y21" s="9"/>
      <c r="Z21" s="9"/>
      <c r="AA21" s="9"/>
    </row>
    <row r="22" spans="1:27" ht="15" customHeight="1" thickBot="1" x14ac:dyDescent="0.45">
      <c r="A22" s="4">
        <v>45749.694247685184</v>
      </c>
      <c r="B22" s="5" t="s">
        <v>192</v>
      </c>
      <c r="C22" s="5" t="s">
        <v>193</v>
      </c>
      <c r="D22" s="5" t="s">
        <v>194</v>
      </c>
      <c r="E22" s="5" t="s">
        <v>195</v>
      </c>
      <c r="F22" s="5" t="s">
        <v>187</v>
      </c>
      <c r="G22" s="5" t="s">
        <v>51</v>
      </c>
      <c r="H22" s="6">
        <v>4</v>
      </c>
      <c r="I22" s="6">
        <v>3</v>
      </c>
      <c r="J22" s="6">
        <v>3</v>
      </c>
      <c r="K22" s="6">
        <v>4</v>
      </c>
      <c r="L22" s="6">
        <v>4</v>
      </c>
      <c r="M22" s="6">
        <v>4</v>
      </c>
      <c r="N22" s="6">
        <v>4</v>
      </c>
      <c r="O22" s="5" t="s">
        <v>196</v>
      </c>
      <c r="P22" s="5" t="s">
        <v>197</v>
      </c>
      <c r="Q22" s="5" t="s">
        <v>70</v>
      </c>
      <c r="R22" s="7"/>
      <c r="S22" s="5" t="s">
        <v>198</v>
      </c>
      <c r="T22" s="5" t="s">
        <v>7</v>
      </c>
      <c r="U22" s="16" t="s">
        <v>12</v>
      </c>
      <c r="V22" s="9"/>
      <c r="W22" s="9"/>
      <c r="X22" s="9"/>
      <c r="Y22" s="9"/>
      <c r="Z22" s="9"/>
      <c r="AA22" s="9"/>
    </row>
    <row r="23" spans="1:27" ht="15" customHeight="1" thickBot="1" x14ac:dyDescent="0.45">
      <c r="A23" s="10">
        <v>45749.694976851853</v>
      </c>
      <c r="B23" s="11" t="s">
        <v>199</v>
      </c>
      <c r="C23" s="11" t="s">
        <v>200</v>
      </c>
      <c r="D23" s="11" t="s">
        <v>201</v>
      </c>
      <c r="E23" s="11" t="s">
        <v>202</v>
      </c>
      <c r="F23" s="11" t="s">
        <v>203</v>
      </c>
      <c r="G23" s="11" t="s">
        <v>51</v>
      </c>
      <c r="H23" s="12">
        <v>5</v>
      </c>
      <c r="I23" s="12">
        <v>5</v>
      </c>
      <c r="J23" s="12">
        <v>5</v>
      </c>
      <c r="K23" s="12">
        <v>5</v>
      </c>
      <c r="L23" s="12">
        <v>5</v>
      </c>
      <c r="M23" s="12">
        <v>5</v>
      </c>
      <c r="N23" s="12">
        <v>5</v>
      </c>
      <c r="O23" s="11" t="s">
        <v>204</v>
      </c>
      <c r="P23" s="11" t="s">
        <v>205</v>
      </c>
      <c r="Q23" s="11" t="s">
        <v>54</v>
      </c>
      <c r="R23" s="13"/>
      <c r="S23" s="11" t="s">
        <v>2</v>
      </c>
      <c r="T23" s="11" t="s">
        <v>100</v>
      </c>
      <c r="U23" s="15"/>
      <c r="V23" s="9"/>
      <c r="W23" s="9"/>
      <c r="X23" s="9"/>
      <c r="Y23" s="9"/>
      <c r="Z23" s="9"/>
      <c r="AA23" s="9"/>
    </row>
    <row r="24" spans="1:27" ht="15" customHeight="1" thickBot="1" x14ac:dyDescent="0.45">
      <c r="A24" s="4">
        <v>45749.6952662037</v>
      </c>
      <c r="B24" s="5" t="s">
        <v>206</v>
      </c>
      <c r="C24" s="5" t="s">
        <v>207</v>
      </c>
      <c r="D24" s="5" t="s">
        <v>208</v>
      </c>
      <c r="E24" s="5" t="s">
        <v>209</v>
      </c>
      <c r="F24" s="5" t="s">
        <v>210</v>
      </c>
      <c r="G24" s="5" t="s">
        <v>51</v>
      </c>
      <c r="H24" s="6">
        <v>5</v>
      </c>
      <c r="I24" s="6">
        <v>5</v>
      </c>
      <c r="J24" s="6">
        <v>4</v>
      </c>
      <c r="K24" s="6">
        <v>4</v>
      </c>
      <c r="L24" s="6">
        <v>5</v>
      </c>
      <c r="M24" s="6">
        <v>4</v>
      </c>
      <c r="N24" s="6">
        <v>5</v>
      </c>
      <c r="O24" s="5" t="s">
        <v>211</v>
      </c>
      <c r="P24" s="5" t="s">
        <v>212</v>
      </c>
      <c r="Q24" s="5" t="s">
        <v>54</v>
      </c>
      <c r="R24" s="7"/>
      <c r="S24" s="5" t="s">
        <v>213</v>
      </c>
      <c r="T24" s="5" t="s">
        <v>11</v>
      </c>
      <c r="U24" s="8"/>
      <c r="V24" s="9"/>
      <c r="W24" s="9"/>
      <c r="X24" s="9"/>
      <c r="Y24" s="9"/>
      <c r="Z24" s="9"/>
      <c r="AA24" s="9"/>
    </row>
    <row r="25" spans="1:27" ht="15" customHeight="1" thickBot="1" x14ac:dyDescent="0.45">
      <c r="A25" s="10">
        <v>45749.695983796293</v>
      </c>
      <c r="B25" s="11" t="s">
        <v>214</v>
      </c>
      <c r="C25" s="11" t="s">
        <v>215</v>
      </c>
      <c r="D25" s="11" t="s">
        <v>216</v>
      </c>
      <c r="E25" s="11" t="s">
        <v>217</v>
      </c>
      <c r="F25" s="11" t="s">
        <v>146</v>
      </c>
      <c r="G25" s="11" t="s">
        <v>51</v>
      </c>
      <c r="H25" s="12">
        <v>5</v>
      </c>
      <c r="I25" s="12">
        <v>4</v>
      </c>
      <c r="J25" s="12">
        <v>5</v>
      </c>
      <c r="K25" s="12">
        <v>5</v>
      </c>
      <c r="L25" s="12">
        <v>5</v>
      </c>
      <c r="M25" s="12">
        <v>5</v>
      </c>
      <c r="N25" s="12">
        <v>5</v>
      </c>
      <c r="O25" s="11" t="s">
        <v>218</v>
      </c>
      <c r="P25" s="11" t="s">
        <v>219</v>
      </c>
      <c r="Q25" s="11" t="s">
        <v>54</v>
      </c>
      <c r="R25" s="13"/>
      <c r="S25" s="13"/>
      <c r="T25" s="11" t="s">
        <v>7</v>
      </c>
      <c r="U25" s="14" t="s">
        <v>220</v>
      </c>
      <c r="V25" s="9"/>
      <c r="W25" s="9"/>
      <c r="X25" s="9"/>
      <c r="Y25" s="9"/>
      <c r="Z25" s="9"/>
      <c r="AA25" s="9"/>
    </row>
    <row r="26" spans="1:27" ht="15" customHeight="1" thickBot="1" x14ac:dyDescent="0.45">
      <c r="A26" s="4">
        <v>45749.69809027778</v>
      </c>
      <c r="B26" s="5" t="s">
        <v>221</v>
      </c>
      <c r="C26" s="5" t="s">
        <v>222</v>
      </c>
      <c r="D26" s="5" t="s">
        <v>223</v>
      </c>
      <c r="E26" s="5" t="s">
        <v>224</v>
      </c>
      <c r="F26" s="5" t="s">
        <v>225</v>
      </c>
      <c r="G26" s="5" t="s">
        <v>51</v>
      </c>
      <c r="H26" s="6">
        <v>3</v>
      </c>
      <c r="I26" s="6">
        <v>3</v>
      </c>
      <c r="J26" s="6">
        <v>3</v>
      </c>
      <c r="K26" s="6">
        <v>3</v>
      </c>
      <c r="L26" s="6">
        <v>3</v>
      </c>
      <c r="M26" s="6">
        <v>3</v>
      </c>
      <c r="N26" s="6">
        <v>3</v>
      </c>
      <c r="O26" s="5" t="s">
        <v>226</v>
      </c>
      <c r="P26" s="5" t="s">
        <v>227</v>
      </c>
      <c r="Q26" s="5" t="s">
        <v>54</v>
      </c>
      <c r="R26" s="7"/>
      <c r="S26" s="7"/>
      <c r="T26" s="5" t="s">
        <v>100</v>
      </c>
      <c r="U26" s="8"/>
      <c r="V26" s="9"/>
      <c r="W26" s="9"/>
      <c r="X26" s="9"/>
      <c r="Y26" s="9"/>
      <c r="Z26" s="9"/>
      <c r="AA26" s="9"/>
    </row>
    <row r="27" spans="1:27" ht="15" customHeight="1" thickBot="1" x14ac:dyDescent="0.45">
      <c r="A27" s="10">
        <v>45749.699525462966</v>
      </c>
      <c r="B27" s="11" t="s">
        <v>228</v>
      </c>
      <c r="C27" s="11" t="s">
        <v>229</v>
      </c>
      <c r="D27" s="11" t="s">
        <v>230</v>
      </c>
      <c r="E27" s="11" t="s">
        <v>231</v>
      </c>
      <c r="F27" s="11" t="s">
        <v>203</v>
      </c>
      <c r="G27" s="11" t="s">
        <v>40</v>
      </c>
      <c r="H27" s="12">
        <v>4</v>
      </c>
      <c r="I27" s="12">
        <v>4</v>
      </c>
      <c r="J27" s="12">
        <v>4</v>
      </c>
      <c r="K27" s="12">
        <v>4</v>
      </c>
      <c r="L27" s="12">
        <v>5</v>
      </c>
      <c r="M27" s="12">
        <v>4</v>
      </c>
      <c r="N27" s="12">
        <v>4</v>
      </c>
      <c r="O27" s="11" t="s">
        <v>232</v>
      </c>
      <c r="P27" s="11" t="s">
        <v>233</v>
      </c>
      <c r="Q27" s="11" t="s">
        <v>43</v>
      </c>
      <c r="R27" s="13"/>
      <c r="S27" s="13"/>
      <c r="T27" s="11" t="s">
        <v>100</v>
      </c>
      <c r="U27" s="15"/>
      <c r="V27" s="9"/>
      <c r="W27" s="9"/>
      <c r="X27" s="9"/>
      <c r="Y27" s="9"/>
      <c r="Z27" s="9"/>
      <c r="AA27" s="9"/>
    </row>
    <row r="28" spans="1:27" ht="15" customHeight="1" thickBot="1" x14ac:dyDescent="0.45">
      <c r="A28" s="4">
        <v>45749.699652777781</v>
      </c>
      <c r="B28" s="5" t="s">
        <v>234</v>
      </c>
      <c r="C28" s="5" t="s">
        <v>235</v>
      </c>
      <c r="D28" s="5" t="s">
        <v>236</v>
      </c>
      <c r="E28" s="5" t="s">
        <v>237</v>
      </c>
      <c r="F28" s="5" t="s">
        <v>97</v>
      </c>
      <c r="G28" s="5" t="s">
        <v>51</v>
      </c>
      <c r="H28" s="6">
        <v>4</v>
      </c>
      <c r="I28" s="6">
        <v>4</v>
      </c>
      <c r="J28" s="6">
        <v>4</v>
      </c>
      <c r="K28" s="6">
        <v>4</v>
      </c>
      <c r="L28" s="6">
        <v>4</v>
      </c>
      <c r="M28" s="6">
        <v>4</v>
      </c>
      <c r="N28" s="6">
        <v>4</v>
      </c>
      <c r="O28" s="5" t="s">
        <v>238</v>
      </c>
      <c r="P28" s="5" t="s">
        <v>135</v>
      </c>
      <c r="Q28" s="5" t="s">
        <v>70</v>
      </c>
      <c r="R28" s="7"/>
      <c r="S28" s="7"/>
      <c r="T28" s="5" t="s">
        <v>100</v>
      </c>
      <c r="U28" s="8"/>
      <c r="V28" s="9"/>
      <c r="W28" s="9"/>
      <c r="X28" s="9"/>
      <c r="Y28" s="9"/>
      <c r="Z28" s="9"/>
      <c r="AA28" s="9"/>
    </row>
    <row r="29" spans="1:27" ht="15" customHeight="1" thickBot="1" x14ac:dyDescent="0.45">
      <c r="A29" s="10">
        <v>45749.699826388889</v>
      </c>
      <c r="B29" s="11" t="s">
        <v>239</v>
      </c>
      <c r="C29" s="11" t="s">
        <v>240</v>
      </c>
      <c r="D29" s="11" t="s">
        <v>241</v>
      </c>
      <c r="E29" s="11" t="s">
        <v>242</v>
      </c>
      <c r="F29" s="11" t="s">
        <v>146</v>
      </c>
      <c r="G29" s="11" t="s">
        <v>40</v>
      </c>
      <c r="H29" s="12">
        <v>4</v>
      </c>
      <c r="I29" s="12">
        <v>4</v>
      </c>
      <c r="J29" s="12">
        <v>4</v>
      </c>
      <c r="K29" s="12">
        <v>4</v>
      </c>
      <c r="L29" s="12">
        <v>4</v>
      </c>
      <c r="M29" s="12">
        <v>4</v>
      </c>
      <c r="N29" s="12">
        <v>4</v>
      </c>
      <c r="O29" s="11" t="s">
        <v>243</v>
      </c>
      <c r="P29" s="11" t="s">
        <v>107</v>
      </c>
      <c r="Q29" s="11" t="s">
        <v>54</v>
      </c>
      <c r="R29" s="13"/>
      <c r="S29" s="11" t="s">
        <v>244</v>
      </c>
      <c r="T29" s="11" t="s">
        <v>9</v>
      </c>
      <c r="U29" s="15"/>
      <c r="V29" s="9"/>
      <c r="W29" s="9"/>
      <c r="X29" s="9"/>
      <c r="Y29" s="9"/>
      <c r="Z29" s="9"/>
      <c r="AA29" s="9"/>
    </row>
    <row r="30" spans="1:27" ht="15" customHeight="1" thickBot="1" x14ac:dyDescent="0.45">
      <c r="A30" s="4">
        <v>45749.700185185182</v>
      </c>
      <c r="B30" s="5" t="s">
        <v>245</v>
      </c>
      <c r="C30" s="5" t="s">
        <v>246</v>
      </c>
      <c r="D30" s="5" t="s">
        <v>247</v>
      </c>
      <c r="E30" s="5" t="s">
        <v>248</v>
      </c>
      <c r="F30" s="5" t="s">
        <v>90</v>
      </c>
      <c r="G30" s="5" t="s">
        <v>51</v>
      </c>
      <c r="H30" s="6">
        <v>5</v>
      </c>
      <c r="I30" s="6">
        <v>5</v>
      </c>
      <c r="J30" s="6">
        <v>5</v>
      </c>
      <c r="K30" s="6">
        <v>5</v>
      </c>
      <c r="L30" s="6">
        <v>5</v>
      </c>
      <c r="M30" s="6">
        <v>5</v>
      </c>
      <c r="N30" s="6">
        <v>5</v>
      </c>
      <c r="O30" s="5" t="s">
        <v>249</v>
      </c>
      <c r="P30" s="5" t="s">
        <v>250</v>
      </c>
      <c r="Q30" s="5" t="s">
        <v>54</v>
      </c>
      <c r="R30" s="7"/>
      <c r="S30" s="7"/>
      <c r="T30" s="5" t="s">
        <v>100</v>
      </c>
      <c r="U30" s="8"/>
      <c r="V30" s="9"/>
      <c r="W30" s="9"/>
      <c r="X30" s="9"/>
      <c r="Y30" s="9"/>
      <c r="Z30" s="9"/>
      <c r="AA30" s="9"/>
    </row>
    <row r="31" spans="1:27" ht="15" customHeight="1" thickBot="1" x14ac:dyDescent="0.45">
      <c r="A31" s="10">
        <v>45749.701851851853</v>
      </c>
      <c r="B31" s="11" t="s">
        <v>251</v>
      </c>
      <c r="C31" s="11" t="s">
        <v>252</v>
      </c>
      <c r="D31" s="11" t="s">
        <v>253</v>
      </c>
      <c r="E31" s="11" t="s">
        <v>254</v>
      </c>
      <c r="F31" s="11" t="s">
        <v>203</v>
      </c>
      <c r="G31" s="11" t="s">
        <v>40</v>
      </c>
      <c r="H31" s="12">
        <v>5</v>
      </c>
      <c r="I31" s="12">
        <v>5</v>
      </c>
      <c r="J31" s="12">
        <v>5</v>
      </c>
      <c r="K31" s="12">
        <v>5</v>
      </c>
      <c r="L31" s="12">
        <v>5</v>
      </c>
      <c r="M31" s="12">
        <v>5</v>
      </c>
      <c r="N31" s="12">
        <v>5</v>
      </c>
      <c r="O31" s="11" t="s">
        <v>255</v>
      </c>
      <c r="P31" s="11" t="s">
        <v>256</v>
      </c>
      <c r="Q31" s="11" t="s">
        <v>70</v>
      </c>
      <c r="R31" s="13"/>
      <c r="S31" s="13"/>
      <c r="T31" s="11" t="s">
        <v>100</v>
      </c>
      <c r="U31" s="15"/>
      <c r="V31" s="9"/>
      <c r="W31" s="9"/>
      <c r="X31" s="9"/>
      <c r="Y31" s="9"/>
      <c r="Z31" s="9"/>
      <c r="AA31" s="9"/>
    </row>
    <row r="32" spans="1:27" ht="15" customHeight="1" thickBot="1" x14ac:dyDescent="0.45">
      <c r="A32" s="4">
        <v>45749.70349537037</v>
      </c>
      <c r="B32" s="5" t="s">
        <v>257</v>
      </c>
      <c r="C32" s="5" t="s">
        <v>258</v>
      </c>
      <c r="D32" s="5" t="s">
        <v>259</v>
      </c>
      <c r="E32" s="5" t="s">
        <v>260</v>
      </c>
      <c r="F32" s="5" t="s">
        <v>105</v>
      </c>
      <c r="G32" s="5" t="s">
        <v>40</v>
      </c>
      <c r="H32" s="6">
        <v>5</v>
      </c>
      <c r="I32" s="6">
        <v>5</v>
      </c>
      <c r="J32" s="6">
        <v>5</v>
      </c>
      <c r="K32" s="6">
        <v>5</v>
      </c>
      <c r="L32" s="6">
        <v>5</v>
      </c>
      <c r="M32" s="6">
        <v>5</v>
      </c>
      <c r="N32" s="6">
        <v>5</v>
      </c>
      <c r="O32" s="5" t="s">
        <v>238</v>
      </c>
      <c r="P32" s="5" t="s">
        <v>261</v>
      </c>
      <c r="Q32" s="5" t="s">
        <v>262</v>
      </c>
      <c r="R32" s="7"/>
      <c r="S32" s="7"/>
      <c r="T32" s="5" t="s">
        <v>13</v>
      </c>
      <c r="U32" s="8"/>
      <c r="V32" s="9"/>
      <c r="W32" s="9"/>
      <c r="X32" s="9"/>
      <c r="Y32" s="9"/>
      <c r="Z32" s="9"/>
      <c r="AA32" s="9"/>
    </row>
    <row r="33" spans="1:27" ht="15" customHeight="1" thickBot="1" x14ac:dyDescent="0.45">
      <c r="A33" s="10">
        <v>45749.705011574071</v>
      </c>
      <c r="B33" s="11" t="s">
        <v>263</v>
      </c>
      <c r="C33" s="11" t="s">
        <v>264</v>
      </c>
      <c r="D33" s="11" t="s">
        <v>265</v>
      </c>
      <c r="E33" s="11" t="s">
        <v>266</v>
      </c>
      <c r="F33" s="11" t="s">
        <v>178</v>
      </c>
      <c r="G33" s="11" t="s">
        <v>51</v>
      </c>
      <c r="H33" s="12">
        <v>5</v>
      </c>
      <c r="I33" s="12">
        <v>5</v>
      </c>
      <c r="J33" s="12">
        <v>5</v>
      </c>
      <c r="K33" s="12">
        <v>5</v>
      </c>
      <c r="L33" s="12">
        <v>5</v>
      </c>
      <c r="M33" s="12">
        <v>5</v>
      </c>
      <c r="N33" s="12">
        <v>5</v>
      </c>
      <c r="O33" s="11" t="s">
        <v>267</v>
      </c>
      <c r="P33" s="11" t="s">
        <v>268</v>
      </c>
      <c r="Q33" s="11" t="s">
        <v>43</v>
      </c>
      <c r="R33" s="13"/>
      <c r="S33" s="11" t="s">
        <v>269</v>
      </c>
      <c r="T33" s="11" t="s">
        <v>100</v>
      </c>
      <c r="U33" s="15"/>
      <c r="V33" s="9"/>
      <c r="W33" s="9"/>
      <c r="X33" s="9"/>
      <c r="Y33" s="9"/>
      <c r="Z33" s="9"/>
      <c r="AA33" s="9"/>
    </row>
    <row r="34" spans="1:27" ht="15" customHeight="1" thickBot="1" x14ac:dyDescent="0.45">
      <c r="A34" s="4">
        <v>45749.705555555556</v>
      </c>
      <c r="B34" s="5" t="s">
        <v>270</v>
      </c>
      <c r="C34" s="5" t="s">
        <v>271</v>
      </c>
      <c r="D34" s="5" t="s">
        <v>272</v>
      </c>
      <c r="E34" s="5" t="s">
        <v>273</v>
      </c>
      <c r="F34" s="5" t="s">
        <v>146</v>
      </c>
      <c r="G34" s="5" t="s">
        <v>40</v>
      </c>
      <c r="H34" s="6">
        <v>5</v>
      </c>
      <c r="I34" s="6">
        <v>5</v>
      </c>
      <c r="J34" s="6">
        <v>5</v>
      </c>
      <c r="K34" s="6">
        <v>5</v>
      </c>
      <c r="L34" s="6">
        <v>5</v>
      </c>
      <c r="M34" s="6">
        <v>5</v>
      </c>
      <c r="N34" s="6">
        <v>5</v>
      </c>
      <c r="O34" s="5" t="s">
        <v>274</v>
      </c>
      <c r="P34" s="5" t="s">
        <v>268</v>
      </c>
      <c r="Q34" s="5" t="s">
        <v>70</v>
      </c>
      <c r="R34" s="7"/>
      <c r="S34" s="7"/>
      <c r="T34" s="5" t="s">
        <v>7</v>
      </c>
      <c r="U34" s="8"/>
      <c r="V34" s="9"/>
      <c r="W34" s="9"/>
      <c r="X34" s="9"/>
      <c r="Y34" s="9"/>
      <c r="Z34" s="9"/>
      <c r="AA34" s="9"/>
    </row>
    <row r="35" spans="1:27" ht="15" customHeight="1" thickBot="1" x14ac:dyDescent="0.45">
      <c r="A35" s="10">
        <v>45749.705960648149</v>
      </c>
      <c r="B35" s="11" t="s">
        <v>275</v>
      </c>
      <c r="C35" s="11" t="s">
        <v>276</v>
      </c>
      <c r="D35" s="11" t="s">
        <v>277</v>
      </c>
      <c r="E35" s="11" t="s">
        <v>278</v>
      </c>
      <c r="F35" s="11" t="s">
        <v>155</v>
      </c>
      <c r="G35" s="11" t="s">
        <v>40</v>
      </c>
      <c r="H35" s="12">
        <v>5</v>
      </c>
      <c r="I35" s="12">
        <v>5</v>
      </c>
      <c r="J35" s="12">
        <v>5</v>
      </c>
      <c r="K35" s="12">
        <v>5</v>
      </c>
      <c r="L35" s="12">
        <v>5</v>
      </c>
      <c r="M35" s="12">
        <v>5</v>
      </c>
      <c r="N35" s="12">
        <v>5</v>
      </c>
      <c r="O35" s="11" t="s">
        <v>279</v>
      </c>
      <c r="P35" s="11" t="s">
        <v>15</v>
      </c>
      <c r="Q35" s="11" t="s">
        <v>54</v>
      </c>
      <c r="R35" s="13"/>
      <c r="S35" s="13"/>
      <c r="T35" s="11" t="s">
        <v>7</v>
      </c>
      <c r="U35" s="15"/>
      <c r="V35" s="9"/>
      <c r="W35" s="9"/>
      <c r="X35" s="9"/>
      <c r="Y35" s="9"/>
      <c r="Z35" s="9"/>
      <c r="AA35" s="9"/>
    </row>
    <row r="36" spans="1:27" ht="15" customHeight="1" thickBot="1" x14ac:dyDescent="0.45">
      <c r="A36" s="4">
        <v>45749.777453703704</v>
      </c>
      <c r="B36" s="5" t="s">
        <v>280</v>
      </c>
      <c r="C36" s="5" t="s">
        <v>281</v>
      </c>
      <c r="D36" s="5" t="s">
        <v>282</v>
      </c>
      <c r="E36" s="5" t="s">
        <v>283</v>
      </c>
      <c r="F36" s="5" t="s">
        <v>83</v>
      </c>
      <c r="G36" s="5" t="s">
        <v>40</v>
      </c>
      <c r="H36" s="6">
        <v>5</v>
      </c>
      <c r="I36" s="6">
        <v>5</v>
      </c>
      <c r="J36" s="6">
        <v>5</v>
      </c>
      <c r="K36" s="6">
        <v>5</v>
      </c>
      <c r="L36" s="6">
        <v>5</v>
      </c>
      <c r="M36" s="6">
        <v>5</v>
      </c>
      <c r="N36" s="6">
        <v>5</v>
      </c>
      <c r="O36" s="5" t="s">
        <v>284</v>
      </c>
      <c r="P36" s="5" t="s">
        <v>285</v>
      </c>
      <c r="Q36" s="5" t="s">
        <v>43</v>
      </c>
      <c r="R36" s="7"/>
      <c r="S36" s="5" t="s">
        <v>286</v>
      </c>
      <c r="T36" s="5" t="s">
        <v>9</v>
      </c>
      <c r="U36" s="16" t="s">
        <v>287</v>
      </c>
      <c r="V36" s="9"/>
      <c r="W36" s="9"/>
      <c r="X36" s="9"/>
      <c r="Y36" s="9"/>
      <c r="Z36" s="9"/>
      <c r="AA36" s="9"/>
    </row>
    <row r="37" spans="1:27" ht="15" customHeight="1" thickBot="1" x14ac:dyDescent="0.45">
      <c r="A37" s="10">
        <v>45749.86917824074</v>
      </c>
      <c r="B37" s="11" t="s">
        <v>288</v>
      </c>
      <c r="C37" s="11" t="s">
        <v>289</v>
      </c>
      <c r="D37" s="11" t="s">
        <v>290</v>
      </c>
      <c r="E37" s="11" t="s">
        <v>291</v>
      </c>
      <c r="F37" s="11" t="s">
        <v>170</v>
      </c>
      <c r="G37" s="11" t="s">
        <v>40</v>
      </c>
      <c r="H37" s="12">
        <v>5</v>
      </c>
      <c r="I37" s="12">
        <v>5</v>
      </c>
      <c r="J37" s="12">
        <v>5</v>
      </c>
      <c r="K37" s="12">
        <v>5</v>
      </c>
      <c r="L37" s="12">
        <v>5</v>
      </c>
      <c r="M37" s="12">
        <v>5</v>
      </c>
      <c r="N37" s="12">
        <v>5</v>
      </c>
      <c r="O37" s="11" t="s">
        <v>292</v>
      </c>
      <c r="P37" s="11" t="s">
        <v>293</v>
      </c>
      <c r="Q37" s="11" t="s">
        <v>43</v>
      </c>
      <c r="R37" s="13"/>
      <c r="S37" s="13"/>
      <c r="T37" s="11" t="s">
        <v>7</v>
      </c>
      <c r="U37" s="14" t="s">
        <v>294</v>
      </c>
      <c r="V37" s="9"/>
      <c r="W37" s="9"/>
      <c r="X37" s="9"/>
      <c r="Y37" s="9"/>
      <c r="Z37" s="9"/>
      <c r="AA37" s="9"/>
    </row>
    <row r="38" spans="1:27" ht="15" customHeight="1" thickBot="1" x14ac:dyDescent="0.45">
      <c r="A38" s="4">
        <v>45750.610243055555</v>
      </c>
      <c r="B38" s="5" t="s">
        <v>295</v>
      </c>
      <c r="C38" s="5" t="s">
        <v>296</v>
      </c>
      <c r="D38" s="5" t="s">
        <v>297</v>
      </c>
      <c r="E38" s="5" t="s">
        <v>298</v>
      </c>
      <c r="F38" s="5" t="s">
        <v>299</v>
      </c>
      <c r="G38" s="5" t="s">
        <v>51</v>
      </c>
      <c r="H38" s="6">
        <v>5</v>
      </c>
      <c r="I38" s="6">
        <v>5</v>
      </c>
      <c r="J38" s="6">
        <v>5</v>
      </c>
      <c r="K38" s="6">
        <v>5</v>
      </c>
      <c r="L38" s="6">
        <v>5</v>
      </c>
      <c r="M38" s="6">
        <v>5</v>
      </c>
      <c r="N38" s="6">
        <v>5</v>
      </c>
      <c r="O38" s="5" t="s">
        <v>300</v>
      </c>
      <c r="P38" s="5" t="s">
        <v>301</v>
      </c>
      <c r="Q38" s="5" t="s">
        <v>54</v>
      </c>
      <c r="R38" s="7"/>
      <c r="S38" s="7"/>
      <c r="T38" s="5" t="s">
        <v>100</v>
      </c>
      <c r="U38" s="8"/>
      <c r="V38" s="9"/>
      <c r="W38" s="9"/>
      <c r="X38" s="9"/>
      <c r="Y38" s="9"/>
      <c r="Z38" s="9"/>
      <c r="AA38" s="9"/>
    </row>
    <row r="39" spans="1:27" ht="15" customHeight="1" thickBot="1" x14ac:dyDescent="0.45">
      <c r="A39" s="10">
        <v>45750.61278935185</v>
      </c>
      <c r="B39" s="11" t="s">
        <v>302</v>
      </c>
      <c r="C39" s="11" t="s">
        <v>303</v>
      </c>
      <c r="D39" s="11" t="s">
        <v>304</v>
      </c>
      <c r="E39" s="11" t="s">
        <v>305</v>
      </c>
      <c r="F39" s="11" t="s">
        <v>299</v>
      </c>
      <c r="G39" s="11" t="s">
        <v>40</v>
      </c>
      <c r="H39" s="12">
        <v>4</v>
      </c>
      <c r="I39" s="12">
        <v>4</v>
      </c>
      <c r="J39" s="12">
        <v>4</v>
      </c>
      <c r="K39" s="12">
        <v>4</v>
      </c>
      <c r="L39" s="12">
        <v>4</v>
      </c>
      <c r="M39" s="12">
        <v>4</v>
      </c>
      <c r="N39" s="12">
        <v>4</v>
      </c>
      <c r="O39" s="11" t="s">
        <v>306</v>
      </c>
      <c r="P39" s="11" t="s">
        <v>307</v>
      </c>
      <c r="Q39" s="11" t="s">
        <v>54</v>
      </c>
      <c r="R39" s="13"/>
      <c r="S39" s="13"/>
      <c r="T39" s="11" t="s">
        <v>8</v>
      </c>
      <c r="U39" s="15"/>
      <c r="V39" s="9"/>
      <c r="W39" s="9"/>
      <c r="X39" s="9"/>
      <c r="Y39" s="9"/>
      <c r="Z39" s="9"/>
      <c r="AA39" s="9"/>
    </row>
    <row r="40" spans="1:27" ht="15" customHeight="1" thickBot="1" x14ac:dyDescent="0.45">
      <c r="A40" s="4">
        <v>45750.690381944441</v>
      </c>
      <c r="B40" s="5" t="s">
        <v>308</v>
      </c>
      <c r="C40" s="5" t="s">
        <v>309</v>
      </c>
      <c r="D40" s="5" t="s">
        <v>310</v>
      </c>
      <c r="E40" s="5" t="s">
        <v>311</v>
      </c>
      <c r="F40" s="5" t="s">
        <v>312</v>
      </c>
      <c r="G40" s="5" t="s">
        <v>40</v>
      </c>
      <c r="H40" s="6">
        <v>4</v>
      </c>
      <c r="I40" s="6">
        <v>3</v>
      </c>
      <c r="J40" s="6">
        <v>4</v>
      </c>
      <c r="K40" s="6">
        <v>4</v>
      </c>
      <c r="L40" s="6">
        <v>4</v>
      </c>
      <c r="M40" s="6">
        <v>4</v>
      </c>
      <c r="N40" s="6">
        <v>4</v>
      </c>
      <c r="O40" s="5" t="s">
        <v>256</v>
      </c>
      <c r="P40" s="5" t="s">
        <v>256</v>
      </c>
      <c r="Q40" s="5" t="s">
        <v>43</v>
      </c>
      <c r="R40" s="7"/>
      <c r="S40" s="7"/>
      <c r="T40" s="5" t="s">
        <v>100</v>
      </c>
      <c r="U40" s="8"/>
      <c r="V40" s="9"/>
      <c r="W40" s="9"/>
      <c r="X40" s="9"/>
      <c r="Y40" s="9"/>
      <c r="Z40" s="9"/>
      <c r="AA40" s="9"/>
    </row>
    <row r="41" spans="1:27" ht="15" customHeight="1" thickBot="1" x14ac:dyDescent="0.45">
      <c r="A41" s="10">
        <v>45750.690636574072</v>
      </c>
      <c r="B41" s="11" t="s">
        <v>313</v>
      </c>
      <c r="C41" s="11" t="s">
        <v>314</v>
      </c>
      <c r="D41" s="11" t="s">
        <v>315</v>
      </c>
      <c r="E41" s="11" t="s">
        <v>316</v>
      </c>
      <c r="F41" s="11" t="s">
        <v>317</v>
      </c>
      <c r="G41" s="11" t="s">
        <v>40</v>
      </c>
      <c r="H41" s="12">
        <v>4</v>
      </c>
      <c r="I41" s="12">
        <v>4</v>
      </c>
      <c r="J41" s="12">
        <v>4</v>
      </c>
      <c r="K41" s="12">
        <v>4</v>
      </c>
      <c r="L41" s="12">
        <v>4</v>
      </c>
      <c r="M41" s="12">
        <v>4</v>
      </c>
      <c r="N41" s="12">
        <v>4</v>
      </c>
      <c r="O41" s="11" t="s">
        <v>318</v>
      </c>
      <c r="P41" s="11" t="s">
        <v>319</v>
      </c>
      <c r="Q41" s="11" t="s">
        <v>54</v>
      </c>
      <c r="R41" s="13"/>
      <c r="S41" s="13"/>
      <c r="T41" s="11" t="s">
        <v>9</v>
      </c>
      <c r="U41" s="15"/>
      <c r="V41" s="9"/>
      <c r="W41" s="9"/>
      <c r="X41" s="9"/>
      <c r="Y41" s="9"/>
      <c r="Z41" s="9"/>
      <c r="AA41" s="9"/>
    </row>
    <row r="42" spans="1:27" ht="15" customHeight="1" thickBot="1" x14ac:dyDescent="0.45">
      <c r="A42" s="4">
        <v>45750.691921296297</v>
      </c>
      <c r="B42" s="5" t="s">
        <v>320</v>
      </c>
      <c r="C42" s="5" t="s">
        <v>321</v>
      </c>
      <c r="D42" s="5" t="s">
        <v>322</v>
      </c>
      <c r="E42" s="5" t="s">
        <v>323</v>
      </c>
      <c r="F42" s="5" t="s">
        <v>324</v>
      </c>
      <c r="G42" s="5" t="s">
        <v>40</v>
      </c>
      <c r="H42" s="6">
        <v>5</v>
      </c>
      <c r="I42" s="6">
        <v>5</v>
      </c>
      <c r="J42" s="6">
        <v>5</v>
      </c>
      <c r="K42" s="6">
        <v>5</v>
      </c>
      <c r="L42" s="6">
        <v>4</v>
      </c>
      <c r="M42" s="6">
        <v>4</v>
      </c>
      <c r="N42" s="6">
        <v>5</v>
      </c>
      <c r="O42" s="5" t="s">
        <v>325</v>
      </c>
      <c r="P42" s="5" t="s">
        <v>326</v>
      </c>
      <c r="Q42" s="5" t="s">
        <v>43</v>
      </c>
      <c r="R42" s="7"/>
      <c r="S42" s="7"/>
      <c r="T42" s="5" t="s">
        <v>100</v>
      </c>
      <c r="U42" s="16" t="s">
        <v>327</v>
      </c>
      <c r="V42" s="9"/>
      <c r="W42" s="9"/>
      <c r="X42" s="9"/>
      <c r="Y42" s="9"/>
      <c r="Z42" s="9"/>
      <c r="AA42" s="9"/>
    </row>
    <row r="43" spans="1:27" ht="15" customHeight="1" thickBot="1" x14ac:dyDescent="0.45">
      <c r="A43" s="10">
        <v>45750.692256944443</v>
      </c>
      <c r="B43" s="11" t="s">
        <v>328</v>
      </c>
      <c r="C43" s="11" t="s">
        <v>329</v>
      </c>
      <c r="D43" s="11" t="s">
        <v>330</v>
      </c>
      <c r="E43" s="11" t="s">
        <v>331</v>
      </c>
      <c r="F43" s="11" t="s">
        <v>324</v>
      </c>
      <c r="G43" s="11" t="s">
        <v>40</v>
      </c>
      <c r="H43" s="12">
        <v>5</v>
      </c>
      <c r="I43" s="12">
        <v>4</v>
      </c>
      <c r="J43" s="12">
        <v>5</v>
      </c>
      <c r="K43" s="12">
        <v>5</v>
      </c>
      <c r="L43" s="12">
        <v>5</v>
      </c>
      <c r="M43" s="12">
        <v>5</v>
      </c>
      <c r="N43" s="12">
        <v>5</v>
      </c>
      <c r="O43" s="11" t="s">
        <v>332</v>
      </c>
      <c r="P43" s="11" t="s">
        <v>333</v>
      </c>
      <c r="Q43" s="11" t="s">
        <v>43</v>
      </c>
      <c r="R43" s="13"/>
      <c r="S43" s="13"/>
      <c r="T43" s="11" t="s">
        <v>8</v>
      </c>
      <c r="U43" s="15"/>
      <c r="V43" s="9"/>
      <c r="W43" s="9"/>
      <c r="X43" s="9"/>
      <c r="Y43" s="9"/>
      <c r="Z43" s="9"/>
      <c r="AA43" s="9"/>
    </row>
    <row r="44" spans="1:27" ht="15" customHeight="1" thickBot="1" x14ac:dyDescent="0.45">
      <c r="A44" s="4">
        <v>45750.692557870374</v>
      </c>
      <c r="B44" s="5" t="s">
        <v>334</v>
      </c>
      <c r="C44" s="5" t="s">
        <v>335</v>
      </c>
      <c r="D44" s="5" t="s">
        <v>336</v>
      </c>
      <c r="E44" s="5" t="s">
        <v>337</v>
      </c>
      <c r="F44" s="5" t="s">
        <v>338</v>
      </c>
      <c r="G44" s="5" t="s">
        <v>51</v>
      </c>
      <c r="H44" s="6">
        <v>4</v>
      </c>
      <c r="I44" s="6">
        <v>4</v>
      </c>
      <c r="J44" s="6">
        <v>4</v>
      </c>
      <c r="K44" s="6">
        <v>4</v>
      </c>
      <c r="L44" s="6">
        <v>4</v>
      </c>
      <c r="M44" s="6">
        <v>4</v>
      </c>
      <c r="N44" s="6">
        <v>4</v>
      </c>
      <c r="O44" s="5" t="s">
        <v>339</v>
      </c>
      <c r="P44" s="5" t="s">
        <v>227</v>
      </c>
      <c r="Q44" s="5" t="s">
        <v>70</v>
      </c>
      <c r="R44" s="7"/>
      <c r="S44" s="7"/>
      <c r="T44" s="5" t="s">
        <v>7</v>
      </c>
      <c r="U44" s="8"/>
      <c r="V44" s="9"/>
      <c r="W44" s="9"/>
      <c r="X44" s="9"/>
      <c r="Y44" s="9"/>
      <c r="Z44" s="9"/>
      <c r="AA44" s="9"/>
    </row>
    <row r="45" spans="1:27" ht="15" customHeight="1" thickBot="1" x14ac:dyDescent="0.45">
      <c r="A45" s="10">
        <v>45750.692662037036</v>
      </c>
      <c r="B45" s="11" t="s">
        <v>340</v>
      </c>
      <c r="C45" s="11" t="s">
        <v>341</v>
      </c>
      <c r="D45" s="11" t="s">
        <v>342</v>
      </c>
      <c r="E45" s="11" t="s">
        <v>343</v>
      </c>
      <c r="F45" s="11" t="s">
        <v>344</v>
      </c>
      <c r="G45" s="11" t="s">
        <v>51</v>
      </c>
      <c r="H45" s="12">
        <v>3</v>
      </c>
      <c r="I45" s="12">
        <v>3</v>
      </c>
      <c r="J45" s="12">
        <v>3</v>
      </c>
      <c r="K45" s="12">
        <v>3</v>
      </c>
      <c r="L45" s="12">
        <v>3</v>
      </c>
      <c r="M45" s="12">
        <v>3</v>
      </c>
      <c r="N45" s="12">
        <v>3</v>
      </c>
      <c r="O45" s="11" t="s">
        <v>345</v>
      </c>
      <c r="P45" s="11" t="s">
        <v>346</v>
      </c>
      <c r="Q45" s="11" t="s">
        <v>54</v>
      </c>
      <c r="R45" s="13"/>
      <c r="S45" s="11" t="s">
        <v>14</v>
      </c>
      <c r="T45" s="11" t="s">
        <v>7</v>
      </c>
      <c r="U45" s="14" t="s">
        <v>12</v>
      </c>
      <c r="V45" s="9"/>
      <c r="W45" s="9"/>
      <c r="X45" s="9"/>
      <c r="Y45" s="9"/>
      <c r="Z45" s="9"/>
      <c r="AA45" s="9"/>
    </row>
    <row r="46" spans="1:27" ht="15" customHeight="1" thickBot="1" x14ac:dyDescent="0.45">
      <c r="A46" s="4">
        <v>45750.693113425928</v>
      </c>
      <c r="B46" s="5" t="s">
        <v>347</v>
      </c>
      <c r="C46" s="5" t="s">
        <v>348</v>
      </c>
      <c r="D46" s="5" t="s">
        <v>349</v>
      </c>
      <c r="E46" s="5" t="s">
        <v>350</v>
      </c>
      <c r="F46" s="5" t="s">
        <v>351</v>
      </c>
      <c r="G46" s="5" t="s">
        <v>40</v>
      </c>
      <c r="H46" s="6">
        <v>5</v>
      </c>
      <c r="I46" s="6">
        <v>5</v>
      </c>
      <c r="J46" s="6">
        <v>5</v>
      </c>
      <c r="K46" s="6">
        <v>5</v>
      </c>
      <c r="L46" s="6">
        <v>5</v>
      </c>
      <c r="M46" s="6">
        <v>5</v>
      </c>
      <c r="N46" s="6">
        <v>5</v>
      </c>
      <c r="O46" s="5" t="s">
        <v>352</v>
      </c>
      <c r="P46" s="5" t="s">
        <v>353</v>
      </c>
      <c r="Q46" s="5" t="s">
        <v>43</v>
      </c>
      <c r="R46" s="7"/>
      <c r="S46" s="7"/>
      <c r="T46" s="5" t="s">
        <v>8</v>
      </c>
      <c r="U46" s="8"/>
      <c r="V46" s="9"/>
      <c r="W46" s="9"/>
      <c r="X46" s="9"/>
      <c r="Y46" s="9"/>
      <c r="Z46" s="9"/>
      <c r="AA46" s="9"/>
    </row>
    <row r="47" spans="1:27" ht="15" customHeight="1" thickBot="1" x14ac:dyDescent="0.45">
      <c r="A47" s="10">
        <v>45750.694293981483</v>
      </c>
      <c r="B47" s="11" t="s">
        <v>354</v>
      </c>
      <c r="C47" s="11" t="s">
        <v>355</v>
      </c>
      <c r="D47" s="11" t="s">
        <v>356</v>
      </c>
      <c r="E47" s="11" t="s">
        <v>357</v>
      </c>
      <c r="F47" s="11" t="s">
        <v>358</v>
      </c>
      <c r="G47" s="11" t="s">
        <v>40</v>
      </c>
      <c r="H47" s="12">
        <v>4</v>
      </c>
      <c r="I47" s="12">
        <v>4</v>
      </c>
      <c r="J47" s="12">
        <v>5</v>
      </c>
      <c r="K47" s="12">
        <v>5</v>
      </c>
      <c r="L47" s="12">
        <v>5</v>
      </c>
      <c r="M47" s="12">
        <v>5</v>
      </c>
      <c r="N47" s="12">
        <v>5</v>
      </c>
      <c r="O47" s="11" t="s">
        <v>359</v>
      </c>
      <c r="P47" s="11" t="s">
        <v>360</v>
      </c>
      <c r="Q47" s="11" t="s">
        <v>43</v>
      </c>
      <c r="R47" s="13"/>
      <c r="S47" s="11" t="s">
        <v>135</v>
      </c>
      <c r="T47" s="11" t="s">
        <v>8</v>
      </c>
      <c r="U47" s="14" t="s">
        <v>12</v>
      </c>
      <c r="V47" s="9"/>
      <c r="W47" s="9"/>
      <c r="X47" s="9"/>
      <c r="Y47" s="9"/>
      <c r="Z47" s="9"/>
      <c r="AA47" s="9"/>
    </row>
    <row r="48" spans="1:27" ht="15" customHeight="1" thickBot="1" x14ac:dyDescent="0.45">
      <c r="A48" s="4">
        <v>45750.695254629631</v>
      </c>
      <c r="B48" s="5" t="s">
        <v>361</v>
      </c>
      <c r="C48" s="5" t="s">
        <v>362</v>
      </c>
      <c r="D48" s="5" t="s">
        <v>363</v>
      </c>
      <c r="E48" s="5" t="s">
        <v>364</v>
      </c>
      <c r="F48" s="5" t="s">
        <v>365</v>
      </c>
      <c r="G48" s="5" t="s">
        <v>40</v>
      </c>
      <c r="H48" s="6">
        <v>4</v>
      </c>
      <c r="I48" s="6">
        <v>4</v>
      </c>
      <c r="J48" s="6">
        <v>4</v>
      </c>
      <c r="K48" s="6">
        <v>4</v>
      </c>
      <c r="L48" s="6">
        <v>4</v>
      </c>
      <c r="M48" s="6">
        <v>4</v>
      </c>
      <c r="N48" s="6">
        <v>4</v>
      </c>
      <c r="O48" s="5" t="s">
        <v>366</v>
      </c>
      <c r="P48" s="5" t="s">
        <v>367</v>
      </c>
      <c r="Q48" s="5" t="s">
        <v>70</v>
      </c>
      <c r="R48" s="7"/>
      <c r="S48" s="5" t="s">
        <v>368</v>
      </c>
      <c r="T48" s="5" t="s">
        <v>100</v>
      </c>
      <c r="U48" s="16" t="s">
        <v>369</v>
      </c>
      <c r="V48" s="9"/>
      <c r="W48" s="9"/>
      <c r="X48" s="9"/>
      <c r="Y48" s="9"/>
      <c r="Z48" s="9"/>
      <c r="AA48" s="9"/>
    </row>
    <row r="49" spans="1:27" ht="15" customHeight="1" thickBot="1" x14ac:dyDescent="0.45">
      <c r="A49" s="10">
        <v>45750.69568287037</v>
      </c>
      <c r="B49" s="11" t="s">
        <v>370</v>
      </c>
      <c r="C49" s="11" t="s">
        <v>371</v>
      </c>
      <c r="D49" s="11" t="s">
        <v>372</v>
      </c>
      <c r="E49" s="11" t="s">
        <v>373</v>
      </c>
      <c r="F49" s="11" t="s">
        <v>374</v>
      </c>
      <c r="G49" s="11" t="s">
        <v>40</v>
      </c>
      <c r="H49" s="12">
        <v>5</v>
      </c>
      <c r="I49" s="12">
        <v>5</v>
      </c>
      <c r="J49" s="12">
        <v>5</v>
      </c>
      <c r="K49" s="12">
        <v>5</v>
      </c>
      <c r="L49" s="12">
        <v>5</v>
      </c>
      <c r="M49" s="12">
        <v>5</v>
      </c>
      <c r="N49" s="12">
        <v>5</v>
      </c>
      <c r="O49" s="11" t="s">
        <v>375</v>
      </c>
      <c r="P49" s="11" t="s">
        <v>376</v>
      </c>
      <c r="Q49" s="11" t="s">
        <v>54</v>
      </c>
      <c r="R49" s="13"/>
      <c r="S49" s="11" t="s">
        <v>377</v>
      </c>
      <c r="T49" s="11" t="s">
        <v>8</v>
      </c>
      <c r="U49" s="14" t="s">
        <v>16</v>
      </c>
      <c r="V49" s="9"/>
      <c r="W49" s="9"/>
      <c r="X49" s="9"/>
      <c r="Y49" s="9"/>
      <c r="Z49" s="9"/>
      <c r="AA49" s="9"/>
    </row>
    <row r="50" spans="1:27" ht="15" customHeight="1" thickBot="1" x14ac:dyDescent="0.45">
      <c r="A50" s="4">
        <v>45750.695810185185</v>
      </c>
      <c r="B50" s="5" t="s">
        <v>378</v>
      </c>
      <c r="C50" s="5" t="s">
        <v>379</v>
      </c>
      <c r="D50" s="5" t="s">
        <v>380</v>
      </c>
      <c r="E50" s="5" t="s">
        <v>381</v>
      </c>
      <c r="F50" s="5" t="s">
        <v>374</v>
      </c>
      <c r="G50" s="5" t="s">
        <v>40</v>
      </c>
      <c r="H50" s="6">
        <v>3</v>
      </c>
      <c r="I50" s="6">
        <v>3</v>
      </c>
      <c r="J50" s="6">
        <v>3</v>
      </c>
      <c r="K50" s="6">
        <v>3</v>
      </c>
      <c r="L50" s="6">
        <v>3</v>
      </c>
      <c r="M50" s="6">
        <v>3</v>
      </c>
      <c r="N50" s="6">
        <v>3</v>
      </c>
      <c r="O50" s="5" t="s">
        <v>382</v>
      </c>
      <c r="P50" s="5" t="s">
        <v>383</v>
      </c>
      <c r="Q50" s="5" t="s">
        <v>54</v>
      </c>
      <c r="R50" s="7"/>
      <c r="S50" s="5" t="s">
        <v>14</v>
      </c>
      <c r="T50" s="5" t="s">
        <v>8</v>
      </c>
      <c r="U50" s="8"/>
      <c r="V50" s="9"/>
      <c r="W50" s="9"/>
      <c r="X50" s="9"/>
      <c r="Y50" s="9"/>
      <c r="Z50" s="9"/>
      <c r="AA50" s="9"/>
    </row>
    <row r="51" spans="1:27" ht="15" customHeight="1" thickBot="1" x14ac:dyDescent="0.45">
      <c r="A51" s="10">
        <v>45750.696053240739</v>
      </c>
      <c r="B51" s="11" t="s">
        <v>384</v>
      </c>
      <c r="C51" s="11" t="s">
        <v>385</v>
      </c>
      <c r="D51" s="11" t="s">
        <v>386</v>
      </c>
      <c r="E51" s="11" t="s">
        <v>387</v>
      </c>
      <c r="F51" s="11" t="s">
        <v>388</v>
      </c>
      <c r="G51" s="11" t="s">
        <v>40</v>
      </c>
      <c r="H51" s="12">
        <v>4</v>
      </c>
      <c r="I51" s="12">
        <v>3</v>
      </c>
      <c r="J51" s="12">
        <v>4</v>
      </c>
      <c r="K51" s="12">
        <v>4</v>
      </c>
      <c r="L51" s="12">
        <v>5</v>
      </c>
      <c r="M51" s="12">
        <v>5</v>
      </c>
      <c r="N51" s="12">
        <v>4</v>
      </c>
      <c r="O51" s="11" t="s">
        <v>332</v>
      </c>
      <c r="P51" s="11" t="s">
        <v>389</v>
      </c>
      <c r="Q51" s="11" t="s">
        <v>43</v>
      </c>
      <c r="R51" s="13"/>
      <c r="S51" s="13"/>
      <c r="T51" s="11" t="s">
        <v>8</v>
      </c>
      <c r="U51" s="15"/>
      <c r="V51" s="9"/>
      <c r="W51" s="9"/>
      <c r="X51" s="9"/>
      <c r="Y51" s="9"/>
      <c r="Z51" s="9"/>
      <c r="AA51" s="9"/>
    </row>
    <row r="52" spans="1:27" ht="15" customHeight="1" thickBot="1" x14ac:dyDescent="0.45">
      <c r="A52" s="4">
        <v>45750.69809027778</v>
      </c>
      <c r="B52" s="5" t="s">
        <v>390</v>
      </c>
      <c r="C52" s="5" t="s">
        <v>391</v>
      </c>
      <c r="D52" s="5" t="s">
        <v>392</v>
      </c>
      <c r="E52" s="5" t="s">
        <v>393</v>
      </c>
      <c r="F52" s="5" t="s">
        <v>394</v>
      </c>
      <c r="G52" s="5" t="s">
        <v>40</v>
      </c>
      <c r="H52" s="6">
        <v>3</v>
      </c>
      <c r="I52" s="6">
        <v>3</v>
      </c>
      <c r="J52" s="6">
        <v>3</v>
      </c>
      <c r="K52" s="6">
        <v>3</v>
      </c>
      <c r="L52" s="6">
        <v>3</v>
      </c>
      <c r="M52" s="6">
        <v>3</v>
      </c>
      <c r="N52" s="6">
        <v>3</v>
      </c>
      <c r="O52" s="5" t="s">
        <v>395</v>
      </c>
      <c r="P52" s="5" t="s">
        <v>191</v>
      </c>
      <c r="Q52" s="5" t="s">
        <v>54</v>
      </c>
      <c r="R52" s="7"/>
      <c r="S52" s="5" t="s">
        <v>396</v>
      </c>
      <c r="T52" s="5" t="s">
        <v>9</v>
      </c>
      <c r="U52" s="16" t="s">
        <v>397</v>
      </c>
      <c r="V52" s="9"/>
      <c r="W52" s="9"/>
      <c r="X52" s="9"/>
      <c r="Y52" s="9"/>
      <c r="Z52" s="9"/>
      <c r="AA52" s="9"/>
    </row>
    <row r="53" spans="1:27" ht="15" customHeight="1" thickBot="1" x14ac:dyDescent="0.45">
      <c r="A53" s="10">
        <v>45750.709490740737</v>
      </c>
      <c r="B53" s="11" t="s">
        <v>398</v>
      </c>
      <c r="C53" s="11" t="s">
        <v>399</v>
      </c>
      <c r="D53" s="11" t="s">
        <v>400</v>
      </c>
      <c r="E53" s="11" t="s">
        <v>401</v>
      </c>
      <c r="F53" s="11" t="s">
        <v>365</v>
      </c>
      <c r="G53" s="11" t="s">
        <v>51</v>
      </c>
      <c r="H53" s="12">
        <v>5</v>
      </c>
      <c r="I53" s="12">
        <v>3</v>
      </c>
      <c r="J53" s="12">
        <v>5</v>
      </c>
      <c r="K53" s="12">
        <v>5</v>
      </c>
      <c r="L53" s="12">
        <v>5</v>
      </c>
      <c r="M53" s="12">
        <v>5</v>
      </c>
      <c r="N53" s="12">
        <v>3</v>
      </c>
      <c r="O53" s="11" t="s">
        <v>402</v>
      </c>
      <c r="P53" s="11" t="s">
        <v>403</v>
      </c>
      <c r="Q53" s="11" t="s">
        <v>54</v>
      </c>
      <c r="R53" s="13"/>
      <c r="S53" s="11" t="s">
        <v>404</v>
      </c>
      <c r="T53" s="11" t="s">
        <v>8</v>
      </c>
      <c r="U53" s="14" t="s">
        <v>405</v>
      </c>
      <c r="V53" s="9"/>
      <c r="W53" s="9"/>
      <c r="X53" s="9"/>
      <c r="Y53" s="9"/>
      <c r="Z53" s="9"/>
      <c r="AA53" s="9"/>
    </row>
    <row r="54" spans="1:27" ht="15" customHeight="1" thickBot="1" x14ac:dyDescent="0.45">
      <c r="A54" s="4">
        <v>45750.710347222222</v>
      </c>
      <c r="B54" s="5" t="s">
        <v>406</v>
      </c>
      <c r="C54" s="5" t="s">
        <v>407</v>
      </c>
      <c r="D54" s="5" t="s">
        <v>408</v>
      </c>
      <c r="E54" s="5" t="s">
        <v>409</v>
      </c>
      <c r="F54" s="5" t="s">
        <v>344</v>
      </c>
      <c r="G54" s="5" t="s">
        <v>51</v>
      </c>
      <c r="H54" s="6">
        <v>5</v>
      </c>
      <c r="I54" s="6">
        <v>4</v>
      </c>
      <c r="J54" s="6">
        <v>5</v>
      </c>
      <c r="K54" s="6">
        <v>5</v>
      </c>
      <c r="L54" s="6">
        <v>5</v>
      </c>
      <c r="M54" s="6">
        <v>5</v>
      </c>
      <c r="N54" s="6">
        <v>5</v>
      </c>
      <c r="O54" s="5" t="s">
        <v>410</v>
      </c>
      <c r="P54" s="5" t="s">
        <v>411</v>
      </c>
      <c r="Q54" s="5" t="s">
        <v>54</v>
      </c>
      <c r="R54" s="7"/>
      <c r="S54" s="7"/>
      <c r="T54" s="5" t="s">
        <v>9</v>
      </c>
      <c r="U54" s="8"/>
      <c r="V54" s="9"/>
      <c r="W54" s="9"/>
      <c r="X54" s="9"/>
      <c r="Y54" s="9"/>
      <c r="Z54" s="9"/>
      <c r="AA54" s="9"/>
    </row>
    <row r="55" spans="1:27" ht="15" customHeight="1" thickBot="1" x14ac:dyDescent="0.45">
      <c r="A55" s="10">
        <v>45750.710416666669</v>
      </c>
      <c r="B55" s="11" t="s">
        <v>412</v>
      </c>
      <c r="C55" s="11" t="s">
        <v>413</v>
      </c>
      <c r="D55" s="11" t="s">
        <v>414</v>
      </c>
      <c r="E55" s="11" t="s">
        <v>415</v>
      </c>
      <c r="F55" s="11" t="s">
        <v>324</v>
      </c>
      <c r="G55" s="11" t="s">
        <v>51</v>
      </c>
      <c r="H55" s="12">
        <v>5</v>
      </c>
      <c r="I55" s="12">
        <v>5</v>
      </c>
      <c r="J55" s="12">
        <v>5</v>
      </c>
      <c r="K55" s="12">
        <v>5</v>
      </c>
      <c r="L55" s="12">
        <v>5</v>
      </c>
      <c r="M55" s="12">
        <v>5</v>
      </c>
      <c r="N55" s="12">
        <v>5</v>
      </c>
      <c r="O55" s="11" t="s">
        <v>416</v>
      </c>
      <c r="P55" s="11" t="s">
        <v>417</v>
      </c>
      <c r="Q55" s="11" t="s">
        <v>54</v>
      </c>
      <c r="R55" s="13"/>
      <c r="S55" s="13"/>
      <c r="T55" s="11" t="s">
        <v>100</v>
      </c>
      <c r="U55" s="15"/>
      <c r="V55" s="9"/>
      <c r="W55" s="9"/>
      <c r="X55" s="9"/>
      <c r="Y55" s="9"/>
      <c r="Z55" s="9"/>
      <c r="AA55" s="9"/>
    </row>
    <row r="56" spans="1:27" ht="15" customHeight="1" thickBot="1" x14ac:dyDescent="0.45">
      <c r="A56" s="4">
        <v>45750.710601851853</v>
      </c>
      <c r="B56" s="5" t="s">
        <v>418</v>
      </c>
      <c r="C56" s="5" t="s">
        <v>419</v>
      </c>
      <c r="D56" s="5" t="s">
        <v>420</v>
      </c>
      <c r="E56" s="5" t="s">
        <v>421</v>
      </c>
      <c r="F56" s="5" t="s">
        <v>324</v>
      </c>
      <c r="G56" s="5" t="s">
        <v>51</v>
      </c>
      <c r="H56" s="6">
        <v>5</v>
      </c>
      <c r="I56" s="6">
        <v>4</v>
      </c>
      <c r="J56" s="6">
        <v>5</v>
      </c>
      <c r="K56" s="6">
        <v>5</v>
      </c>
      <c r="L56" s="6">
        <v>5</v>
      </c>
      <c r="M56" s="6">
        <v>5</v>
      </c>
      <c r="N56" s="6">
        <v>5</v>
      </c>
      <c r="O56" s="5" t="s">
        <v>422</v>
      </c>
      <c r="P56" s="5" t="s">
        <v>423</v>
      </c>
      <c r="Q56" s="5" t="s">
        <v>54</v>
      </c>
      <c r="R56" s="7"/>
      <c r="S56" s="7"/>
      <c r="T56" s="5" t="s">
        <v>100</v>
      </c>
      <c r="U56" s="8"/>
      <c r="V56" s="9"/>
      <c r="W56" s="9"/>
      <c r="X56" s="9"/>
      <c r="Y56" s="9"/>
      <c r="Z56" s="9"/>
      <c r="AA56" s="9"/>
    </row>
    <row r="57" spans="1:27" ht="15" customHeight="1" thickBot="1" x14ac:dyDescent="0.45">
      <c r="A57" s="10">
        <v>45750.710752314815</v>
      </c>
      <c r="B57" s="11" t="s">
        <v>424</v>
      </c>
      <c r="C57" s="11" t="s">
        <v>425</v>
      </c>
      <c r="D57" s="11" t="s">
        <v>426</v>
      </c>
      <c r="E57" s="11" t="s">
        <v>427</v>
      </c>
      <c r="F57" s="11" t="s">
        <v>428</v>
      </c>
      <c r="G57" s="11" t="s">
        <v>40</v>
      </c>
      <c r="H57" s="12">
        <v>4</v>
      </c>
      <c r="I57" s="12">
        <v>4</v>
      </c>
      <c r="J57" s="12">
        <v>4</v>
      </c>
      <c r="K57" s="12">
        <v>5</v>
      </c>
      <c r="L57" s="12">
        <v>4</v>
      </c>
      <c r="M57" s="12">
        <v>5</v>
      </c>
      <c r="N57" s="12">
        <v>5</v>
      </c>
      <c r="O57" s="11" t="s">
        <v>429</v>
      </c>
      <c r="P57" s="11" t="s">
        <v>430</v>
      </c>
      <c r="Q57" s="11" t="s">
        <v>54</v>
      </c>
      <c r="R57" s="13"/>
      <c r="S57" s="13"/>
      <c r="T57" s="11" t="s">
        <v>9</v>
      </c>
      <c r="U57" s="15"/>
      <c r="V57" s="9"/>
      <c r="W57" s="9"/>
      <c r="X57" s="9"/>
      <c r="Y57" s="9"/>
      <c r="Z57" s="9"/>
      <c r="AA57" s="9"/>
    </row>
    <row r="58" spans="1:27" ht="15" customHeight="1" thickBot="1" x14ac:dyDescent="0.45">
      <c r="A58" s="4">
        <v>45750.711481481485</v>
      </c>
      <c r="B58" s="5" t="s">
        <v>431</v>
      </c>
      <c r="C58" s="5" t="s">
        <v>432</v>
      </c>
      <c r="D58" s="5" t="s">
        <v>433</v>
      </c>
      <c r="E58" s="5" t="s">
        <v>434</v>
      </c>
      <c r="F58" s="5" t="s">
        <v>351</v>
      </c>
      <c r="G58" s="5" t="s">
        <v>51</v>
      </c>
      <c r="H58" s="6">
        <v>5</v>
      </c>
      <c r="I58" s="6">
        <v>5</v>
      </c>
      <c r="J58" s="6">
        <v>5</v>
      </c>
      <c r="K58" s="6">
        <v>5</v>
      </c>
      <c r="L58" s="6">
        <v>5</v>
      </c>
      <c r="M58" s="6">
        <v>5</v>
      </c>
      <c r="N58" s="6">
        <v>5</v>
      </c>
      <c r="O58" s="5" t="s">
        <v>435</v>
      </c>
      <c r="P58" s="5" t="s">
        <v>436</v>
      </c>
      <c r="Q58" s="5" t="s">
        <v>70</v>
      </c>
      <c r="R58" s="7"/>
      <c r="S58" s="5" t="s">
        <v>437</v>
      </c>
      <c r="T58" s="5" t="s">
        <v>7</v>
      </c>
      <c r="U58" s="8"/>
      <c r="V58" s="9"/>
      <c r="W58" s="9"/>
      <c r="X58" s="9"/>
      <c r="Y58" s="9"/>
      <c r="Z58" s="9"/>
      <c r="AA58" s="9"/>
    </row>
    <row r="59" spans="1:27" ht="15" customHeight="1" thickBot="1" x14ac:dyDescent="0.45">
      <c r="A59" s="10">
        <v>45750.711689814816</v>
      </c>
      <c r="B59" s="11" t="s">
        <v>438</v>
      </c>
      <c r="C59" s="11" t="s">
        <v>439</v>
      </c>
      <c r="D59" s="11" t="s">
        <v>440</v>
      </c>
      <c r="E59" s="11" t="s">
        <v>441</v>
      </c>
      <c r="F59" s="11" t="s">
        <v>394</v>
      </c>
      <c r="G59" s="11" t="s">
        <v>51</v>
      </c>
      <c r="H59" s="12">
        <v>5</v>
      </c>
      <c r="I59" s="12">
        <v>5</v>
      </c>
      <c r="J59" s="12">
        <v>5</v>
      </c>
      <c r="K59" s="12">
        <v>5</v>
      </c>
      <c r="L59" s="12">
        <v>5</v>
      </c>
      <c r="M59" s="12">
        <v>5</v>
      </c>
      <c r="N59" s="12">
        <v>5</v>
      </c>
      <c r="O59" s="11" t="s">
        <v>442</v>
      </c>
      <c r="P59" s="11" t="s">
        <v>443</v>
      </c>
      <c r="Q59" s="11" t="s">
        <v>54</v>
      </c>
      <c r="R59" s="13"/>
      <c r="S59" s="13"/>
      <c r="T59" s="11" t="s">
        <v>8</v>
      </c>
      <c r="U59" s="15"/>
      <c r="V59" s="9"/>
      <c r="W59" s="9"/>
      <c r="X59" s="9"/>
      <c r="Y59" s="9"/>
      <c r="Z59" s="9"/>
      <c r="AA59" s="9"/>
    </row>
    <row r="60" spans="1:27" ht="15" customHeight="1" thickBot="1" x14ac:dyDescent="0.45">
      <c r="A60" s="4">
        <v>45750.712175925924</v>
      </c>
      <c r="B60" s="5" t="s">
        <v>444</v>
      </c>
      <c r="C60" s="5" t="s">
        <v>445</v>
      </c>
      <c r="D60" s="5" t="s">
        <v>446</v>
      </c>
      <c r="E60" s="5" t="s">
        <v>447</v>
      </c>
      <c r="F60" s="5" t="s">
        <v>365</v>
      </c>
      <c r="G60" s="5" t="s">
        <v>51</v>
      </c>
      <c r="H60" s="6">
        <v>5</v>
      </c>
      <c r="I60" s="6">
        <v>5</v>
      </c>
      <c r="J60" s="6">
        <v>5</v>
      </c>
      <c r="K60" s="6">
        <v>5</v>
      </c>
      <c r="L60" s="6">
        <v>5</v>
      </c>
      <c r="M60" s="6">
        <v>5</v>
      </c>
      <c r="N60" s="6">
        <v>5</v>
      </c>
      <c r="O60" s="5" t="s">
        <v>448</v>
      </c>
      <c r="P60" s="5" t="s">
        <v>449</v>
      </c>
      <c r="Q60" s="5" t="s">
        <v>54</v>
      </c>
      <c r="R60" s="7"/>
      <c r="S60" s="7"/>
      <c r="T60" s="5" t="s">
        <v>9</v>
      </c>
      <c r="U60" s="8"/>
      <c r="V60" s="9"/>
      <c r="W60" s="9"/>
      <c r="X60" s="9"/>
      <c r="Y60" s="9"/>
      <c r="Z60" s="9"/>
      <c r="AA60" s="9"/>
    </row>
    <row r="61" spans="1:27" ht="15" customHeight="1" thickBot="1" x14ac:dyDescent="0.45">
      <c r="A61" s="10">
        <v>45750.712453703702</v>
      </c>
      <c r="B61" s="11" t="s">
        <v>450</v>
      </c>
      <c r="C61" s="11" t="s">
        <v>451</v>
      </c>
      <c r="D61" s="11" t="s">
        <v>452</v>
      </c>
      <c r="E61" s="11" t="s">
        <v>453</v>
      </c>
      <c r="F61" s="11" t="s">
        <v>454</v>
      </c>
      <c r="G61" s="11" t="s">
        <v>51</v>
      </c>
      <c r="H61" s="12">
        <v>4</v>
      </c>
      <c r="I61" s="12">
        <v>3</v>
      </c>
      <c r="J61" s="12">
        <v>5</v>
      </c>
      <c r="K61" s="12">
        <v>5</v>
      </c>
      <c r="L61" s="12">
        <v>5</v>
      </c>
      <c r="M61" s="12">
        <v>4</v>
      </c>
      <c r="N61" s="12">
        <v>5</v>
      </c>
      <c r="O61" s="11" t="s">
        <v>455</v>
      </c>
      <c r="P61" s="11" t="s">
        <v>456</v>
      </c>
      <c r="Q61" s="11" t="s">
        <v>54</v>
      </c>
      <c r="R61" s="13"/>
      <c r="S61" s="11" t="s">
        <v>457</v>
      </c>
      <c r="T61" s="11" t="s">
        <v>9</v>
      </c>
      <c r="U61" s="15"/>
      <c r="V61" s="9"/>
      <c r="W61" s="9"/>
      <c r="X61" s="9"/>
      <c r="Y61" s="9"/>
      <c r="Z61" s="9"/>
      <c r="AA61" s="9"/>
    </row>
    <row r="62" spans="1:27" ht="15" customHeight="1" thickBot="1" x14ac:dyDescent="0.45">
      <c r="A62" s="4">
        <v>45750.712789351855</v>
      </c>
      <c r="B62" s="5" t="s">
        <v>458</v>
      </c>
      <c r="C62" s="5" t="s">
        <v>459</v>
      </c>
      <c r="D62" s="5" t="s">
        <v>460</v>
      </c>
      <c r="E62" s="5" t="s">
        <v>461</v>
      </c>
      <c r="F62" s="5" t="s">
        <v>351</v>
      </c>
      <c r="G62" s="5" t="s">
        <v>51</v>
      </c>
      <c r="H62" s="6">
        <v>4</v>
      </c>
      <c r="I62" s="6">
        <v>5</v>
      </c>
      <c r="J62" s="6">
        <v>5</v>
      </c>
      <c r="K62" s="6">
        <v>5</v>
      </c>
      <c r="L62" s="6">
        <v>5</v>
      </c>
      <c r="M62" s="6">
        <v>5</v>
      </c>
      <c r="N62" s="6">
        <v>5</v>
      </c>
      <c r="O62" s="5" t="s">
        <v>462</v>
      </c>
      <c r="P62" s="5" t="s">
        <v>463</v>
      </c>
      <c r="Q62" s="5" t="s">
        <v>54</v>
      </c>
      <c r="R62" s="7"/>
      <c r="S62" s="5" t="s">
        <v>220</v>
      </c>
      <c r="T62" s="5" t="s">
        <v>9</v>
      </c>
      <c r="U62" s="16" t="s">
        <v>464</v>
      </c>
      <c r="V62" s="9"/>
      <c r="W62" s="9"/>
      <c r="X62" s="9"/>
      <c r="Y62" s="9"/>
      <c r="Z62" s="9"/>
      <c r="AA62" s="9"/>
    </row>
    <row r="63" spans="1:27" ht="15" customHeight="1" thickBot="1" x14ac:dyDescent="0.45">
      <c r="A63" s="10">
        <v>45750.71292824074</v>
      </c>
      <c r="B63" s="11" t="s">
        <v>465</v>
      </c>
      <c r="C63" s="11" t="s">
        <v>466</v>
      </c>
      <c r="D63" s="11" t="s">
        <v>467</v>
      </c>
      <c r="E63" s="11" t="s">
        <v>468</v>
      </c>
      <c r="F63" s="11" t="s">
        <v>428</v>
      </c>
      <c r="G63" s="11" t="s">
        <v>51</v>
      </c>
      <c r="H63" s="12">
        <v>5</v>
      </c>
      <c r="I63" s="12">
        <v>4</v>
      </c>
      <c r="J63" s="12">
        <v>4</v>
      </c>
      <c r="K63" s="12">
        <v>4</v>
      </c>
      <c r="L63" s="12">
        <v>5</v>
      </c>
      <c r="M63" s="12">
        <v>4</v>
      </c>
      <c r="N63" s="12">
        <v>5</v>
      </c>
      <c r="O63" s="11" t="s">
        <v>469</v>
      </c>
      <c r="P63" s="11" t="s">
        <v>470</v>
      </c>
      <c r="Q63" s="11" t="s">
        <v>54</v>
      </c>
      <c r="R63" s="13"/>
      <c r="S63" s="11" t="s">
        <v>471</v>
      </c>
      <c r="T63" s="11" t="s">
        <v>9</v>
      </c>
      <c r="U63" s="14" t="s">
        <v>472</v>
      </c>
      <c r="V63" s="9"/>
      <c r="W63" s="9"/>
      <c r="X63" s="9"/>
      <c r="Y63" s="9"/>
      <c r="Z63" s="9"/>
      <c r="AA63" s="9"/>
    </row>
    <row r="64" spans="1:27" ht="15" customHeight="1" thickBot="1" x14ac:dyDescent="0.45">
      <c r="A64" s="4">
        <v>45750.713055555556</v>
      </c>
      <c r="B64" s="5" t="s">
        <v>473</v>
      </c>
      <c r="C64" s="5" t="s">
        <v>474</v>
      </c>
      <c r="D64" s="5" t="s">
        <v>475</v>
      </c>
      <c r="E64" s="5" t="s">
        <v>476</v>
      </c>
      <c r="F64" s="5" t="s">
        <v>477</v>
      </c>
      <c r="G64" s="5" t="s">
        <v>51</v>
      </c>
      <c r="H64" s="6">
        <v>5</v>
      </c>
      <c r="I64" s="6">
        <v>4</v>
      </c>
      <c r="J64" s="6">
        <v>5</v>
      </c>
      <c r="K64" s="6">
        <v>5</v>
      </c>
      <c r="L64" s="6">
        <v>4</v>
      </c>
      <c r="M64" s="6">
        <v>5</v>
      </c>
      <c r="N64" s="6">
        <v>5</v>
      </c>
      <c r="O64" s="5" t="s">
        <v>478</v>
      </c>
      <c r="P64" s="5" t="s">
        <v>479</v>
      </c>
      <c r="Q64" s="5" t="s">
        <v>54</v>
      </c>
      <c r="R64" s="7"/>
      <c r="S64" s="7"/>
      <c r="T64" s="5" t="s">
        <v>7</v>
      </c>
      <c r="U64" s="8"/>
      <c r="V64" s="9"/>
      <c r="W64" s="9"/>
      <c r="X64" s="9"/>
      <c r="Y64" s="9"/>
      <c r="Z64" s="9"/>
      <c r="AA64" s="9"/>
    </row>
    <row r="65" spans="1:27" ht="15" customHeight="1" thickBot="1" x14ac:dyDescent="0.45">
      <c r="A65" s="10">
        <v>45750.713078703702</v>
      </c>
      <c r="B65" s="11" t="s">
        <v>480</v>
      </c>
      <c r="C65" s="11" t="s">
        <v>481</v>
      </c>
      <c r="D65" s="11" t="s">
        <v>482</v>
      </c>
      <c r="E65" s="11" t="s">
        <v>483</v>
      </c>
      <c r="F65" s="11" t="s">
        <v>312</v>
      </c>
      <c r="G65" s="11" t="s">
        <v>51</v>
      </c>
      <c r="H65" s="12">
        <v>5</v>
      </c>
      <c r="I65" s="12">
        <v>4</v>
      </c>
      <c r="J65" s="12">
        <v>5</v>
      </c>
      <c r="K65" s="12">
        <v>5</v>
      </c>
      <c r="L65" s="12">
        <v>5</v>
      </c>
      <c r="M65" s="12">
        <v>5</v>
      </c>
      <c r="N65" s="12">
        <v>5</v>
      </c>
      <c r="O65" s="11" t="s">
        <v>484</v>
      </c>
      <c r="P65" s="11" t="s">
        <v>485</v>
      </c>
      <c r="Q65" s="11" t="s">
        <v>54</v>
      </c>
      <c r="R65" s="13"/>
      <c r="S65" s="11" t="s">
        <v>486</v>
      </c>
      <c r="T65" s="11" t="s">
        <v>8</v>
      </c>
      <c r="U65" s="15"/>
      <c r="V65" s="9"/>
      <c r="W65" s="9"/>
      <c r="X65" s="9"/>
      <c r="Y65" s="9"/>
      <c r="Z65" s="9"/>
      <c r="AA65" s="9"/>
    </row>
    <row r="66" spans="1:27" ht="15" customHeight="1" thickBot="1" x14ac:dyDescent="0.45">
      <c r="A66" s="4">
        <v>45750.713275462964</v>
      </c>
      <c r="B66" s="5" t="s">
        <v>487</v>
      </c>
      <c r="C66" s="5" t="s">
        <v>488</v>
      </c>
      <c r="D66" s="5" t="s">
        <v>489</v>
      </c>
      <c r="E66" s="5" t="s">
        <v>490</v>
      </c>
      <c r="F66" s="5" t="s">
        <v>394</v>
      </c>
      <c r="G66" s="5" t="s">
        <v>51</v>
      </c>
      <c r="H66" s="6">
        <v>5</v>
      </c>
      <c r="I66" s="6">
        <v>5</v>
      </c>
      <c r="J66" s="6">
        <v>5</v>
      </c>
      <c r="K66" s="6">
        <v>5</v>
      </c>
      <c r="L66" s="6">
        <v>5</v>
      </c>
      <c r="M66" s="6">
        <v>5</v>
      </c>
      <c r="N66" s="6">
        <v>5</v>
      </c>
      <c r="O66" s="5" t="s">
        <v>491</v>
      </c>
      <c r="P66" s="5" t="s">
        <v>492</v>
      </c>
      <c r="Q66" s="5" t="s">
        <v>54</v>
      </c>
      <c r="R66" s="7"/>
      <c r="S66" s="5" t="s">
        <v>493</v>
      </c>
      <c r="T66" s="5" t="s">
        <v>8</v>
      </c>
      <c r="U66" s="16" t="s">
        <v>494</v>
      </c>
      <c r="V66" s="9"/>
      <c r="W66" s="9"/>
      <c r="X66" s="9"/>
      <c r="Y66" s="9"/>
      <c r="Z66" s="9"/>
      <c r="AA66" s="9"/>
    </row>
    <row r="67" spans="1:27" ht="15" customHeight="1" thickBot="1" x14ac:dyDescent="0.45">
      <c r="A67" s="10">
        <v>45750.713761574072</v>
      </c>
      <c r="B67" s="11" t="s">
        <v>495</v>
      </c>
      <c r="C67" s="11" t="s">
        <v>496</v>
      </c>
      <c r="D67" s="11" t="s">
        <v>497</v>
      </c>
      <c r="E67" s="11" t="s">
        <v>498</v>
      </c>
      <c r="F67" s="11" t="s">
        <v>477</v>
      </c>
      <c r="G67" s="11" t="s">
        <v>51</v>
      </c>
      <c r="H67" s="12">
        <v>4</v>
      </c>
      <c r="I67" s="12">
        <v>4</v>
      </c>
      <c r="J67" s="12">
        <v>4</v>
      </c>
      <c r="K67" s="12">
        <v>4</v>
      </c>
      <c r="L67" s="12">
        <v>4</v>
      </c>
      <c r="M67" s="12">
        <v>4</v>
      </c>
      <c r="N67" s="12">
        <v>5</v>
      </c>
      <c r="O67" s="11" t="s">
        <v>499</v>
      </c>
      <c r="P67" s="11" t="s">
        <v>500</v>
      </c>
      <c r="Q67" s="11" t="s">
        <v>54</v>
      </c>
      <c r="R67" s="13"/>
      <c r="S67" s="13"/>
      <c r="T67" s="11" t="s">
        <v>8</v>
      </c>
      <c r="U67" s="15"/>
      <c r="V67" s="9"/>
      <c r="W67" s="9"/>
      <c r="X67" s="9"/>
      <c r="Y67" s="9"/>
      <c r="Z67" s="9"/>
      <c r="AA67" s="9"/>
    </row>
    <row r="68" spans="1:27" ht="15" customHeight="1" thickBot="1" x14ac:dyDescent="0.45">
      <c r="A68" s="4">
        <v>45750.714201388888</v>
      </c>
      <c r="B68" s="5" t="s">
        <v>501</v>
      </c>
      <c r="C68" s="5" t="s">
        <v>502</v>
      </c>
      <c r="D68" s="5" t="s">
        <v>503</v>
      </c>
      <c r="E68" s="5" t="s">
        <v>504</v>
      </c>
      <c r="F68" s="5" t="s">
        <v>454</v>
      </c>
      <c r="G68" s="5" t="s">
        <v>51</v>
      </c>
      <c r="H68" s="6">
        <v>5</v>
      </c>
      <c r="I68" s="6">
        <v>4</v>
      </c>
      <c r="J68" s="6">
        <v>5</v>
      </c>
      <c r="K68" s="6">
        <v>5</v>
      </c>
      <c r="L68" s="6">
        <v>5</v>
      </c>
      <c r="M68" s="6">
        <v>5</v>
      </c>
      <c r="N68" s="6">
        <v>5</v>
      </c>
      <c r="O68" s="5" t="s">
        <v>505</v>
      </c>
      <c r="P68" s="5" t="s">
        <v>506</v>
      </c>
      <c r="Q68" s="5" t="s">
        <v>54</v>
      </c>
      <c r="R68" s="7"/>
      <c r="S68" s="7"/>
      <c r="T68" s="5" t="s">
        <v>9</v>
      </c>
      <c r="U68" s="8"/>
      <c r="V68" s="9"/>
      <c r="W68" s="9"/>
      <c r="X68" s="9"/>
      <c r="Y68" s="9"/>
      <c r="Z68" s="9"/>
      <c r="AA68" s="9"/>
    </row>
    <row r="69" spans="1:27" ht="15" customHeight="1" thickBot="1" x14ac:dyDescent="0.45">
      <c r="A69" s="17">
        <v>45750.873460648145</v>
      </c>
      <c r="B69" s="18" t="s">
        <v>507</v>
      </c>
      <c r="C69" s="18" t="s">
        <v>508</v>
      </c>
      <c r="D69" s="18" t="s">
        <v>509</v>
      </c>
      <c r="E69" s="18" t="s">
        <v>510</v>
      </c>
      <c r="F69" s="18" t="s">
        <v>511</v>
      </c>
      <c r="G69" s="18" t="s">
        <v>51</v>
      </c>
      <c r="H69" s="19">
        <v>5</v>
      </c>
      <c r="I69" s="19">
        <v>5</v>
      </c>
      <c r="J69" s="19">
        <v>5</v>
      </c>
      <c r="K69" s="19">
        <v>5</v>
      </c>
      <c r="L69" s="19">
        <v>5</v>
      </c>
      <c r="M69" s="19">
        <v>5</v>
      </c>
      <c r="N69" s="19">
        <v>5</v>
      </c>
      <c r="O69" s="18" t="s">
        <v>512</v>
      </c>
      <c r="P69" s="18" t="s">
        <v>15</v>
      </c>
      <c r="Q69" s="18" t="s">
        <v>70</v>
      </c>
      <c r="R69" s="20"/>
      <c r="S69" s="20"/>
      <c r="T69" s="18" t="s">
        <v>9</v>
      </c>
      <c r="U69" s="21"/>
      <c r="V69" s="9"/>
      <c r="W69" s="9"/>
      <c r="X69" s="9"/>
      <c r="Y69" s="9"/>
      <c r="Z69" s="9"/>
      <c r="AA69" s="9"/>
    </row>
    <row r="70" spans="1:27" ht="15" customHeight="1" thickBot="1" x14ac:dyDescent="0.4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thickBot="1" x14ac:dyDescent="0.4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thickBot="1" x14ac:dyDescent="0.4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thickBot="1" x14ac:dyDescent="0.4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thickBot="1" x14ac:dyDescent="0.4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thickBot="1" x14ac:dyDescent="0.4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thickBot="1" x14ac:dyDescent="0.4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thickBot="1" x14ac:dyDescent="0.4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thickBot="1" x14ac:dyDescent="0.4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thickBot="1" x14ac:dyDescent="0.4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thickBot="1" x14ac:dyDescent="0.4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thickBot="1" x14ac:dyDescent="0.4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thickBot="1" x14ac:dyDescent="0.4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thickBot="1" x14ac:dyDescent="0.4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thickBot="1" x14ac:dyDescent="0.4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thickBot="1" x14ac:dyDescent="0.4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thickBot="1" x14ac:dyDescent="0.4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thickBot="1" x14ac:dyDescent="0.4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thickBot="1" x14ac:dyDescent="0.4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thickBot="1" x14ac:dyDescent="0.4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thickBot="1" x14ac:dyDescent="0.4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ht="15" customHeight="1" thickBot="1" x14ac:dyDescent="0.4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ht="15" customHeight="1" thickBot="1" x14ac:dyDescent="0.4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ht="15" customHeight="1" thickBot="1" x14ac:dyDescent="0.4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ht="15" customHeight="1" thickBot="1" x14ac:dyDescent="0.4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ht="15" customHeight="1" thickBot="1" x14ac:dyDescent="0.4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ht="15" customHeight="1" thickBot="1" x14ac:dyDescent="0.4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27" ht="15" customHeight="1" thickBot="1" x14ac:dyDescent="0.4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</row>
    <row r="98" spans="1:27" ht="15" customHeight="1" thickBot="1" x14ac:dyDescent="0.4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</row>
    <row r="99" spans="1:27" ht="15" customHeight="1" thickBot="1" x14ac:dyDescent="0.4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</row>
    <row r="100" spans="1:27" ht="15" customHeight="1" thickBot="1" x14ac:dyDescent="0.4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</row>
    <row r="101" spans="1:27" ht="15" customHeight="1" thickBot="1" x14ac:dyDescent="0.4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</row>
    <row r="102" spans="1:27" ht="15" customHeight="1" thickBot="1" x14ac:dyDescent="0.4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</row>
    <row r="103" spans="1:27" ht="15" customHeight="1" thickBot="1" x14ac:dyDescent="0.4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</row>
    <row r="104" spans="1:27" ht="15" customHeight="1" thickBot="1" x14ac:dyDescent="0.4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</row>
    <row r="105" spans="1:27" ht="15" customHeight="1" thickBot="1" x14ac:dyDescent="0.4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</row>
    <row r="106" spans="1:27" ht="15" customHeight="1" thickBot="1" x14ac:dyDescent="0.4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</row>
    <row r="107" spans="1:27" ht="15" customHeight="1" thickBot="1" x14ac:dyDescent="0.4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</row>
    <row r="108" spans="1:27" ht="15" customHeight="1" thickBot="1" x14ac:dyDescent="0.4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</row>
    <row r="109" spans="1:27" ht="15" customHeight="1" thickBot="1" x14ac:dyDescent="0.4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</row>
    <row r="110" spans="1:27" ht="15" customHeight="1" thickBot="1" x14ac:dyDescent="0.4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</row>
    <row r="111" spans="1:27" ht="15" customHeight="1" thickBot="1" x14ac:dyDescent="0.4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</row>
    <row r="112" spans="1:27" ht="15" customHeight="1" thickBot="1" x14ac:dyDescent="0.4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</row>
    <row r="113" spans="1:27" ht="15" customHeight="1" thickBot="1" x14ac:dyDescent="0.4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</row>
    <row r="114" spans="1:27" ht="15" customHeight="1" thickBot="1" x14ac:dyDescent="0.4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27" ht="15" customHeight="1" thickBot="1" x14ac:dyDescent="0.4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</row>
    <row r="116" spans="1:27" ht="15" customHeight="1" thickBot="1" x14ac:dyDescent="0.4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</row>
    <row r="117" spans="1:27" ht="15" customHeight="1" thickBot="1" x14ac:dyDescent="0.4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</row>
    <row r="118" spans="1:27" ht="15" customHeight="1" thickBot="1" x14ac:dyDescent="0.4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</row>
    <row r="119" spans="1:27" ht="15" customHeight="1" thickBot="1" x14ac:dyDescent="0.4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</row>
    <row r="120" spans="1:27" ht="15" customHeight="1" thickBot="1" x14ac:dyDescent="0.4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</row>
    <row r="121" spans="1:27" ht="15" customHeight="1" thickBot="1" x14ac:dyDescent="0.4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</row>
    <row r="122" spans="1:27" ht="15" customHeight="1" thickBot="1" x14ac:dyDescent="0.4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</row>
    <row r="123" spans="1:27" ht="15" customHeight="1" thickBot="1" x14ac:dyDescent="0.4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</row>
    <row r="124" spans="1:27" ht="15" customHeight="1" thickBot="1" x14ac:dyDescent="0.4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</row>
    <row r="125" spans="1:27" ht="15" customHeight="1" thickBot="1" x14ac:dyDescent="0.4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</row>
    <row r="126" spans="1:27" ht="15" customHeight="1" thickBot="1" x14ac:dyDescent="0.4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</row>
    <row r="127" spans="1:27" ht="15" customHeight="1" thickBot="1" x14ac:dyDescent="0.4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</row>
    <row r="128" spans="1:27" ht="15" customHeight="1" thickBot="1" x14ac:dyDescent="0.4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</row>
    <row r="129" spans="1:27" ht="15" customHeight="1" thickBot="1" x14ac:dyDescent="0.4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</row>
    <row r="130" spans="1:27" ht="15" customHeight="1" thickBot="1" x14ac:dyDescent="0.4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</row>
    <row r="131" spans="1:27" ht="15" customHeight="1" thickBot="1" x14ac:dyDescent="0.4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</row>
    <row r="132" spans="1:27" ht="15" customHeight="1" thickBot="1" x14ac:dyDescent="0.4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</row>
    <row r="133" spans="1:27" ht="15" customHeight="1" thickBot="1" x14ac:dyDescent="0.4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</row>
    <row r="134" spans="1:27" ht="15" customHeight="1" thickBot="1" x14ac:dyDescent="0.4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</row>
    <row r="135" spans="1:27" ht="15" customHeight="1" thickBot="1" x14ac:dyDescent="0.4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</row>
    <row r="136" spans="1:27" ht="15" customHeight="1" thickBot="1" x14ac:dyDescent="0.4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</row>
    <row r="137" spans="1:27" ht="15" customHeight="1" thickBot="1" x14ac:dyDescent="0.4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</row>
    <row r="138" spans="1:27" ht="15" customHeight="1" thickBot="1" x14ac:dyDescent="0.4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</row>
    <row r="139" spans="1:27" ht="15" customHeight="1" thickBot="1" x14ac:dyDescent="0.4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</row>
    <row r="140" spans="1:27" ht="15" customHeight="1" thickBot="1" x14ac:dyDescent="0.4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</row>
    <row r="141" spans="1:27" ht="15" customHeight="1" thickBot="1" x14ac:dyDescent="0.4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</row>
    <row r="142" spans="1:27" ht="15" customHeight="1" thickBot="1" x14ac:dyDescent="0.4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</row>
    <row r="143" spans="1:27" ht="15" customHeight="1" thickBot="1" x14ac:dyDescent="0.4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</row>
    <row r="144" spans="1:27" ht="15" customHeight="1" thickBot="1" x14ac:dyDescent="0.4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</row>
    <row r="145" spans="1:27" ht="15" customHeight="1" thickBot="1" x14ac:dyDescent="0.4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</row>
    <row r="146" spans="1:27" ht="15" customHeight="1" thickBot="1" x14ac:dyDescent="0.4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</row>
    <row r="147" spans="1:27" ht="15" customHeight="1" thickBot="1" x14ac:dyDescent="0.4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</row>
    <row r="148" spans="1:27" ht="15" customHeight="1" thickBot="1" x14ac:dyDescent="0.4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</row>
    <row r="149" spans="1:27" ht="15" customHeight="1" thickBot="1" x14ac:dyDescent="0.4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</row>
    <row r="150" spans="1:27" ht="15" customHeight="1" thickBot="1" x14ac:dyDescent="0.4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</row>
    <row r="151" spans="1:27" ht="15" customHeight="1" thickBot="1" x14ac:dyDescent="0.4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</row>
    <row r="152" spans="1:27" ht="15" customHeight="1" thickBot="1" x14ac:dyDescent="0.4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</row>
    <row r="153" spans="1:27" ht="15" customHeight="1" thickBot="1" x14ac:dyDescent="0.4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</row>
    <row r="154" spans="1:27" ht="15" customHeight="1" thickBot="1" x14ac:dyDescent="0.4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</row>
    <row r="155" spans="1:27" ht="15" customHeight="1" thickBot="1" x14ac:dyDescent="0.4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</row>
    <row r="156" spans="1:27" ht="15" customHeight="1" thickBot="1" x14ac:dyDescent="0.4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</row>
    <row r="157" spans="1:27" ht="15" customHeight="1" thickBot="1" x14ac:dyDescent="0.4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</row>
    <row r="158" spans="1:27" ht="15" customHeight="1" thickBot="1" x14ac:dyDescent="0.4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</row>
    <row r="159" spans="1:27" ht="15" customHeight="1" thickBot="1" x14ac:dyDescent="0.4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</row>
    <row r="160" spans="1:27" ht="15" customHeight="1" thickBot="1" x14ac:dyDescent="0.4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</row>
    <row r="161" spans="1:27" ht="15" customHeight="1" thickBot="1" x14ac:dyDescent="0.4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</row>
    <row r="162" spans="1:27" ht="15" customHeight="1" thickBot="1" x14ac:dyDescent="0.4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</row>
    <row r="163" spans="1:27" ht="15" customHeight="1" thickBot="1" x14ac:dyDescent="0.4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</row>
    <row r="164" spans="1:27" ht="15" customHeight="1" thickBot="1" x14ac:dyDescent="0.4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</row>
    <row r="165" spans="1:27" ht="15" customHeight="1" thickBot="1" x14ac:dyDescent="0.4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</row>
    <row r="166" spans="1:27" ht="15" customHeight="1" thickBot="1" x14ac:dyDescent="0.4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</row>
    <row r="167" spans="1:27" ht="15" customHeight="1" thickBot="1" x14ac:dyDescent="0.4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</row>
    <row r="168" spans="1:27" ht="15" customHeight="1" thickBot="1" x14ac:dyDescent="0.4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</row>
    <row r="169" spans="1:27" ht="15" customHeight="1" thickBot="1" x14ac:dyDescent="0.4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D69"/>
  <sheetViews>
    <sheetView topLeftCell="A12" workbookViewId="0">
      <selection activeCell="D1" sqref="D1"/>
    </sheetView>
  </sheetViews>
  <sheetFormatPr defaultRowHeight="19.5" x14ac:dyDescent="0.4"/>
  <cols>
    <col min="1" max="1" width="22.625" style="30" bestFit="1" customWidth="1"/>
    <col min="2" max="2" width="15.875" style="30" bestFit="1" customWidth="1"/>
    <col min="3" max="3" width="30.375" style="30" customWidth="1"/>
    <col min="4" max="4" width="32.625" style="30" customWidth="1"/>
    <col min="5" max="16384" width="9" style="30"/>
  </cols>
  <sheetData>
    <row r="1" spans="1:4" ht="25.5" x14ac:dyDescent="0.4">
      <c r="A1" s="67" t="s">
        <v>21</v>
      </c>
      <c r="B1" s="67" t="s">
        <v>22</v>
      </c>
      <c r="C1" s="67" t="s">
        <v>30</v>
      </c>
      <c r="D1" s="67" t="s">
        <v>31</v>
      </c>
    </row>
    <row r="2" spans="1:4" ht="25.5" x14ac:dyDescent="0.4">
      <c r="A2" s="68" t="s">
        <v>39</v>
      </c>
      <c r="B2" s="68" t="s">
        <v>40</v>
      </c>
      <c r="C2" s="68" t="s">
        <v>41</v>
      </c>
      <c r="D2" s="68" t="s">
        <v>42</v>
      </c>
    </row>
    <row r="3" spans="1:4" x14ac:dyDescent="0.4">
      <c r="A3" s="68" t="s">
        <v>50</v>
      </c>
      <c r="B3" s="68" t="s">
        <v>51</v>
      </c>
      <c r="C3" s="68" t="s">
        <v>52</v>
      </c>
      <c r="D3" s="68" t="s">
        <v>53</v>
      </c>
    </row>
    <row r="4" spans="1:4" ht="38.25" x14ac:dyDescent="0.4">
      <c r="A4" s="68" t="s">
        <v>60</v>
      </c>
      <c r="B4" s="68" t="s">
        <v>51</v>
      </c>
      <c r="C4" s="68" t="s">
        <v>61</v>
      </c>
      <c r="D4" s="68" t="s">
        <v>62</v>
      </c>
    </row>
    <row r="5" spans="1:4" ht="25.5" x14ac:dyDescent="0.4">
      <c r="A5" s="68" t="s">
        <v>39</v>
      </c>
      <c r="B5" s="68" t="s">
        <v>51</v>
      </c>
      <c r="C5" s="68" t="s">
        <v>68</v>
      </c>
      <c r="D5" s="68" t="s">
        <v>600</v>
      </c>
    </row>
    <row r="6" spans="1:4" ht="25.5" x14ac:dyDescent="0.4">
      <c r="A6" s="68" t="s">
        <v>75</v>
      </c>
      <c r="B6" s="68" t="s">
        <v>51</v>
      </c>
      <c r="C6" s="68" t="s">
        <v>76</v>
      </c>
      <c r="D6" s="68" t="s">
        <v>77</v>
      </c>
    </row>
    <row r="7" spans="1:4" x14ac:dyDescent="0.4">
      <c r="A7" s="68" t="s">
        <v>83</v>
      </c>
      <c r="B7" s="68" t="s">
        <v>51</v>
      </c>
      <c r="C7" s="68" t="s">
        <v>84</v>
      </c>
      <c r="D7" s="68" t="s">
        <v>85</v>
      </c>
    </row>
    <row r="8" spans="1:4" x14ac:dyDescent="0.4">
      <c r="A8" s="68" t="s">
        <v>90</v>
      </c>
      <c r="B8" s="68" t="s">
        <v>51</v>
      </c>
      <c r="C8" s="68" t="s">
        <v>91</v>
      </c>
      <c r="D8" s="68" t="s">
        <v>92</v>
      </c>
    </row>
    <row r="9" spans="1:4" ht="25.5" x14ac:dyDescent="0.4">
      <c r="A9" s="68" t="s">
        <v>97</v>
      </c>
      <c r="B9" s="68" t="s">
        <v>51</v>
      </c>
      <c r="C9" s="68" t="s">
        <v>98</v>
      </c>
      <c r="D9" s="68" t="s">
        <v>99</v>
      </c>
    </row>
    <row r="10" spans="1:4" ht="25.5" x14ac:dyDescent="0.4">
      <c r="A10" s="68" t="s">
        <v>105</v>
      </c>
      <c r="B10" s="68" t="s">
        <v>51</v>
      </c>
      <c r="C10" s="68" t="s">
        <v>106</v>
      </c>
      <c r="D10" s="68" t="s">
        <v>107</v>
      </c>
    </row>
    <row r="11" spans="1:4" ht="25.5" x14ac:dyDescent="0.4">
      <c r="A11" s="68" t="s">
        <v>83</v>
      </c>
      <c r="B11" s="68" t="s">
        <v>51</v>
      </c>
      <c r="C11" s="68" t="s">
        <v>112</v>
      </c>
      <c r="D11" s="68" t="s">
        <v>113</v>
      </c>
    </row>
    <row r="12" spans="1:4" x14ac:dyDescent="0.4">
      <c r="A12" s="68" t="s">
        <v>105</v>
      </c>
      <c r="B12" s="68" t="s">
        <v>51</v>
      </c>
      <c r="C12" s="68" t="s">
        <v>118</v>
      </c>
      <c r="D12" s="68" t="s">
        <v>119</v>
      </c>
    </row>
    <row r="13" spans="1:4" ht="25.5" x14ac:dyDescent="0.4">
      <c r="A13" s="68" t="s">
        <v>75</v>
      </c>
      <c r="B13" s="68" t="s">
        <v>51</v>
      </c>
      <c r="C13" s="68" t="s">
        <v>125</v>
      </c>
      <c r="D13" s="68" t="s">
        <v>126</v>
      </c>
    </row>
    <row r="14" spans="1:4" ht="25.5" x14ac:dyDescent="0.4">
      <c r="A14" s="68" t="s">
        <v>132</v>
      </c>
      <c r="B14" s="68" t="s">
        <v>51</v>
      </c>
      <c r="C14" s="68" t="s">
        <v>133</v>
      </c>
      <c r="D14" s="68" t="s">
        <v>134</v>
      </c>
    </row>
    <row r="15" spans="1:4" x14ac:dyDescent="0.4">
      <c r="A15" s="68" t="s">
        <v>50</v>
      </c>
      <c r="B15" s="68" t="s">
        <v>51</v>
      </c>
      <c r="C15" s="68" t="s">
        <v>140</v>
      </c>
      <c r="D15" s="68" t="s">
        <v>141</v>
      </c>
    </row>
    <row r="16" spans="1:4" x14ac:dyDescent="0.4">
      <c r="A16" s="68" t="s">
        <v>146</v>
      </c>
      <c r="B16" s="68" t="s">
        <v>51</v>
      </c>
      <c r="C16" s="68" t="s">
        <v>147</v>
      </c>
      <c r="D16" s="68" t="s">
        <v>148</v>
      </c>
    </row>
    <row r="17" spans="1:4" x14ac:dyDescent="0.4">
      <c r="A17" s="68" t="s">
        <v>155</v>
      </c>
      <c r="B17" s="68" t="s">
        <v>51</v>
      </c>
      <c r="C17" s="68" t="s">
        <v>156</v>
      </c>
      <c r="D17" s="68" t="s">
        <v>157</v>
      </c>
    </row>
    <row r="18" spans="1:4" ht="25.5" x14ac:dyDescent="0.4">
      <c r="A18" s="68" t="s">
        <v>163</v>
      </c>
      <c r="B18" s="68" t="s">
        <v>51</v>
      </c>
      <c r="C18" s="68" t="s">
        <v>164</v>
      </c>
      <c r="D18" s="68" t="s">
        <v>165</v>
      </c>
    </row>
    <row r="19" spans="1:4" x14ac:dyDescent="0.4">
      <c r="A19" s="68" t="s">
        <v>170</v>
      </c>
      <c r="B19" s="68" t="s">
        <v>51</v>
      </c>
      <c r="C19" s="68" t="s">
        <v>171</v>
      </c>
      <c r="D19" s="68" t="s">
        <v>172</v>
      </c>
    </row>
    <row r="20" spans="1:4" x14ac:dyDescent="0.4">
      <c r="A20" s="68" t="s">
        <v>178</v>
      </c>
      <c r="B20" s="68" t="s">
        <v>51</v>
      </c>
      <c r="C20" s="68" t="s">
        <v>179</v>
      </c>
      <c r="D20" s="68" t="s">
        <v>180</v>
      </c>
    </row>
    <row r="21" spans="1:4" x14ac:dyDescent="0.4">
      <c r="A21" s="68" t="s">
        <v>187</v>
      </c>
      <c r="B21" s="68" t="s">
        <v>51</v>
      </c>
      <c r="C21" s="68" t="s">
        <v>188</v>
      </c>
      <c r="D21" s="68" t="s">
        <v>189</v>
      </c>
    </row>
    <row r="22" spans="1:4" ht="25.5" x14ac:dyDescent="0.4">
      <c r="A22" s="68" t="s">
        <v>187</v>
      </c>
      <c r="B22" s="68" t="s">
        <v>51</v>
      </c>
      <c r="C22" s="68" t="s">
        <v>196</v>
      </c>
      <c r="D22" s="68" t="s">
        <v>197</v>
      </c>
    </row>
    <row r="23" spans="1:4" ht="38.25" x14ac:dyDescent="0.4">
      <c r="A23" s="68" t="s">
        <v>203</v>
      </c>
      <c r="B23" s="68" t="s">
        <v>51</v>
      </c>
      <c r="C23" s="68" t="s">
        <v>204</v>
      </c>
      <c r="D23" s="68" t="s">
        <v>205</v>
      </c>
    </row>
    <row r="24" spans="1:4" ht="25.5" x14ac:dyDescent="0.4">
      <c r="A24" s="68" t="s">
        <v>210</v>
      </c>
      <c r="B24" s="68" t="s">
        <v>51</v>
      </c>
      <c r="C24" s="68" t="s">
        <v>211</v>
      </c>
      <c r="D24" s="68" t="s">
        <v>212</v>
      </c>
    </row>
    <row r="25" spans="1:4" x14ac:dyDescent="0.4">
      <c r="A25" s="68" t="s">
        <v>146</v>
      </c>
      <c r="B25" s="68" t="s">
        <v>51</v>
      </c>
      <c r="C25" s="68" t="s">
        <v>218</v>
      </c>
      <c r="D25" s="68" t="s">
        <v>219</v>
      </c>
    </row>
    <row r="26" spans="1:4" x14ac:dyDescent="0.4">
      <c r="A26" s="68" t="s">
        <v>225</v>
      </c>
      <c r="B26" s="68" t="s">
        <v>51</v>
      </c>
      <c r="C26" s="68" t="s">
        <v>226</v>
      </c>
      <c r="D26" s="68" t="s">
        <v>227</v>
      </c>
    </row>
    <row r="27" spans="1:4" x14ac:dyDescent="0.4">
      <c r="A27" s="68" t="s">
        <v>203</v>
      </c>
      <c r="B27" s="68" t="s">
        <v>40</v>
      </c>
      <c r="C27" s="68" t="s">
        <v>232</v>
      </c>
      <c r="D27" s="68" t="s">
        <v>233</v>
      </c>
    </row>
    <row r="28" spans="1:4" x14ac:dyDescent="0.4">
      <c r="A28" s="68" t="s">
        <v>97</v>
      </c>
      <c r="B28" s="68" t="s">
        <v>51</v>
      </c>
      <c r="C28" s="68" t="s">
        <v>238</v>
      </c>
      <c r="D28" s="68" t="s">
        <v>135</v>
      </c>
    </row>
    <row r="29" spans="1:4" x14ac:dyDescent="0.4">
      <c r="A29" s="68" t="s">
        <v>146</v>
      </c>
      <c r="B29" s="68" t="s">
        <v>40</v>
      </c>
      <c r="C29" s="68" t="s">
        <v>243</v>
      </c>
      <c r="D29" s="68" t="s">
        <v>107</v>
      </c>
    </row>
    <row r="30" spans="1:4" x14ac:dyDescent="0.4">
      <c r="A30" s="68" t="s">
        <v>90</v>
      </c>
      <c r="B30" s="68" t="s">
        <v>51</v>
      </c>
      <c r="C30" s="68" t="s">
        <v>249</v>
      </c>
      <c r="D30" s="68" t="s">
        <v>250</v>
      </c>
    </row>
    <row r="31" spans="1:4" x14ac:dyDescent="0.4">
      <c r="A31" s="68" t="s">
        <v>203</v>
      </c>
      <c r="B31" s="68" t="s">
        <v>40</v>
      </c>
      <c r="C31" s="68" t="s">
        <v>255</v>
      </c>
      <c r="D31" s="68" t="s">
        <v>256</v>
      </c>
    </row>
    <row r="32" spans="1:4" x14ac:dyDescent="0.4">
      <c r="A32" s="68" t="s">
        <v>105</v>
      </c>
      <c r="B32" s="68" t="s">
        <v>40</v>
      </c>
      <c r="C32" s="68" t="s">
        <v>238</v>
      </c>
      <c r="D32" s="68" t="s">
        <v>261</v>
      </c>
    </row>
    <row r="33" spans="1:4" x14ac:dyDescent="0.4">
      <c r="A33" s="68" t="s">
        <v>178</v>
      </c>
      <c r="B33" s="68" t="s">
        <v>51</v>
      </c>
      <c r="C33" s="68" t="s">
        <v>267</v>
      </c>
      <c r="D33" s="68" t="s">
        <v>268</v>
      </c>
    </row>
    <row r="34" spans="1:4" x14ac:dyDescent="0.4">
      <c r="A34" s="68" t="s">
        <v>146</v>
      </c>
      <c r="B34" s="68" t="s">
        <v>40</v>
      </c>
      <c r="C34" s="68" t="s">
        <v>274</v>
      </c>
      <c r="D34" s="68" t="s">
        <v>268</v>
      </c>
    </row>
    <row r="35" spans="1:4" x14ac:dyDescent="0.4">
      <c r="A35" s="68" t="s">
        <v>155</v>
      </c>
      <c r="B35" s="68" t="s">
        <v>40</v>
      </c>
      <c r="C35" s="68" t="s">
        <v>279</v>
      </c>
      <c r="D35" s="68" t="s">
        <v>15</v>
      </c>
    </row>
    <row r="36" spans="1:4" ht="38.25" x14ac:dyDescent="0.4">
      <c r="A36" s="68" t="s">
        <v>83</v>
      </c>
      <c r="B36" s="68" t="s">
        <v>40</v>
      </c>
      <c r="C36" s="68" t="s">
        <v>284</v>
      </c>
      <c r="D36" s="68" t="s">
        <v>285</v>
      </c>
    </row>
    <row r="37" spans="1:4" ht="25.5" x14ac:dyDescent="0.4">
      <c r="A37" s="68" t="s">
        <v>170</v>
      </c>
      <c r="B37" s="68" t="s">
        <v>40</v>
      </c>
      <c r="C37" s="68" t="s">
        <v>292</v>
      </c>
      <c r="D37" s="68" t="s">
        <v>293</v>
      </c>
    </row>
    <row r="38" spans="1:4" ht="25.5" x14ac:dyDescent="0.4">
      <c r="A38" s="68" t="s">
        <v>299</v>
      </c>
      <c r="B38" s="68" t="s">
        <v>51</v>
      </c>
      <c r="C38" s="68" t="s">
        <v>300</v>
      </c>
      <c r="D38" s="68" t="s">
        <v>301</v>
      </c>
    </row>
    <row r="39" spans="1:4" x14ac:dyDescent="0.4">
      <c r="A39" s="68" t="s">
        <v>299</v>
      </c>
      <c r="B39" s="68" t="s">
        <v>40</v>
      </c>
      <c r="C39" s="68" t="s">
        <v>306</v>
      </c>
      <c r="D39" s="68" t="s">
        <v>307</v>
      </c>
    </row>
    <row r="40" spans="1:4" x14ac:dyDescent="0.4">
      <c r="A40" s="68" t="s">
        <v>312</v>
      </c>
      <c r="B40" s="68" t="s">
        <v>40</v>
      </c>
      <c r="C40" s="68" t="s">
        <v>256</v>
      </c>
      <c r="D40" s="68" t="s">
        <v>256</v>
      </c>
    </row>
    <row r="41" spans="1:4" ht="25.5" x14ac:dyDescent="0.4">
      <c r="A41" s="68" t="s">
        <v>317</v>
      </c>
      <c r="B41" s="68" t="s">
        <v>40</v>
      </c>
      <c r="C41" s="68" t="s">
        <v>318</v>
      </c>
      <c r="D41" s="68" t="s">
        <v>319</v>
      </c>
    </row>
    <row r="42" spans="1:4" ht="38.25" x14ac:dyDescent="0.4">
      <c r="A42" s="68" t="s">
        <v>324</v>
      </c>
      <c r="B42" s="68" t="s">
        <v>40</v>
      </c>
      <c r="C42" s="68" t="s">
        <v>325</v>
      </c>
      <c r="D42" s="68" t="s">
        <v>326</v>
      </c>
    </row>
    <row r="43" spans="1:4" x14ac:dyDescent="0.4">
      <c r="A43" s="68" t="s">
        <v>324</v>
      </c>
      <c r="B43" s="68" t="s">
        <v>40</v>
      </c>
      <c r="C43" s="68" t="s">
        <v>332</v>
      </c>
      <c r="D43" s="68" t="s">
        <v>333</v>
      </c>
    </row>
    <row r="44" spans="1:4" x14ac:dyDescent="0.4">
      <c r="A44" s="68" t="s">
        <v>338</v>
      </c>
      <c r="B44" s="68" t="s">
        <v>51</v>
      </c>
      <c r="C44" s="68" t="s">
        <v>339</v>
      </c>
      <c r="D44" s="68" t="s">
        <v>227</v>
      </c>
    </row>
    <row r="45" spans="1:4" x14ac:dyDescent="0.4">
      <c r="A45" s="68" t="s">
        <v>344</v>
      </c>
      <c r="B45" s="68" t="s">
        <v>51</v>
      </c>
      <c r="C45" s="68" t="s">
        <v>345</v>
      </c>
      <c r="D45" s="68" t="s">
        <v>346</v>
      </c>
    </row>
    <row r="46" spans="1:4" x14ac:dyDescent="0.4">
      <c r="A46" s="68" t="s">
        <v>351</v>
      </c>
      <c r="B46" s="68" t="s">
        <v>40</v>
      </c>
      <c r="C46" s="68" t="s">
        <v>352</v>
      </c>
      <c r="D46" s="68" t="s">
        <v>353</v>
      </c>
    </row>
    <row r="47" spans="1:4" ht="25.5" x14ac:dyDescent="0.4">
      <c r="A47" s="68" t="s">
        <v>358</v>
      </c>
      <c r="B47" s="68" t="s">
        <v>40</v>
      </c>
      <c r="C47" s="68" t="s">
        <v>359</v>
      </c>
      <c r="D47" s="68" t="s">
        <v>360</v>
      </c>
    </row>
    <row r="48" spans="1:4" x14ac:dyDescent="0.4">
      <c r="A48" s="68" t="s">
        <v>365</v>
      </c>
      <c r="B48" s="68" t="s">
        <v>40</v>
      </c>
      <c r="C48" s="68" t="s">
        <v>366</v>
      </c>
      <c r="D48" s="68" t="s">
        <v>367</v>
      </c>
    </row>
    <row r="49" spans="1:4" ht="38.25" x14ac:dyDescent="0.4">
      <c r="A49" s="68" t="s">
        <v>374</v>
      </c>
      <c r="B49" s="68" t="s">
        <v>40</v>
      </c>
      <c r="C49" s="68" t="s">
        <v>375</v>
      </c>
      <c r="D49" s="68" t="s">
        <v>376</v>
      </c>
    </row>
    <row r="50" spans="1:4" x14ac:dyDescent="0.4">
      <c r="A50" s="68" t="s">
        <v>374</v>
      </c>
      <c r="B50" s="68" t="s">
        <v>40</v>
      </c>
      <c r="C50" s="68" t="s">
        <v>382</v>
      </c>
      <c r="D50" s="68" t="s">
        <v>383</v>
      </c>
    </row>
    <row r="51" spans="1:4" x14ac:dyDescent="0.4">
      <c r="A51" s="68" t="s">
        <v>388</v>
      </c>
      <c r="B51" s="68" t="s">
        <v>40</v>
      </c>
      <c r="C51" s="68" t="s">
        <v>332</v>
      </c>
      <c r="D51" s="68" t="s">
        <v>389</v>
      </c>
    </row>
    <row r="52" spans="1:4" ht="25.5" x14ac:dyDescent="0.4">
      <c r="A52" s="68" t="s">
        <v>394</v>
      </c>
      <c r="B52" s="68" t="s">
        <v>40</v>
      </c>
      <c r="C52" s="68" t="s">
        <v>395</v>
      </c>
      <c r="D52" s="68" t="s">
        <v>191</v>
      </c>
    </row>
    <row r="53" spans="1:4" x14ac:dyDescent="0.4">
      <c r="A53" s="68" t="s">
        <v>365</v>
      </c>
      <c r="B53" s="68" t="s">
        <v>51</v>
      </c>
      <c r="C53" s="68" t="s">
        <v>402</v>
      </c>
      <c r="D53" s="68" t="s">
        <v>403</v>
      </c>
    </row>
    <row r="54" spans="1:4" ht="38.25" x14ac:dyDescent="0.4">
      <c r="A54" s="68" t="s">
        <v>344</v>
      </c>
      <c r="B54" s="68" t="s">
        <v>51</v>
      </c>
      <c r="C54" s="68" t="s">
        <v>410</v>
      </c>
      <c r="D54" s="68" t="s">
        <v>411</v>
      </c>
    </row>
    <row r="55" spans="1:4" x14ac:dyDescent="0.4">
      <c r="A55" s="68" t="s">
        <v>324</v>
      </c>
      <c r="B55" s="68" t="s">
        <v>51</v>
      </c>
      <c r="C55" s="68" t="s">
        <v>416</v>
      </c>
      <c r="D55" s="68" t="s">
        <v>417</v>
      </c>
    </row>
    <row r="56" spans="1:4" x14ac:dyDescent="0.4">
      <c r="A56" s="68" t="s">
        <v>324</v>
      </c>
      <c r="B56" s="68" t="s">
        <v>51</v>
      </c>
      <c r="C56" s="68" t="s">
        <v>422</v>
      </c>
      <c r="D56" s="68" t="s">
        <v>423</v>
      </c>
    </row>
    <row r="57" spans="1:4" x14ac:dyDescent="0.4">
      <c r="A57" s="68" t="s">
        <v>428</v>
      </c>
      <c r="B57" s="68" t="s">
        <v>40</v>
      </c>
      <c r="C57" s="68" t="s">
        <v>429</v>
      </c>
      <c r="D57" s="68" t="s">
        <v>430</v>
      </c>
    </row>
    <row r="58" spans="1:4" x14ac:dyDescent="0.4">
      <c r="A58" s="68" t="s">
        <v>351</v>
      </c>
      <c r="B58" s="68" t="s">
        <v>51</v>
      </c>
      <c r="C58" s="68" t="s">
        <v>435</v>
      </c>
      <c r="D58" s="68" t="s">
        <v>436</v>
      </c>
    </row>
    <row r="59" spans="1:4" x14ac:dyDescent="0.4">
      <c r="A59" s="68" t="s">
        <v>394</v>
      </c>
      <c r="B59" s="68" t="s">
        <v>51</v>
      </c>
      <c r="C59" s="68" t="s">
        <v>442</v>
      </c>
      <c r="D59" s="68" t="s">
        <v>443</v>
      </c>
    </row>
    <row r="60" spans="1:4" x14ac:dyDescent="0.4">
      <c r="A60" s="68" t="s">
        <v>365</v>
      </c>
      <c r="B60" s="68" t="s">
        <v>51</v>
      </c>
      <c r="C60" s="68" t="s">
        <v>448</v>
      </c>
      <c r="D60" s="68" t="s">
        <v>449</v>
      </c>
    </row>
    <row r="61" spans="1:4" x14ac:dyDescent="0.4">
      <c r="A61" s="68" t="s">
        <v>454</v>
      </c>
      <c r="B61" s="68" t="s">
        <v>51</v>
      </c>
      <c r="C61" s="68" t="s">
        <v>455</v>
      </c>
      <c r="D61" s="68" t="s">
        <v>456</v>
      </c>
    </row>
    <row r="62" spans="1:4" x14ac:dyDescent="0.4">
      <c r="A62" s="68" t="s">
        <v>351</v>
      </c>
      <c r="B62" s="68" t="s">
        <v>51</v>
      </c>
      <c r="C62" s="68" t="s">
        <v>462</v>
      </c>
      <c r="D62" s="68" t="s">
        <v>463</v>
      </c>
    </row>
    <row r="63" spans="1:4" x14ac:dyDescent="0.4">
      <c r="A63" s="68" t="s">
        <v>428</v>
      </c>
      <c r="B63" s="68" t="s">
        <v>51</v>
      </c>
      <c r="C63" s="68" t="s">
        <v>469</v>
      </c>
      <c r="D63" s="68" t="s">
        <v>470</v>
      </c>
    </row>
    <row r="64" spans="1:4" ht="38.25" x14ac:dyDescent="0.4">
      <c r="A64" s="68" t="s">
        <v>477</v>
      </c>
      <c r="B64" s="68" t="s">
        <v>51</v>
      </c>
      <c r="C64" s="68" t="s">
        <v>478</v>
      </c>
      <c r="D64" s="68" t="s">
        <v>479</v>
      </c>
    </row>
    <row r="65" spans="1:4" ht="25.5" x14ac:dyDescent="0.4">
      <c r="A65" s="68" t="s">
        <v>312</v>
      </c>
      <c r="B65" s="68" t="s">
        <v>51</v>
      </c>
      <c r="C65" s="68" t="s">
        <v>484</v>
      </c>
      <c r="D65" s="68" t="s">
        <v>485</v>
      </c>
    </row>
    <row r="66" spans="1:4" x14ac:dyDescent="0.4">
      <c r="A66" s="68" t="s">
        <v>394</v>
      </c>
      <c r="B66" s="68" t="s">
        <v>51</v>
      </c>
      <c r="C66" s="68" t="s">
        <v>491</v>
      </c>
      <c r="D66" s="68" t="s">
        <v>492</v>
      </c>
    </row>
    <row r="67" spans="1:4" ht="38.25" x14ac:dyDescent="0.4">
      <c r="A67" s="68" t="s">
        <v>477</v>
      </c>
      <c r="B67" s="68" t="s">
        <v>51</v>
      </c>
      <c r="C67" s="68" t="s">
        <v>499</v>
      </c>
      <c r="D67" s="68" t="s">
        <v>500</v>
      </c>
    </row>
    <row r="68" spans="1:4" x14ac:dyDescent="0.4">
      <c r="A68" s="68" t="s">
        <v>454</v>
      </c>
      <c r="B68" s="68" t="s">
        <v>51</v>
      </c>
      <c r="C68" s="68" t="s">
        <v>505</v>
      </c>
      <c r="D68" s="68" t="s">
        <v>506</v>
      </c>
    </row>
    <row r="69" spans="1:4" x14ac:dyDescent="0.4">
      <c r="A69" s="68" t="s">
        <v>511</v>
      </c>
      <c r="B69" s="68" t="s">
        <v>51</v>
      </c>
      <c r="C69" s="68" t="s">
        <v>512</v>
      </c>
      <c r="D69" s="68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69"/>
  <sheetViews>
    <sheetView topLeftCell="C1" workbookViewId="0">
      <selection activeCell="R20" sqref="R20"/>
    </sheetView>
  </sheetViews>
  <sheetFormatPr defaultRowHeight="19.5" x14ac:dyDescent="0.4"/>
  <cols>
    <col min="1" max="1" width="14.375" style="33" customWidth="1"/>
    <col min="2" max="2" width="20.375" style="33" customWidth="1"/>
    <col min="3" max="3" width="5.75" style="34" bestFit="1" customWidth="1"/>
    <col min="4" max="4" width="8.875" style="34" customWidth="1"/>
    <col min="5" max="8" width="7.25" style="34" bestFit="1" customWidth="1"/>
    <col min="9" max="9" width="10.375" style="34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31" t="s">
        <v>513</v>
      </c>
      <c r="B1" s="31" t="s">
        <v>514</v>
      </c>
      <c r="C1" s="32" t="s">
        <v>515</v>
      </c>
      <c r="D1" s="32" t="s">
        <v>516</v>
      </c>
      <c r="E1" s="32" t="s">
        <v>517</v>
      </c>
      <c r="F1" s="32" t="s">
        <v>518</v>
      </c>
      <c r="G1" s="32" t="s">
        <v>519</v>
      </c>
      <c r="H1" s="32" t="s">
        <v>520</v>
      </c>
      <c r="I1" s="31" t="s">
        <v>521</v>
      </c>
    </row>
    <row r="2" spans="1:18" x14ac:dyDescent="0.4">
      <c r="A2" s="33" t="str">
        <f>+Dados!F2</f>
        <v>Caarapó</v>
      </c>
      <c r="B2" s="33" t="str">
        <f>+Dados!G2</f>
        <v>CACS-FUNDEB</v>
      </c>
      <c r="C2" s="34">
        <f>+Dados!H2</f>
        <v>5</v>
      </c>
      <c r="D2" s="34">
        <f>+Dados!I2</f>
        <v>4</v>
      </c>
      <c r="E2" s="34">
        <f>+Dados!J2</f>
        <v>4</v>
      </c>
      <c r="F2" s="34">
        <f>+Dados!K2</f>
        <v>4</v>
      </c>
      <c r="G2" s="34">
        <f>+Dados!L2</f>
        <v>5</v>
      </c>
      <c r="H2" s="34">
        <f>+Dados!M2</f>
        <v>5</v>
      </c>
      <c r="I2" s="34">
        <f>+Dados!N2</f>
        <v>5</v>
      </c>
      <c r="N2" s="2" t="s">
        <v>3</v>
      </c>
      <c r="O2" s="2" t="s">
        <v>525</v>
      </c>
      <c r="P2" s="2" t="s">
        <v>524</v>
      </c>
      <c r="Q2" s="2" t="s">
        <v>523</v>
      </c>
      <c r="R2" s="2" t="s">
        <v>522</v>
      </c>
    </row>
    <row r="3" spans="1:18" x14ac:dyDescent="0.4">
      <c r="A3" s="33" t="str">
        <f>+Dados!F27</f>
        <v>Batayporã</v>
      </c>
      <c r="B3" s="33" t="str">
        <f>+Dados!G27</f>
        <v>CACS-FUNDEB</v>
      </c>
      <c r="C3" s="34">
        <f>+Dados!H27</f>
        <v>4</v>
      </c>
      <c r="D3" s="34">
        <f>+Dados!I27</f>
        <v>4</v>
      </c>
      <c r="E3" s="34">
        <f>+Dados!J27</f>
        <v>4</v>
      </c>
      <c r="F3" s="34">
        <f>+Dados!K27</f>
        <v>4</v>
      </c>
      <c r="G3" s="34">
        <f>+Dados!L27</f>
        <v>5</v>
      </c>
      <c r="H3" s="34">
        <f>+Dados!M27</f>
        <v>4</v>
      </c>
      <c r="I3" s="34">
        <f>+Dados!N27</f>
        <v>4</v>
      </c>
      <c r="N3" s="33">
        <v>1</v>
      </c>
      <c r="O3" s="33">
        <v>2</v>
      </c>
      <c r="P3" s="33">
        <v>3</v>
      </c>
      <c r="Q3" s="33">
        <v>4</v>
      </c>
      <c r="R3" s="33">
        <v>5</v>
      </c>
    </row>
    <row r="4" spans="1:18" x14ac:dyDescent="0.4">
      <c r="A4" s="33" t="str">
        <f>+Dados!F29</f>
        <v>Amambai</v>
      </c>
      <c r="B4" s="33" t="str">
        <f>+Dados!G29</f>
        <v>CACS-FUNDEB</v>
      </c>
      <c r="C4" s="34">
        <f>+Dados!H29</f>
        <v>4</v>
      </c>
      <c r="D4" s="34">
        <f>+Dados!I29</f>
        <v>4</v>
      </c>
      <c r="E4" s="34">
        <f>+Dados!J29</f>
        <v>4</v>
      </c>
      <c r="F4" s="34">
        <f>+Dados!K29</f>
        <v>4</v>
      </c>
      <c r="G4" s="34">
        <f>+Dados!L29</f>
        <v>4</v>
      </c>
      <c r="H4" s="34">
        <f>+Dados!M29</f>
        <v>4</v>
      </c>
      <c r="I4" s="34">
        <f>+Dados!N29</f>
        <v>4</v>
      </c>
    </row>
    <row r="5" spans="1:18" x14ac:dyDescent="0.4">
      <c r="A5" s="33" t="str">
        <f>+Dados!F31</f>
        <v>Batayporã</v>
      </c>
      <c r="B5" s="33" t="str">
        <f>+Dados!G31</f>
        <v>CACS-FUNDEB</v>
      </c>
      <c r="C5" s="34">
        <f>+Dados!H31</f>
        <v>5</v>
      </c>
      <c r="D5" s="34">
        <f>+Dados!I31</f>
        <v>5</v>
      </c>
      <c r="E5" s="34">
        <f>+Dados!J31</f>
        <v>5</v>
      </c>
      <c r="F5" s="34">
        <f>+Dados!K31</f>
        <v>5</v>
      </c>
      <c r="G5" s="34">
        <f>+Dados!L31</f>
        <v>5</v>
      </c>
      <c r="H5" s="34">
        <f>+Dados!M31</f>
        <v>5</v>
      </c>
      <c r="I5" s="34">
        <f>+Dados!N31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33" t="str">
        <f>+Dados!F32</f>
        <v>Itaporã</v>
      </c>
      <c r="B6" s="33" t="str">
        <f>+Dados!G32</f>
        <v>CACS-FUNDEB</v>
      </c>
      <c r="C6" s="34">
        <f>+Dados!H32</f>
        <v>5</v>
      </c>
      <c r="D6" s="34">
        <f>+Dados!I32</f>
        <v>5</v>
      </c>
      <c r="E6" s="34">
        <f>+Dados!J32</f>
        <v>5</v>
      </c>
      <c r="F6" s="34">
        <f>+Dados!K32</f>
        <v>5</v>
      </c>
      <c r="G6" s="34">
        <f>+Dados!L32</f>
        <v>5</v>
      </c>
      <c r="H6" s="34">
        <f>+Dados!M32</f>
        <v>5</v>
      </c>
      <c r="I6" s="34">
        <f>+Dados!N32</f>
        <v>5</v>
      </c>
      <c r="M6" s="1" t="s">
        <v>515</v>
      </c>
      <c r="N6" s="35">
        <f>COUNTIF(C$2:C$69,$N3)/COUNT(C$2:C$69)</f>
        <v>0</v>
      </c>
      <c r="O6" s="35">
        <f>COUNTIF(C$2:C$69,$O3)/COUNT(C$2:C$69)</f>
        <v>0</v>
      </c>
      <c r="P6" s="35">
        <f>COUNTIF(C$2:C$69,$P3)/COUNT(C$2:C$69)</f>
        <v>7.3529411764705885E-2</v>
      </c>
      <c r="Q6" s="35">
        <f>COUNTIF(C$2:C$69,$Q3)/COUNT(C$2:C$69)</f>
        <v>0.26470588235294118</v>
      </c>
      <c r="R6" s="35">
        <f>COUNTIF(C$2:C$69,$R3)/COUNT(C$2:C$69)</f>
        <v>0.66176470588235292</v>
      </c>
    </row>
    <row r="7" spans="1:18" x14ac:dyDescent="0.4">
      <c r="A7" s="33" t="str">
        <f>+Dados!F34</f>
        <v>Amambai</v>
      </c>
      <c r="B7" s="33" t="str">
        <f>+Dados!G34</f>
        <v>CACS-FUNDEB</v>
      </c>
      <c r="C7" s="34">
        <f>+Dados!H34</f>
        <v>5</v>
      </c>
      <c r="D7" s="34">
        <f>+Dados!I34</f>
        <v>5</v>
      </c>
      <c r="E7" s="34">
        <f>+Dados!J34</f>
        <v>5</v>
      </c>
      <c r="F7" s="34">
        <f>+Dados!K34</f>
        <v>5</v>
      </c>
      <c r="G7" s="34">
        <f>+Dados!L34</f>
        <v>5</v>
      </c>
      <c r="H7" s="34">
        <f>+Dados!M34</f>
        <v>5</v>
      </c>
      <c r="I7" s="34">
        <f>+Dados!N34</f>
        <v>5</v>
      </c>
      <c r="M7" s="1" t="s">
        <v>516</v>
      </c>
      <c r="N7" s="35">
        <f>COUNTIF(D$2:D$69,$N3)/COUNT(D$2:D$69)</f>
        <v>0</v>
      </c>
      <c r="O7" s="35">
        <f>COUNTIF(D$2:D$69,$O3)/COUNT(D$2:D$69)</f>
        <v>0</v>
      </c>
      <c r="P7" s="35">
        <f>COUNTIF(D$2:D$69,$P3)/COUNT(D$2:D$69)</f>
        <v>0.17647058823529413</v>
      </c>
      <c r="Q7" s="35">
        <f>COUNTIF(D$2:D$69,$Q3)/COUNT(D$2:D$69)</f>
        <v>0.33823529411764708</v>
      </c>
      <c r="R7" s="35">
        <f>COUNTIF(D$2:D$69,$R3)/COUNT(D$2:D$69)</f>
        <v>0.48529411764705882</v>
      </c>
    </row>
    <row r="8" spans="1:18" x14ac:dyDescent="0.4">
      <c r="A8" s="33" t="str">
        <f>+Dados!F35</f>
        <v>Glória de Dourados</v>
      </c>
      <c r="B8" s="33" t="str">
        <f>+Dados!G35</f>
        <v>CACS-FUNDEB</v>
      </c>
      <c r="C8" s="34">
        <f>+Dados!H35</f>
        <v>5</v>
      </c>
      <c r="D8" s="34">
        <f>+Dados!I35</f>
        <v>5</v>
      </c>
      <c r="E8" s="34">
        <f>+Dados!J35</f>
        <v>5</v>
      </c>
      <c r="F8" s="34">
        <f>+Dados!K35</f>
        <v>5</v>
      </c>
      <c r="G8" s="34">
        <f>+Dados!L35</f>
        <v>5</v>
      </c>
      <c r="H8" s="34">
        <f>+Dados!M35</f>
        <v>5</v>
      </c>
      <c r="I8" s="34">
        <f>+Dados!N35</f>
        <v>5</v>
      </c>
      <c r="M8" s="1" t="s">
        <v>517</v>
      </c>
      <c r="N8" s="35">
        <f>COUNTIF(E$2:E$69,$N3)/COUNT(E$2:E$69)</f>
        <v>0</v>
      </c>
      <c r="O8" s="35">
        <f>COUNTIF(E$2:E$69,$O3)/COUNT(E$2:E$69)</f>
        <v>0</v>
      </c>
      <c r="P8" s="35">
        <f>COUNTIF(E$2:E$69,$P3)/COUNT(E$2:E$69)</f>
        <v>8.8235294117647065E-2</v>
      </c>
      <c r="Q8" s="35">
        <f>COUNTIF(E$2:E$69,$Q3)/COUNT(E$2:E$69)</f>
        <v>0.26470588235294118</v>
      </c>
      <c r="R8" s="35">
        <f>COUNTIF(E$2:E$69,$R3)/COUNT(E$2:E$69)</f>
        <v>0.6470588235294118</v>
      </c>
    </row>
    <row r="9" spans="1:18" x14ac:dyDescent="0.4">
      <c r="A9" s="33" t="str">
        <f>+Dados!F36</f>
        <v>Dourados</v>
      </c>
      <c r="B9" s="33" t="str">
        <f>+Dados!G36</f>
        <v>CACS-FUNDEB</v>
      </c>
      <c r="C9" s="34">
        <f>+Dados!H36</f>
        <v>5</v>
      </c>
      <c r="D9" s="34">
        <f>+Dados!I36</f>
        <v>5</v>
      </c>
      <c r="E9" s="34">
        <f>+Dados!J36</f>
        <v>5</v>
      </c>
      <c r="F9" s="34">
        <f>+Dados!K36</f>
        <v>5</v>
      </c>
      <c r="G9" s="34">
        <f>+Dados!L36</f>
        <v>5</v>
      </c>
      <c r="H9" s="34">
        <f>+Dados!M36</f>
        <v>5</v>
      </c>
      <c r="I9" s="34">
        <f>+Dados!N36</f>
        <v>5</v>
      </c>
      <c r="M9" s="1" t="s">
        <v>518</v>
      </c>
      <c r="N9" s="35">
        <f>COUNTIF(F$2:F$69,$N3)/COUNT(F$2:F$69)</f>
        <v>0</v>
      </c>
      <c r="O9" s="35">
        <f>COUNTIF(F$2:F$69,$O3)/COUNT(F$2:F$69)</f>
        <v>0</v>
      </c>
      <c r="P9" s="35">
        <f>COUNTIF(F$2:F$69,$P3)/COUNT(F$2:F$69)</f>
        <v>7.3529411764705885E-2</v>
      </c>
      <c r="Q9" s="35">
        <f>COUNTIF(F$2:F$69,$Q3)/COUNT(F$2:F$69)</f>
        <v>0.27941176470588236</v>
      </c>
      <c r="R9" s="35">
        <f>COUNTIF(F$2:F$69,$R3)/COUNT(F$2:F$69)</f>
        <v>0.6470588235294118</v>
      </c>
    </row>
    <row r="10" spans="1:18" x14ac:dyDescent="0.4">
      <c r="A10" s="33" t="str">
        <f>+Dados!F37</f>
        <v>Eldorado</v>
      </c>
      <c r="B10" s="33" t="str">
        <f>+Dados!G37</f>
        <v>CACS-FUNDEB</v>
      </c>
      <c r="C10" s="34">
        <f>+Dados!H37</f>
        <v>5</v>
      </c>
      <c r="D10" s="34">
        <f>+Dados!I37</f>
        <v>5</v>
      </c>
      <c r="E10" s="34">
        <f>+Dados!J37</f>
        <v>5</v>
      </c>
      <c r="F10" s="34">
        <f>+Dados!K37</f>
        <v>5</v>
      </c>
      <c r="G10" s="34">
        <f>+Dados!L37</f>
        <v>5</v>
      </c>
      <c r="H10" s="34">
        <f>+Dados!M37</f>
        <v>5</v>
      </c>
      <c r="I10" s="34">
        <f>+Dados!N37</f>
        <v>5</v>
      </c>
      <c r="M10" s="1" t="s">
        <v>519</v>
      </c>
      <c r="N10" s="35">
        <f>COUNTIF(G$2:G$69,$N3)/COUNT(G$2:G$69)</f>
        <v>0</v>
      </c>
      <c r="O10" s="35">
        <f>COUNTIF(G$2:G$69,$O3)/COUNT(G$2:G$69)</f>
        <v>0</v>
      </c>
      <c r="P10" s="35">
        <f>COUNTIF(G$2:G$69,$P3)/COUNT(G$2:G$69)</f>
        <v>7.3529411764705885E-2</v>
      </c>
      <c r="Q10" s="35">
        <f>COUNTIF(G$2:G$69,$Q3)/COUNT(G$2:G$69)</f>
        <v>0.23529411764705882</v>
      </c>
      <c r="R10" s="35">
        <f>COUNTIF(G$2:G$69,$R3)/COUNT(G$2:G$69)</f>
        <v>0.69117647058823528</v>
      </c>
    </row>
    <row r="11" spans="1:18" x14ac:dyDescent="0.4">
      <c r="A11" s="33" t="str">
        <f>+Dados!F39</f>
        <v>Japorã</v>
      </c>
      <c r="B11" s="33" t="str">
        <f>+Dados!G39</f>
        <v>CACS-FUNDEB</v>
      </c>
      <c r="C11" s="34">
        <f>+Dados!H39</f>
        <v>4</v>
      </c>
      <c r="D11" s="34">
        <f>+Dados!I39</f>
        <v>4</v>
      </c>
      <c r="E11" s="34">
        <f>+Dados!J39</f>
        <v>4</v>
      </c>
      <c r="F11" s="34">
        <f>+Dados!K39</f>
        <v>4</v>
      </c>
      <c r="G11" s="34">
        <f>+Dados!L39</f>
        <v>4</v>
      </c>
      <c r="H11" s="34">
        <f>+Dados!M39</f>
        <v>4</v>
      </c>
      <c r="I11" s="34">
        <f>+Dados!N39</f>
        <v>4</v>
      </c>
      <c r="M11" s="1" t="s">
        <v>520</v>
      </c>
      <c r="N11" s="35">
        <f>COUNTIF(H$2:H$69,$N3)/COUNT(H$2:H$69)</f>
        <v>0</v>
      </c>
      <c r="O11" s="35">
        <f>COUNTIF(H$2:H$69,$O3)/COUNT(H$2:H$69)</f>
        <v>0</v>
      </c>
      <c r="P11" s="35">
        <f>COUNTIF(H$2:H$69,$P3)/COUNT(H$2:H$69)</f>
        <v>7.3529411764705885E-2</v>
      </c>
      <c r="Q11" s="35">
        <f>COUNTIF(H$2:H$69,$Q3)/COUNT(H$2:H$69)</f>
        <v>0.27941176470588236</v>
      </c>
      <c r="R11" s="35">
        <f>COUNTIF(H$2:H$69,$R3)/COUNT(H$2:H$69)</f>
        <v>0.6470588235294118</v>
      </c>
    </row>
    <row r="12" spans="1:18" x14ac:dyDescent="0.4">
      <c r="A12" s="33" t="str">
        <f>+Dados!F40</f>
        <v>Rio Brilhante</v>
      </c>
      <c r="B12" s="33" t="str">
        <f>+Dados!G40</f>
        <v>CACS-FUNDEB</v>
      </c>
      <c r="C12" s="34">
        <f>+Dados!H40</f>
        <v>4</v>
      </c>
      <c r="D12" s="34">
        <f>+Dados!I40</f>
        <v>3</v>
      </c>
      <c r="E12" s="34">
        <f>+Dados!J40</f>
        <v>4</v>
      </c>
      <c r="F12" s="34">
        <f>+Dados!K40</f>
        <v>4</v>
      </c>
      <c r="G12" s="34">
        <f>+Dados!L40</f>
        <v>4</v>
      </c>
      <c r="H12" s="34">
        <f>+Dados!M40</f>
        <v>4</v>
      </c>
      <c r="I12" s="34">
        <f>+Dados!N40</f>
        <v>4</v>
      </c>
      <c r="M12" s="1" t="s">
        <v>521</v>
      </c>
      <c r="N12" s="35">
        <f>COUNTIF(I$2:I$69,$N3)/COUNT(I$2:I$69)</f>
        <v>0</v>
      </c>
      <c r="O12" s="35">
        <f>COUNTIF(I$2:I$69,$O3)/COUNT(I$2:I$69)</f>
        <v>0</v>
      </c>
      <c r="P12" s="35">
        <f>COUNTIF(I$2:I$69,$P3)/COUNT(I$2:I$69)</f>
        <v>8.8235294117647065E-2</v>
      </c>
      <c r="Q12" s="35">
        <f>COUNTIF(I$2:I$69,$Q3)/COUNT(I$2:I$69)</f>
        <v>0.23529411764705882</v>
      </c>
      <c r="R12" s="35">
        <f>COUNTIF(I$2:I$69,$R3)/COUNT(I$2:I$69)</f>
        <v>0.67647058823529416</v>
      </c>
    </row>
    <row r="13" spans="1:18" x14ac:dyDescent="0.4">
      <c r="A13" s="33" t="str">
        <f>+Dados!F41</f>
        <v>Novo Horizonte do Sul</v>
      </c>
      <c r="B13" s="33" t="str">
        <f>+Dados!G41</f>
        <v>CACS-FUNDEB</v>
      </c>
      <c r="C13" s="34">
        <f>+Dados!H41</f>
        <v>4</v>
      </c>
      <c r="D13" s="34">
        <f>+Dados!I41</f>
        <v>4</v>
      </c>
      <c r="E13" s="34">
        <f>+Dados!J41</f>
        <v>4</v>
      </c>
      <c r="F13" s="34">
        <f>+Dados!K41</f>
        <v>4</v>
      </c>
      <c r="G13" s="34">
        <f>+Dados!L41</f>
        <v>4</v>
      </c>
      <c r="H13" s="34">
        <f>+Dados!M41</f>
        <v>4</v>
      </c>
      <c r="I13" s="34">
        <f>+Dados!N41</f>
        <v>4</v>
      </c>
    </row>
    <row r="14" spans="1:18" x14ac:dyDescent="0.4">
      <c r="A14" s="33" t="str">
        <f>+Dados!F42</f>
        <v>Ponta Porã</v>
      </c>
      <c r="B14" s="33" t="str">
        <f>+Dados!G42</f>
        <v>CACS-FUNDEB</v>
      </c>
      <c r="C14" s="34">
        <f>+Dados!H42</f>
        <v>5</v>
      </c>
      <c r="D14" s="34">
        <f>+Dados!I42</f>
        <v>5</v>
      </c>
      <c r="E14" s="34">
        <f>+Dados!J42</f>
        <v>5</v>
      </c>
      <c r="F14" s="34">
        <f>+Dados!K42</f>
        <v>5</v>
      </c>
      <c r="G14" s="34">
        <f>+Dados!L42</f>
        <v>4</v>
      </c>
      <c r="H14" s="34">
        <f>+Dados!M42</f>
        <v>4</v>
      </c>
      <c r="I14" s="34">
        <f>+Dados!N42</f>
        <v>5</v>
      </c>
    </row>
    <row r="15" spans="1:18" x14ac:dyDescent="0.4">
      <c r="A15" s="33" t="str">
        <f>+Dados!F43</f>
        <v>Ponta Porã</v>
      </c>
      <c r="B15" s="33" t="str">
        <f>+Dados!G43</f>
        <v>CACS-FUNDEB</v>
      </c>
      <c r="C15" s="34">
        <f>+Dados!H43</f>
        <v>5</v>
      </c>
      <c r="D15" s="34">
        <f>+Dados!I43</f>
        <v>4</v>
      </c>
      <c r="E15" s="34">
        <f>+Dados!J43</f>
        <v>5</v>
      </c>
      <c r="F15" s="34">
        <f>+Dados!K43</f>
        <v>5</v>
      </c>
      <c r="G15" s="34">
        <f>+Dados!L43</f>
        <v>5</v>
      </c>
      <c r="H15" s="34">
        <f>+Dados!M43</f>
        <v>5</v>
      </c>
      <c r="I15" s="34">
        <f>+Dados!N43</f>
        <v>5</v>
      </c>
    </row>
    <row r="16" spans="1:18" x14ac:dyDescent="0.4">
      <c r="A16" s="33" t="str">
        <f>+Dados!F46</f>
        <v>Sete Quedas</v>
      </c>
      <c r="B16" s="33" t="str">
        <f>+Dados!G46</f>
        <v>CACS-FUNDEB</v>
      </c>
      <c r="C16" s="34">
        <f>+Dados!H46</f>
        <v>5</v>
      </c>
      <c r="D16" s="34">
        <f>+Dados!I46</f>
        <v>5</v>
      </c>
      <c r="E16" s="34">
        <f>+Dados!J46</f>
        <v>5</v>
      </c>
      <c r="F16" s="34">
        <f>+Dados!K46</f>
        <v>5</v>
      </c>
      <c r="G16" s="34">
        <f>+Dados!L46</f>
        <v>5</v>
      </c>
      <c r="H16" s="34">
        <f>+Dados!M46</f>
        <v>5</v>
      </c>
      <c r="I16" s="34">
        <f>+Dados!N46</f>
        <v>5</v>
      </c>
    </row>
    <row r="17" spans="1:9" x14ac:dyDescent="0.4">
      <c r="A17" s="33" t="str">
        <f>+Dados!F47</f>
        <v>Naviraí</v>
      </c>
      <c r="B17" s="33" t="str">
        <f>+Dados!G47</f>
        <v>CACS-FUNDEB</v>
      </c>
      <c r="C17" s="34">
        <f>+Dados!H47</f>
        <v>4</v>
      </c>
      <c r="D17" s="34">
        <f>+Dados!I47</f>
        <v>4</v>
      </c>
      <c r="E17" s="34">
        <f>+Dados!J47</f>
        <v>5</v>
      </c>
      <c r="F17" s="34">
        <f>+Dados!K47</f>
        <v>5</v>
      </c>
      <c r="G17" s="34">
        <f>+Dados!L47</f>
        <v>5</v>
      </c>
      <c r="H17" s="34">
        <f>+Dados!M47</f>
        <v>5</v>
      </c>
      <c r="I17" s="34">
        <f>+Dados!N47</f>
        <v>5</v>
      </c>
    </row>
    <row r="18" spans="1:9" x14ac:dyDescent="0.4">
      <c r="A18" s="33" t="str">
        <f>+Dados!F48</f>
        <v>Maracaju</v>
      </c>
      <c r="B18" s="33" t="str">
        <f>+Dados!G48</f>
        <v>CACS-FUNDEB</v>
      </c>
      <c r="C18" s="34">
        <f>+Dados!H48</f>
        <v>4</v>
      </c>
      <c r="D18" s="34">
        <f>+Dados!I48</f>
        <v>4</v>
      </c>
      <c r="E18" s="34">
        <f>+Dados!J48</f>
        <v>4</v>
      </c>
      <c r="F18" s="34">
        <f>+Dados!K48</f>
        <v>4</v>
      </c>
      <c r="G18" s="34">
        <f>+Dados!L48</f>
        <v>4</v>
      </c>
      <c r="H18" s="34">
        <f>+Dados!M48</f>
        <v>4</v>
      </c>
      <c r="I18" s="34">
        <f>+Dados!N48</f>
        <v>4</v>
      </c>
    </row>
    <row r="19" spans="1:9" x14ac:dyDescent="0.4">
      <c r="A19" s="33" t="str">
        <f>+Dados!F49</f>
        <v>Vicentina</v>
      </c>
      <c r="B19" s="33" t="str">
        <f>+Dados!G49</f>
        <v>CACS-FUNDEB</v>
      </c>
      <c r="C19" s="34">
        <f>+Dados!H49</f>
        <v>5</v>
      </c>
      <c r="D19" s="34">
        <f>+Dados!I49</f>
        <v>5</v>
      </c>
      <c r="E19" s="34">
        <f>+Dados!J49</f>
        <v>5</v>
      </c>
      <c r="F19" s="34">
        <f>+Dados!K49</f>
        <v>5</v>
      </c>
      <c r="G19" s="34">
        <f>+Dados!L49</f>
        <v>5</v>
      </c>
      <c r="H19" s="34">
        <f>+Dados!M49</f>
        <v>5</v>
      </c>
      <c r="I19" s="34">
        <f>+Dados!N49</f>
        <v>5</v>
      </c>
    </row>
    <row r="20" spans="1:9" x14ac:dyDescent="0.4">
      <c r="A20" s="33" t="str">
        <f>+Dados!F50</f>
        <v>Vicentina</v>
      </c>
      <c r="B20" s="33" t="str">
        <f>+Dados!G50</f>
        <v>CACS-FUNDEB</v>
      </c>
      <c r="C20" s="34">
        <f>+Dados!H50</f>
        <v>3</v>
      </c>
      <c r="D20" s="34">
        <f>+Dados!I50</f>
        <v>3</v>
      </c>
      <c r="E20" s="34">
        <f>+Dados!J50</f>
        <v>3</v>
      </c>
      <c r="F20" s="34">
        <f>+Dados!K50</f>
        <v>3</v>
      </c>
      <c r="G20" s="34">
        <f>+Dados!L50</f>
        <v>3</v>
      </c>
      <c r="H20" s="34">
        <f>+Dados!M50</f>
        <v>3</v>
      </c>
      <c r="I20" s="34">
        <f>+Dados!N50</f>
        <v>3</v>
      </c>
    </row>
    <row r="21" spans="1:9" x14ac:dyDescent="0.4">
      <c r="A21" s="33" t="str">
        <f>+Dados!F51</f>
        <v>Nova Alvorada do Sul</v>
      </c>
      <c r="B21" s="33" t="str">
        <f>+Dados!G51</f>
        <v>CACS-FUNDEB</v>
      </c>
      <c r="C21" s="34">
        <f>+Dados!H51</f>
        <v>4</v>
      </c>
      <c r="D21" s="34">
        <f>+Dados!I51</f>
        <v>3</v>
      </c>
      <c r="E21" s="34">
        <f>+Dados!J51</f>
        <v>4</v>
      </c>
      <c r="F21" s="34">
        <f>+Dados!K51</f>
        <v>4</v>
      </c>
      <c r="G21" s="34">
        <f>+Dados!L51</f>
        <v>5</v>
      </c>
      <c r="H21" s="34">
        <f>+Dados!M51</f>
        <v>5</v>
      </c>
      <c r="I21" s="34">
        <f>+Dados!N51</f>
        <v>4</v>
      </c>
    </row>
    <row r="22" spans="1:9" x14ac:dyDescent="0.4">
      <c r="A22" s="33" t="str">
        <f>+Dados!F52</f>
        <v>Laguna Carapã</v>
      </c>
      <c r="B22" s="33" t="str">
        <f>+Dados!G52</f>
        <v>CACS-FUNDEB</v>
      </c>
      <c r="C22" s="34">
        <f>+Dados!H52</f>
        <v>3</v>
      </c>
      <c r="D22" s="34">
        <f>+Dados!I52</f>
        <v>3</v>
      </c>
      <c r="E22" s="34">
        <f>+Dados!J52</f>
        <v>3</v>
      </c>
      <c r="F22" s="34">
        <f>+Dados!K52</f>
        <v>3</v>
      </c>
      <c r="G22" s="34">
        <f>+Dados!L52</f>
        <v>3</v>
      </c>
      <c r="H22" s="34">
        <f>+Dados!M52</f>
        <v>3</v>
      </c>
      <c r="I22" s="34">
        <f>+Dados!N52</f>
        <v>3</v>
      </c>
    </row>
    <row r="23" spans="1:9" x14ac:dyDescent="0.4">
      <c r="A23" s="33" t="str">
        <f>+Dados!F57</f>
        <v>Jateí</v>
      </c>
      <c r="B23" s="33" t="str">
        <f>+Dados!G57</f>
        <v>CACS-FUNDEB</v>
      </c>
      <c r="C23" s="34">
        <f>+Dados!H57</f>
        <v>4</v>
      </c>
      <c r="D23" s="34">
        <f>+Dados!I57</f>
        <v>4</v>
      </c>
      <c r="E23" s="34">
        <f>+Dados!J57</f>
        <v>4</v>
      </c>
      <c r="F23" s="34">
        <f>+Dados!K57</f>
        <v>5</v>
      </c>
      <c r="G23" s="34">
        <f>+Dados!L57</f>
        <v>4</v>
      </c>
      <c r="H23" s="34">
        <f>+Dados!M57</f>
        <v>5</v>
      </c>
      <c r="I23" s="34">
        <f>+Dados!N57</f>
        <v>5</v>
      </c>
    </row>
    <row r="24" spans="1:9" x14ac:dyDescent="0.4">
      <c r="A24" s="33" t="str">
        <f>+Dados!F3</f>
        <v>Itaquiraí</v>
      </c>
      <c r="B24" s="33" t="str">
        <f>+Dados!G3</f>
        <v>Gestão municipal</v>
      </c>
      <c r="C24" s="34">
        <f>+Dados!H3</f>
        <v>5</v>
      </c>
      <c r="D24" s="34">
        <f>+Dados!I3</f>
        <v>5</v>
      </c>
      <c r="E24" s="34">
        <f>+Dados!J3</f>
        <v>5</v>
      </c>
      <c r="F24" s="34">
        <f>+Dados!K3</f>
        <v>5</v>
      </c>
      <c r="G24" s="34">
        <f>+Dados!L3</f>
        <v>5</v>
      </c>
      <c r="H24" s="34">
        <f>+Dados!M3</f>
        <v>5</v>
      </c>
      <c r="I24" s="34">
        <f>+Dados!N3</f>
        <v>5</v>
      </c>
    </row>
    <row r="25" spans="1:9" x14ac:dyDescent="0.4">
      <c r="A25" s="33" t="str">
        <f>+Dados!F4</f>
        <v>Iguatemi</v>
      </c>
      <c r="B25" s="33" t="str">
        <f>+Dados!G4</f>
        <v>Gestão municipal</v>
      </c>
      <c r="C25" s="34">
        <f>+Dados!H4</f>
        <v>5</v>
      </c>
      <c r="D25" s="34">
        <f>+Dados!I4</f>
        <v>5</v>
      </c>
      <c r="E25" s="34">
        <f>+Dados!J4</f>
        <v>5</v>
      </c>
      <c r="F25" s="34">
        <f>+Dados!K4</f>
        <v>5</v>
      </c>
      <c r="G25" s="34">
        <f>+Dados!L4</f>
        <v>5</v>
      </c>
      <c r="H25" s="34">
        <f>+Dados!M4</f>
        <v>5</v>
      </c>
      <c r="I25" s="34">
        <f>+Dados!N4</f>
        <v>4</v>
      </c>
    </row>
    <row r="26" spans="1:9" x14ac:dyDescent="0.4">
      <c r="A26" s="33" t="str">
        <f>+Dados!F5</f>
        <v>Caarapó</v>
      </c>
      <c r="B26" s="33" t="str">
        <f>+Dados!G5</f>
        <v>Gestão municipal</v>
      </c>
      <c r="C26" s="34">
        <f>+Dados!H5</f>
        <v>5</v>
      </c>
      <c r="D26" s="34">
        <f>+Dados!I5</f>
        <v>5</v>
      </c>
      <c r="E26" s="34">
        <f>+Dados!J5</f>
        <v>5</v>
      </c>
      <c r="F26" s="34">
        <f>+Dados!K5</f>
        <v>5</v>
      </c>
      <c r="G26" s="34">
        <f>+Dados!L5</f>
        <v>5</v>
      </c>
      <c r="H26" s="34">
        <f>+Dados!M5</f>
        <v>5</v>
      </c>
      <c r="I26" s="34">
        <f>+Dados!N5</f>
        <v>5</v>
      </c>
    </row>
    <row r="27" spans="1:9" x14ac:dyDescent="0.4">
      <c r="A27" s="33" t="str">
        <f>+Dados!F6</f>
        <v>Ivinhema</v>
      </c>
      <c r="B27" s="33" t="str">
        <f>+Dados!G6</f>
        <v>Gestão municipal</v>
      </c>
      <c r="C27" s="34">
        <f>+Dados!H6</f>
        <v>5</v>
      </c>
      <c r="D27" s="34">
        <f>+Dados!I6</f>
        <v>4</v>
      </c>
      <c r="E27" s="34">
        <f>+Dados!J6</f>
        <v>5</v>
      </c>
      <c r="F27" s="34">
        <f>+Dados!K6</f>
        <v>5</v>
      </c>
      <c r="G27" s="34">
        <f>+Dados!L6</f>
        <v>5</v>
      </c>
      <c r="H27" s="34">
        <f>+Dados!M6</f>
        <v>5</v>
      </c>
      <c r="I27" s="34">
        <f>+Dados!N6</f>
        <v>5</v>
      </c>
    </row>
    <row r="28" spans="1:9" x14ac:dyDescent="0.4">
      <c r="A28" s="33" t="str">
        <f>+Dados!F7</f>
        <v>Dourados</v>
      </c>
      <c r="B28" s="33" t="str">
        <f>+Dados!G7</f>
        <v>Gestão municipal</v>
      </c>
      <c r="C28" s="34">
        <f>+Dados!H7</f>
        <v>5</v>
      </c>
      <c r="D28" s="34">
        <f>+Dados!I7</f>
        <v>5</v>
      </c>
      <c r="E28" s="34">
        <f>+Dados!J7</f>
        <v>5</v>
      </c>
      <c r="F28" s="34">
        <f>+Dados!K7</f>
        <v>5</v>
      </c>
      <c r="G28" s="34">
        <f>+Dados!L7</f>
        <v>5</v>
      </c>
      <c r="H28" s="34">
        <f>+Dados!M7</f>
        <v>5</v>
      </c>
      <c r="I28" s="34">
        <f>+Dados!N7</f>
        <v>5</v>
      </c>
    </row>
    <row r="29" spans="1:9" x14ac:dyDescent="0.4">
      <c r="A29" s="33" t="str">
        <f>+Dados!F8</f>
        <v>Bataguassu</v>
      </c>
      <c r="B29" s="33" t="str">
        <f>+Dados!G8</f>
        <v>Gestão municipal</v>
      </c>
      <c r="C29" s="34">
        <f>+Dados!H8</f>
        <v>5</v>
      </c>
      <c r="D29" s="34">
        <f>+Dados!I8</f>
        <v>5</v>
      </c>
      <c r="E29" s="34">
        <f>+Dados!J8</f>
        <v>5</v>
      </c>
      <c r="F29" s="34">
        <f>+Dados!K8</f>
        <v>5</v>
      </c>
      <c r="G29" s="34">
        <f>+Dados!L8</f>
        <v>5</v>
      </c>
      <c r="H29" s="34">
        <f>+Dados!M8</f>
        <v>5</v>
      </c>
      <c r="I29" s="34">
        <f>+Dados!N8</f>
        <v>5</v>
      </c>
    </row>
    <row r="30" spans="1:9" x14ac:dyDescent="0.4">
      <c r="A30" s="33" t="str">
        <f>+Dados!F9</f>
        <v>Angélica</v>
      </c>
      <c r="B30" s="33" t="str">
        <f>+Dados!G9</f>
        <v>Gestão municipal</v>
      </c>
      <c r="C30" s="34">
        <f>+Dados!H9</f>
        <v>5</v>
      </c>
      <c r="D30" s="34">
        <f>+Dados!I9</f>
        <v>3</v>
      </c>
      <c r="E30" s="34">
        <f>+Dados!J9</f>
        <v>4</v>
      </c>
      <c r="F30" s="34">
        <f>+Dados!K9</f>
        <v>4</v>
      </c>
      <c r="G30" s="34">
        <f>+Dados!L9</f>
        <v>4</v>
      </c>
      <c r="H30" s="34">
        <f>+Dados!M9</f>
        <v>4</v>
      </c>
      <c r="I30" s="34">
        <f>+Dados!N9</f>
        <v>4</v>
      </c>
    </row>
    <row r="31" spans="1:9" x14ac:dyDescent="0.4">
      <c r="A31" s="33" t="str">
        <f>+Dados!F10</f>
        <v>Itaporã</v>
      </c>
      <c r="B31" s="33" t="str">
        <f>+Dados!G10</f>
        <v>Gestão municipal</v>
      </c>
      <c r="C31" s="34">
        <f>+Dados!H10</f>
        <v>5</v>
      </c>
      <c r="D31" s="34">
        <f>+Dados!I10</f>
        <v>5</v>
      </c>
      <c r="E31" s="34">
        <f>+Dados!J10</f>
        <v>5</v>
      </c>
      <c r="F31" s="34">
        <f>+Dados!K10</f>
        <v>5</v>
      </c>
      <c r="G31" s="34">
        <f>+Dados!L10</f>
        <v>5</v>
      </c>
      <c r="H31" s="34">
        <f>+Dados!M10</f>
        <v>5</v>
      </c>
      <c r="I31" s="34">
        <f>+Dados!N10</f>
        <v>5</v>
      </c>
    </row>
    <row r="32" spans="1:9" x14ac:dyDescent="0.4">
      <c r="A32" s="33" t="str">
        <f>+Dados!F11</f>
        <v>Dourados</v>
      </c>
      <c r="B32" s="33" t="str">
        <f>+Dados!G11</f>
        <v>Gestão municipal</v>
      </c>
      <c r="C32" s="34">
        <f>+Dados!H11</f>
        <v>5</v>
      </c>
      <c r="D32" s="34">
        <f>+Dados!I11</f>
        <v>5</v>
      </c>
      <c r="E32" s="34">
        <f>+Dados!J11</f>
        <v>5</v>
      </c>
      <c r="F32" s="34">
        <f>+Dados!K11</f>
        <v>5</v>
      </c>
      <c r="G32" s="34">
        <f>+Dados!L11</f>
        <v>5</v>
      </c>
      <c r="H32" s="34">
        <f>+Dados!M11</f>
        <v>5</v>
      </c>
      <c r="I32" s="34">
        <f>+Dados!N11</f>
        <v>5</v>
      </c>
    </row>
    <row r="33" spans="1:9" x14ac:dyDescent="0.4">
      <c r="A33" s="33" t="str">
        <f>+Dados!F12</f>
        <v>Itaporã</v>
      </c>
      <c r="B33" s="33" t="str">
        <f>+Dados!G12</f>
        <v>Gestão municipal</v>
      </c>
      <c r="C33" s="34">
        <f>+Dados!H12</f>
        <v>3</v>
      </c>
      <c r="D33" s="34">
        <f>+Dados!I12</f>
        <v>3</v>
      </c>
      <c r="E33" s="34">
        <f>+Dados!J12</f>
        <v>3</v>
      </c>
      <c r="F33" s="34">
        <f>+Dados!K12</f>
        <v>3</v>
      </c>
      <c r="G33" s="34">
        <f>+Dados!L12</f>
        <v>3</v>
      </c>
      <c r="H33" s="34">
        <f>+Dados!M12</f>
        <v>3</v>
      </c>
      <c r="I33" s="34">
        <f>+Dados!N12</f>
        <v>3</v>
      </c>
    </row>
    <row r="34" spans="1:9" x14ac:dyDescent="0.4">
      <c r="A34" s="33" t="str">
        <f>+Dados!F13</f>
        <v>Ivinhema</v>
      </c>
      <c r="B34" s="33" t="str">
        <f>+Dados!G13</f>
        <v>Gestão municipal</v>
      </c>
      <c r="C34" s="34">
        <f>+Dados!H13</f>
        <v>5</v>
      </c>
      <c r="D34" s="34">
        <f>+Dados!I13</f>
        <v>5</v>
      </c>
      <c r="E34" s="34">
        <f>+Dados!J13</f>
        <v>5</v>
      </c>
      <c r="F34" s="34">
        <f>+Dados!K13</f>
        <v>4</v>
      </c>
      <c r="G34" s="34">
        <f>+Dados!L13</f>
        <v>5</v>
      </c>
      <c r="H34" s="34">
        <f>+Dados!M13</f>
        <v>4</v>
      </c>
      <c r="I34" s="34">
        <f>+Dados!N13</f>
        <v>5</v>
      </c>
    </row>
    <row r="35" spans="1:9" x14ac:dyDescent="0.4">
      <c r="A35" s="33" t="str">
        <f>+Dados!F14</f>
        <v>Aral Moreira</v>
      </c>
      <c r="B35" s="33" t="str">
        <f>+Dados!G14</f>
        <v>Gestão municipal</v>
      </c>
      <c r="C35" s="34">
        <f>+Dados!H14</f>
        <v>4</v>
      </c>
      <c r="D35" s="34">
        <f>+Dados!I14</f>
        <v>3</v>
      </c>
      <c r="E35" s="34">
        <f>+Dados!J14</f>
        <v>4</v>
      </c>
      <c r="F35" s="34">
        <f>+Dados!K14</f>
        <v>4</v>
      </c>
      <c r="G35" s="34">
        <f>+Dados!L14</f>
        <v>4</v>
      </c>
      <c r="H35" s="34">
        <f>+Dados!M14</f>
        <v>4</v>
      </c>
      <c r="I35" s="34">
        <f>+Dados!N14</f>
        <v>4</v>
      </c>
    </row>
    <row r="36" spans="1:9" x14ac:dyDescent="0.4">
      <c r="A36" s="33" t="str">
        <f>+Dados!F15</f>
        <v>Itaquiraí</v>
      </c>
      <c r="B36" s="33" t="str">
        <f>+Dados!G15</f>
        <v>Gestão municipal</v>
      </c>
      <c r="C36" s="34">
        <f>+Dados!H15</f>
        <v>5</v>
      </c>
      <c r="D36" s="34">
        <f>+Dados!I15</f>
        <v>5</v>
      </c>
      <c r="E36" s="34">
        <f>+Dados!J15</f>
        <v>5</v>
      </c>
      <c r="F36" s="34">
        <f>+Dados!K15</f>
        <v>5</v>
      </c>
      <c r="G36" s="34">
        <f>+Dados!L15</f>
        <v>5</v>
      </c>
      <c r="H36" s="34">
        <f>+Dados!M15</f>
        <v>5</v>
      </c>
      <c r="I36" s="34">
        <f>+Dados!N15</f>
        <v>5</v>
      </c>
    </row>
    <row r="37" spans="1:9" x14ac:dyDescent="0.4">
      <c r="A37" s="33" t="str">
        <f>+Dados!F16</f>
        <v>Amambai</v>
      </c>
      <c r="B37" s="33" t="str">
        <f>+Dados!G16</f>
        <v>Gestão municipal</v>
      </c>
      <c r="C37" s="34">
        <f>+Dados!H16</f>
        <v>5</v>
      </c>
      <c r="D37" s="34">
        <f>+Dados!I16</f>
        <v>4</v>
      </c>
      <c r="E37" s="34">
        <f>+Dados!J16</f>
        <v>5</v>
      </c>
      <c r="F37" s="34">
        <f>+Dados!K16</f>
        <v>5</v>
      </c>
      <c r="G37" s="34">
        <f>+Dados!L16</f>
        <v>5</v>
      </c>
      <c r="H37" s="34">
        <f>+Dados!M16</f>
        <v>5</v>
      </c>
      <c r="I37" s="34">
        <f>+Dados!N16</f>
        <v>4</v>
      </c>
    </row>
    <row r="38" spans="1:9" x14ac:dyDescent="0.4">
      <c r="A38" s="33" t="str">
        <f>+Dados!F17</f>
        <v>Glória de Dourados</v>
      </c>
      <c r="B38" s="33" t="str">
        <f>+Dados!G17</f>
        <v>Gestão municipal</v>
      </c>
      <c r="C38" s="34">
        <f>+Dados!H17</f>
        <v>5</v>
      </c>
      <c r="D38" s="34">
        <f>+Dados!I17</f>
        <v>5</v>
      </c>
      <c r="E38" s="34">
        <f>+Dados!J17</f>
        <v>5</v>
      </c>
      <c r="F38" s="34">
        <f>+Dados!K17</f>
        <v>5</v>
      </c>
      <c r="G38" s="34">
        <f>+Dados!L17</f>
        <v>5</v>
      </c>
      <c r="H38" s="34">
        <f>+Dados!M17</f>
        <v>5</v>
      </c>
      <c r="I38" s="34">
        <f>+Dados!N17</f>
        <v>5</v>
      </c>
    </row>
    <row r="39" spans="1:9" x14ac:dyDescent="0.4">
      <c r="A39" s="33" t="str">
        <f>+Dados!F18</f>
        <v>Coronel Sapucaia</v>
      </c>
      <c r="B39" s="33" t="str">
        <f>+Dados!G18</f>
        <v>Gestão municipal</v>
      </c>
      <c r="C39" s="34">
        <f>+Dados!H18</f>
        <v>5</v>
      </c>
      <c r="D39" s="34">
        <f>+Dados!I18</f>
        <v>5</v>
      </c>
      <c r="E39" s="34">
        <f>+Dados!J18</f>
        <v>5</v>
      </c>
      <c r="F39" s="34">
        <f>+Dados!K18</f>
        <v>5</v>
      </c>
      <c r="G39" s="34">
        <f>+Dados!L18</f>
        <v>5</v>
      </c>
      <c r="H39" s="34">
        <f>+Dados!M18</f>
        <v>5</v>
      </c>
      <c r="I39" s="34">
        <f>+Dados!N18</f>
        <v>5</v>
      </c>
    </row>
    <row r="40" spans="1:9" x14ac:dyDescent="0.4">
      <c r="A40" s="33" t="str">
        <f>+Dados!F19</f>
        <v>Eldorado</v>
      </c>
      <c r="B40" s="33" t="str">
        <f>+Dados!G19</f>
        <v>Gestão municipal</v>
      </c>
      <c r="C40" s="34">
        <f>+Dados!H19</f>
        <v>5</v>
      </c>
      <c r="D40" s="34">
        <f>+Dados!I19</f>
        <v>5</v>
      </c>
      <c r="E40" s="34">
        <f>+Dados!J19</f>
        <v>5</v>
      </c>
      <c r="F40" s="34">
        <f>+Dados!K19</f>
        <v>5</v>
      </c>
      <c r="G40" s="34">
        <f>+Dados!L19</f>
        <v>5</v>
      </c>
      <c r="H40" s="34">
        <f>+Dados!M19</f>
        <v>5</v>
      </c>
      <c r="I40" s="34">
        <f>+Dados!N19</f>
        <v>5</v>
      </c>
    </row>
    <row r="41" spans="1:9" x14ac:dyDescent="0.4">
      <c r="A41" s="33" t="str">
        <f>+Dados!F20</f>
        <v>Douradina</v>
      </c>
      <c r="B41" s="33" t="str">
        <f>+Dados!G20</f>
        <v>Gestão municipal</v>
      </c>
      <c r="C41" s="34">
        <f>+Dados!H20</f>
        <v>4</v>
      </c>
      <c r="D41" s="34">
        <f>+Dados!I20</f>
        <v>4</v>
      </c>
      <c r="E41" s="34">
        <f>+Dados!J20</f>
        <v>4</v>
      </c>
      <c r="F41" s="34">
        <f>+Dados!K20</f>
        <v>4</v>
      </c>
      <c r="G41" s="34">
        <f>+Dados!L20</f>
        <v>4</v>
      </c>
      <c r="H41" s="34">
        <f>+Dados!M20</f>
        <v>4</v>
      </c>
      <c r="I41" s="34">
        <f>+Dados!N20</f>
        <v>4</v>
      </c>
    </row>
    <row r="42" spans="1:9" x14ac:dyDescent="0.4">
      <c r="A42" s="33" t="str">
        <f>+Dados!F21</f>
        <v>Paraíso das Águas</v>
      </c>
      <c r="B42" s="33" t="str">
        <f>+Dados!G21</f>
        <v>Gestão municipal</v>
      </c>
      <c r="C42" s="34">
        <f>+Dados!H21</f>
        <v>4</v>
      </c>
      <c r="D42" s="34">
        <f>+Dados!I21</f>
        <v>4</v>
      </c>
      <c r="E42" s="34">
        <f>+Dados!J21</f>
        <v>4</v>
      </c>
      <c r="F42" s="34">
        <f>+Dados!K21</f>
        <v>4</v>
      </c>
      <c r="G42" s="34">
        <f>+Dados!L21</f>
        <v>4</v>
      </c>
      <c r="H42" s="34">
        <f>+Dados!M21</f>
        <v>4</v>
      </c>
      <c r="I42" s="34">
        <f>+Dados!N21</f>
        <v>4</v>
      </c>
    </row>
    <row r="43" spans="1:9" x14ac:dyDescent="0.4">
      <c r="A43" s="33" t="str">
        <f>+Dados!F22</f>
        <v>Paraíso das Águas</v>
      </c>
      <c r="B43" s="33" t="str">
        <f>+Dados!G22</f>
        <v>Gestão municipal</v>
      </c>
      <c r="C43" s="34">
        <f>+Dados!H22</f>
        <v>4</v>
      </c>
      <c r="D43" s="34">
        <f>+Dados!I22</f>
        <v>3</v>
      </c>
      <c r="E43" s="34">
        <f>+Dados!J22</f>
        <v>3</v>
      </c>
      <c r="F43" s="34">
        <f>+Dados!K22</f>
        <v>4</v>
      </c>
      <c r="G43" s="34">
        <f>+Dados!L22</f>
        <v>4</v>
      </c>
      <c r="H43" s="34">
        <f>+Dados!M22</f>
        <v>4</v>
      </c>
      <c r="I43" s="34">
        <f>+Dados!N22</f>
        <v>4</v>
      </c>
    </row>
    <row r="44" spans="1:9" x14ac:dyDescent="0.4">
      <c r="A44" s="33" t="str">
        <f>+Dados!F23</f>
        <v>Batayporã</v>
      </c>
      <c r="B44" s="33" t="str">
        <f>+Dados!G23</f>
        <v>Gestão municipal</v>
      </c>
      <c r="C44" s="34">
        <f>+Dados!H23</f>
        <v>5</v>
      </c>
      <c r="D44" s="34">
        <f>+Dados!I23</f>
        <v>5</v>
      </c>
      <c r="E44" s="34">
        <f>+Dados!J23</f>
        <v>5</v>
      </c>
      <c r="F44" s="34">
        <f>+Dados!K23</f>
        <v>5</v>
      </c>
      <c r="G44" s="34">
        <f>+Dados!L23</f>
        <v>5</v>
      </c>
      <c r="H44" s="34">
        <f>+Dados!M23</f>
        <v>5</v>
      </c>
      <c r="I44" s="34">
        <f>+Dados!N23</f>
        <v>5</v>
      </c>
    </row>
    <row r="45" spans="1:9" x14ac:dyDescent="0.4">
      <c r="A45" s="33" t="str">
        <f>+Dados!F24</f>
        <v>Anaurilândia</v>
      </c>
      <c r="B45" s="33" t="str">
        <f>+Dados!G24</f>
        <v>Gestão municipal</v>
      </c>
      <c r="C45" s="34">
        <f>+Dados!H24</f>
        <v>5</v>
      </c>
      <c r="D45" s="34">
        <f>+Dados!I24</f>
        <v>5</v>
      </c>
      <c r="E45" s="34">
        <f>+Dados!J24</f>
        <v>4</v>
      </c>
      <c r="F45" s="34">
        <f>+Dados!K24</f>
        <v>4</v>
      </c>
      <c r="G45" s="34">
        <f>+Dados!L24</f>
        <v>5</v>
      </c>
      <c r="H45" s="34">
        <f>+Dados!M24</f>
        <v>4</v>
      </c>
      <c r="I45" s="34">
        <f>+Dados!N24</f>
        <v>5</v>
      </c>
    </row>
    <row r="46" spans="1:9" x14ac:dyDescent="0.4">
      <c r="A46" s="33" t="str">
        <f>+Dados!F25</f>
        <v>Amambai</v>
      </c>
      <c r="B46" s="33" t="str">
        <f>+Dados!G25</f>
        <v>Gestão municipal</v>
      </c>
      <c r="C46" s="34">
        <f>+Dados!H25</f>
        <v>5</v>
      </c>
      <c r="D46" s="34">
        <f>+Dados!I25</f>
        <v>4</v>
      </c>
      <c r="E46" s="34">
        <f>+Dados!J25</f>
        <v>5</v>
      </c>
      <c r="F46" s="34">
        <f>+Dados!K25</f>
        <v>5</v>
      </c>
      <c r="G46" s="34">
        <f>+Dados!L25</f>
        <v>5</v>
      </c>
      <c r="H46" s="34">
        <f>+Dados!M25</f>
        <v>5</v>
      </c>
      <c r="I46" s="34">
        <f>+Dados!N25</f>
        <v>5</v>
      </c>
    </row>
    <row r="47" spans="1:9" x14ac:dyDescent="0.4">
      <c r="A47" s="33" t="str">
        <f>+Dados!F26</f>
        <v>Deodápolis</v>
      </c>
      <c r="B47" s="33" t="str">
        <f>+Dados!G26</f>
        <v>Gestão municipal</v>
      </c>
      <c r="C47" s="34">
        <f>+Dados!H26</f>
        <v>3</v>
      </c>
      <c r="D47" s="34">
        <f>+Dados!I26</f>
        <v>3</v>
      </c>
      <c r="E47" s="34">
        <f>+Dados!J26</f>
        <v>3</v>
      </c>
      <c r="F47" s="34">
        <f>+Dados!K26</f>
        <v>3</v>
      </c>
      <c r="G47" s="34">
        <f>+Dados!L26</f>
        <v>3</v>
      </c>
      <c r="H47" s="34">
        <f>+Dados!M26</f>
        <v>3</v>
      </c>
      <c r="I47" s="34">
        <f>+Dados!N26</f>
        <v>3</v>
      </c>
    </row>
    <row r="48" spans="1:9" x14ac:dyDescent="0.4">
      <c r="A48" s="33" t="str">
        <f>+Dados!F28</f>
        <v>Angélica</v>
      </c>
      <c r="B48" s="33" t="str">
        <f>+Dados!G28</f>
        <v>Gestão municipal</v>
      </c>
      <c r="C48" s="34">
        <f>+Dados!H28</f>
        <v>4</v>
      </c>
      <c r="D48" s="34">
        <f>+Dados!I28</f>
        <v>4</v>
      </c>
      <c r="E48" s="34">
        <f>+Dados!J28</f>
        <v>4</v>
      </c>
      <c r="F48" s="34">
        <f>+Dados!K28</f>
        <v>4</v>
      </c>
      <c r="G48" s="34">
        <f>+Dados!L28</f>
        <v>4</v>
      </c>
      <c r="H48" s="34">
        <f>+Dados!M28</f>
        <v>4</v>
      </c>
      <c r="I48" s="34">
        <f>+Dados!N28</f>
        <v>4</v>
      </c>
    </row>
    <row r="49" spans="1:9" x14ac:dyDescent="0.4">
      <c r="A49" s="33" t="str">
        <f>+Dados!F30</f>
        <v>Bataguassu</v>
      </c>
      <c r="B49" s="33" t="str">
        <f>+Dados!G30</f>
        <v>Gestão municipal</v>
      </c>
      <c r="C49" s="34">
        <f>+Dados!H30</f>
        <v>5</v>
      </c>
      <c r="D49" s="34">
        <f>+Dados!I30</f>
        <v>5</v>
      </c>
      <c r="E49" s="34">
        <f>+Dados!J30</f>
        <v>5</v>
      </c>
      <c r="F49" s="34">
        <f>+Dados!K30</f>
        <v>5</v>
      </c>
      <c r="G49" s="34">
        <f>+Dados!L30</f>
        <v>5</v>
      </c>
      <c r="H49" s="34">
        <f>+Dados!M30</f>
        <v>5</v>
      </c>
      <c r="I49" s="34">
        <f>+Dados!N30</f>
        <v>5</v>
      </c>
    </row>
    <row r="50" spans="1:9" x14ac:dyDescent="0.4">
      <c r="A50" s="33" t="str">
        <f>+Dados!F33</f>
        <v>Douradina</v>
      </c>
      <c r="B50" s="33" t="str">
        <f>+Dados!G33</f>
        <v>Gestão municipal</v>
      </c>
      <c r="C50" s="34">
        <f>+Dados!H33</f>
        <v>5</v>
      </c>
      <c r="D50" s="34">
        <f>+Dados!I33</f>
        <v>5</v>
      </c>
      <c r="E50" s="34">
        <f>+Dados!J33</f>
        <v>5</v>
      </c>
      <c r="F50" s="34">
        <f>+Dados!K33</f>
        <v>5</v>
      </c>
      <c r="G50" s="34">
        <f>+Dados!L33</f>
        <v>5</v>
      </c>
      <c r="H50" s="34">
        <f>+Dados!M33</f>
        <v>5</v>
      </c>
      <c r="I50" s="34">
        <f>+Dados!N33</f>
        <v>5</v>
      </c>
    </row>
    <row r="51" spans="1:9" x14ac:dyDescent="0.4">
      <c r="A51" s="33" t="str">
        <f>+Dados!F38</f>
        <v>Japorã</v>
      </c>
      <c r="B51" s="33" t="str">
        <f>+Dados!G38</f>
        <v>Gestão municipal</v>
      </c>
      <c r="C51" s="34">
        <f>+Dados!H38</f>
        <v>5</v>
      </c>
      <c r="D51" s="34">
        <f>+Dados!I38</f>
        <v>5</v>
      </c>
      <c r="E51" s="34">
        <f>+Dados!J38</f>
        <v>5</v>
      </c>
      <c r="F51" s="34">
        <f>+Dados!K38</f>
        <v>5</v>
      </c>
      <c r="G51" s="34">
        <f>+Dados!L38</f>
        <v>5</v>
      </c>
      <c r="H51" s="34">
        <f>+Dados!M38</f>
        <v>5</v>
      </c>
      <c r="I51" s="34">
        <f>+Dados!N38</f>
        <v>5</v>
      </c>
    </row>
    <row r="52" spans="1:9" x14ac:dyDescent="0.4">
      <c r="A52" s="33" t="str">
        <f>+Dados!F44</f>
        <v>Taquarussu</v>
      </c>
      <c r="B52" s="33" t="str">
        <f>+Dados!G44</f>
        <v>Gestão municipal</v>
      </c>
      <c r="C52" s="34">
        <f>+Dados!H44</f>
        <v>4</v>
      </c>
      <c r="D52" s="34">
        <f>+Dados!I44</f>
        <v>4</v>
      </c>
      <c r="E52" s="34">
        <f>+Dados!J44</f>
        <v>4</v>
      </c>
      <c r="F52" s="34">
        <f>+Dados!K44</f>
        <v>4</v>
      </c>
      <c r="G52" s="34">
        <f>+Dados!L44</f>
        <v>4</v>
      </c>
      <c r="H52" s="34">
        <f>+Dados!M44</f>
        <v>4</v>
      </c>
      <c r="I52" s="34">
        <f>+Dados!N44</f>
        <v>4</v>
      </c>
    </row>
    <row r="53" spans="1:9" x14ac:dyDescent="0.4">
      <c r="A53" s="33" t="str">
        <f>+Dados!F45</f>
        <v>Juti</v>
      </c>
      <c r="B53" s="33" t="str">
        <f>+Dados!G45</f>
        <v>Gestão municipal</v>
      </c>
      <c r="C53" s="34">
        <f>+Dados!H45</f>
        <v>3</v>
      </c>
      <c r="D53" s="34">
        <f>+Dados!I45</f>
        <v>3</v>
      </c>
      <c r="E53" s="34">
        <f>+Dados!J45</f>
        <v>3</v>
      </c>
      <c r="F53" s="34">
        <f>+Dados!K45</f>
        <v>3</v>
      </c>
      <c r="G53" s="34">
        <f>+Dados!L45</f>
        <v>3</v>
      </c>
      <c r="H53" s="34">
        <f>+Dados!M45</f>
        <v>3</v>
      </c>
      <c r="I53" s="34">
        <f>+Dados!N45</f>
        <v>3</v>
      </c>
    </row>
    <row r="54" spans="1:9" x14ac:dyDescent="0.4">
      <c r="A54" s="33" t="str">
        <f>+Dados!F53</f>
        <v>Maracaju</v>
      </c>
      <c r="B54" s="33" t="str">
        <f>+Dados!G53</f>
        <v>Gestão municipal</v>
      </c>
      <c r="C54" s="34">
        <f>+Dados!H53</f>
        <v>5</v>
      </c>
      <c r="D54" s="34">
        <f>+Dados!I53</f>
        <v>3</v>
      </c>
      <c r="E54" s="34">
        <f>+Dados!J53</f>
        <v>5</v>
      </c>
      <c r="F54" s="34">
        <f>+Dados!K53</f>
        <v>5</v>
      </c>
      <c r="G54" s="34">
        <f>+Dados!L53</f>
        <v>5</v>
      </c>
      <c r="H54" s="34">
        <f>+Dados!M53</f>
        <v>5</v>
      </c>
      <c r="I54" s="34">
        <f>+Dados!N53</f>
        <v>3</v>
      </c>
    </row>
    <row r="55" spans="1:9" x14ac:dyDescent="0.4">
      <c r="A55" s="33" t="str">
        <f>+Dados!F54</f>
        <v>Juti</v>
      </c>
      <c r="B55" s="33" t="str">
        <f>+Dados!G54</f>
        <v>Gestão municipal</v>
      </c>
      <c r="C55" s="34">
        <f>+Dados!H54</f>
        <v>5</v>
      </c>
      <c r="D55" s="34">
        <f>+Dados!I54</f>
        <v>4</v>
      </c>
      <c r="E55" s="34">
        <f>+Dados!J54</f>
        <v>5</v>
      </c>
      <c r="F55" s="34">
        <f>+Dados!K54</f>
        <v>5</v>
      </c>
      <c r="G55" s="34">
        <f>+Dados!L54</f>
        <v>5</v>
      </c>
      <c r="H55" s="34">
        <f>+Dados!M54</f>
        <v>5</v>
      </c>
      <c r="I55" s="34">
        <f>+Dados!N54</f>
        <v>5</v>
      </c>
    </row>
    <row r="56" spans="1:9" x14ac:dyDescent="0.4">
      <c r="A56" s="33" t="str">
        <f>+Dados!F55</f>
        <v>Ponta Porã</v>
      </c>
      <c r="B56" s="33" t="str">
        <f>+Dados!G55</f>
        <v>Gestão municipal</v>
      </c>
      <c r="C56" s="34">
        <f>+Dados!H55</f>
        <v>5</v>
      </c>
      <c r="D56" s="34">
        <f>+Dados!I55</f>
        <v>5</v>
      </c>
      <c r="E56" s="34">
        <f>+Dados!J55</f>
        <v>5</v>
      </c>
      <c r="F56" s="34">
        <f>+Dados!K55</f>
        <v>5</v>
      </c>
      <c r="G56" s="34">
        <f>+Dados!L55</f>
        <v>5</v>
      </c>
      <c r="H56" s="34">
        <f>+Dados!M55</f>
        <v>5</v>
      </c>
      <c r="I56" s="34">
        <f>+Dados!N55</f>
        <v>5</v>
      </c>
    </row>
    <row r="57" spans="1:9" x14ac:dyDescent="0.4">
      <c r="A57" s="33" t="str">
        <f>+Dados!F56</f>
        <v>Ponta Porã</v>
      </c>
      <c r="B57" s="33" t="str">
        <f>+Dados!G56</f>
        <v>Gestão municipal</v>
      </c>
      <c r="C57" s="34">
        <f>+Dados!H56</f>
        <v>5</v>
      </c>
      <c r="D57" s="34">
        <f>+Dados!I56</f>
        <v>4</v>
      </c>
      <c r="E57" s="34">
        <f>+Dados!J56</f>
        <v>5</v>
      </c>
      <c r="F57" s="34">
        <f>+Dados!K56</f>
        <v>5</v>
      </c>
      <c r="G57" s="34">
        <f>+Dados!L56</f>
        <v>5</v>
      </c>
      <c r="H57" s="34">
        <f>+Dados!M56</f>
        <v>5</v>
      </c>
      <c r="I57" s="34">
        <f>+Dados!N56</f>
        <v>5</v>
      </c>
    </row>
    <row r="58" spans="1:9" x14ac:dyDescent="0.4">
      <c r="A58" s="33" t="str">
        <f>+Dados!F58</f>
        <v>Sete Quedas</v>
      </c>
      <c r="B58" s="33" t="str">
        <f>+Dados!G58</f>
        <v>Gestão municipal</v>
      </c>
      <c r="C58" s="34">
        <f>+Dados!H58</f>
        <v>5</v>
      </c>
      <c r="D58" s="34">
        <f>+Dados!I58</f>
        <v>5</v>
      </c>
      <c r="E58" s="34">
        <f>+Dados!J58</f>
        <v>5</v>
      </c>
      <c r="F58" s="34">
        <f>+Dados!K58</f>
        <v>5</v>
      </c>
      <c r="G58" s="34">
        <f>+Dados!L58</f>
        <v>5</v>
      </c>
      <c r="H58" s="34">
        <f>+Dados!M58</f>
        <v>5</v>
      </c>
      <c r="I58" s="34">
        <f>+Dados!N58</f>
        <v>5</v>
      </c>
    </row>
    <row r="59" spans="1:9" x14ac:dyDescent="0.4">
      <c r="A59" s="33" t="str">
        <f>+Dados!F59</f>
        <v>Laguna Carapã</v>
      </c>
      <c r="B59" s="33" t="str">
        <f>+Dados!G59</f>
        <v>Gestão municipal</v>
      </c>
      <c r="C59" s="34">
        <f>+Dados!H59</f>
        <v>5</v>
      </c>
      <c r="D59" s="34">
        <f>+Dados!I59</f>
        <v>5</v>
      </c>
      <c r="E59" s="34">
        <f>+Dados!J59</f>
        <v>5</v>
      </c>
      <c r="F59" s="34">
        <f>+Dados!K59</f>
        <v>5</v>
      </c>
      <c r="G59" s="34">
        <f>+Dados!L59</f>
        <v>5</v>
      </c>
      <c r="H59" s="34">
        <f>+Dados!M59</f>
        <v>5</v>
      </c>
      <c r="I59" s="34">
        <f>+Dados!N59</f>
        <v>5</v>
      </c>
    </row>
    <row r="60" spans="1:9" x14ac:dyDescent="0.4">
      <c r="A60" s="33" t="str">
        <f>+Dados!F60</f>
        <v>Maracaju</v>
      </c>
      <c r="B60" s="33" t="str">
        <f>+Dados!G60</f>
        <v>Gestão municipal</v>
      </c>
      <c r="C60" s="34">
        <f>+Dados!H60</f>
        <v>5</v>
      </c>
      <c r="D60" s="34">
        <f>+Dados!I60</f>
        <v>5</v>
      </c>
      <c r="E60" s="34">
        <f>+Dados!J60</f>
        <v>5</v>
      </c>
      <c r="F60" s="34">
        <f>+Dados!K60</f>
        <v>5</v>
      </c>
      <c r="G60" s="34">
        <f>+Dados!L60</f>
        <v>5</v>
      </c>
      <c r="H60" s="34">
        <f>+Dados!M60</f>
        <v>5</v>
      </c>
      <c r="I60" s="34">
        <f>+Dados!N60</f>
        <v>5</v>
      </c>
    </row>
    <row r="61" spans="1:9" x14ac:dyDescent="0.4">
      <c r="A61" s="33" t="str">
        <f>+Dados!F61</f>
        <v>Paranhos</v>
      </c>
      <c r="B61" s="33" t="str">
        <f>+Dados!G61</f>
        <v>Gestão municipal</v>
      </c>
      <c r="C61" s="34">
        <f>+Dados!H61</f>
        <v>4</v>
      </c>
      <c r="D61" s="34">
        <f>+Dados!I61</f>
        <v>3</v>
      </c>
      <c r="E61" s="34">
        <f>+Dados!J61</f>
        <v>5</v>
      </c>
      <c r="F61" s="34">
        <f>+Dados!K61</f>
        <v>5</v>
      </c>
      <c r="G61" s="34">
        <f>+Dados!L61</f>
        <v>5</v>
      </c>
      <c r="H61" s="34">
        <f>+Dados!M61</f>
        <v>4</v>
      </c>
      <c r="I61" s="34">
        <f>+Dados!N61</f>
        <v>5</v>
      </c>
    </row>
    <row r="62" spans="1:9" x14ac:dyDescent="0.4">
      <c r="A62" s="33" t="str">
        <f>+Dados!F62</f>
        <v>Sete Quedas</v>
      </c>
      <c r="B62" s="33" t="str">
        <f>+Dados!G62</f>
        <v>Gestão municipal</v>
      </c>
      <c r="C62" s="34">
        <f>+Dados!H62</f>
        <v>4</v>
      </c>
      <c r="D62" s="34">
        <f>+Dados!I62</f>
        <v>5</v>
      </c>
      <c r="E62" s="34">
        <f>+Dados!J62</f>
        <v>5</v>
      </c>
      <c r="F62" s="34">
        <f>+Dados!K62</f>
        <v>5</v>
      </c>
      <c r="G62" s="34">
        <f>+Dados!L62</f>
        <v>5</v>
      </c>
      <c r="H62" s="34">
        <f>+Dados!M62</f>
        <v>5</v>
      </c>
      <c r="I62" s="34">
        <f>+Dados!N62</f>
        <v>5</v>
      </c>
    </row>
    <row r="63" spans="1:9" x14ac:dyDescent="0.4">
      <c r="A63" s="33" t="str">
        <f>+Dados!F63</f>
        <v>Jateí</v>
      </c>
      <c r="B63" s="33" t="str">
        <f>+Dados!G63</f>
        <v>Gestão municipal</v>
      </c>
      <c r="C63" s="34">
        <f>+Dados!H63</f>
        <v>5</v>
      </c>
      <c r="D63" s="34">
        <f>+Dados!I63</f>
        <v>4</v>
      </c>
      <c r="E63" s="34">
        <f>+Dados!J63</f>
        <v>4</v>
      </c>
      <c r="F63" s="34">
        <f>+Dados!K63</f>
        <v>4</v>
      </c>
      <c r="G63" s="34">
        <f>+Dados!L63</f>
        <v>5</v>
      </c>
      <c r="H63" s="34">
        <f>+Dados!M63</f>
        <v>4</v>
      </c>
      <c r="I63" s="34">
        <f>+Dados!N63</f>
        <v>5</v>
      </c>
    </row>
    <row r="64" spans="1:9" x14ac:dyDescent="0.4">
      <c r="A64" s="33" t="str">
        <f>+Dados!F64</f>
        <v>Cassilândia</v>
      </c>
      <c r="B64" s="33" t="str">
        <f>+Dados!G64</f>
        <v>Gestão municipal</v>
      </c>
      <c r="C64" s="34">
        <f>+Dados!H64</f>
        <v>5</v>
      </c>
      <c r="D64" s="34">
        <f>+Dados!I64</f>
        <v>4</v>
      </c>
      <c r="E64" s="34">
        <f>+Dados!J64</f>
        <v>5</v>
      </c>
      <c r="F64" s="34">
        <f>+Dados!K64</f>
        <v>5</v>
      </c>
      <c r="G64" s="34">
        <f>+Dados!L64</f>
        <v>4</v>
      </c>
      <c r="H64" s="34">
        <f>+Dados!M64</f>
        <v>5</v>
      </c>
      <c r="I64" s="34">
        <f>+Dados!N64</f>
        <v>5</v>
      </c>
    </row>
    <row r="65" spans="1:9" x14ac:dyDescent="0.4">
      <c r="A65" s="33" t="str">
        <f>+Dados!F65</f>
        <v>Rio Brilhante</v>
      </c>
      <c r="B65" s="33" t="str">
        <f>+Dados!G65</f>
        <v>Gestão municipal</v>
      </c>
      <c r="C65" s="34">
        <f>+Dados!H65</f>
        <v>5</v>
      </c>
      <c r="D65" s="34">
        <f>+Dados!I65</f>
        <v>4</v>
      </c>
      <c r="E65" s="34">
        <f>+Dados!J65</f>
        <v>5</v>
      </c>
      <c r="F65" s="34">
        <f>+Dados!K65</f>
        <v>5</v>
      </c>
      <c r="G65" s="34">
        <f>+Dados!L65</f>
        <v>5</v>
      </c>
      <c r="H65" s="34">
        <f>+Dados!M65</f>
        <v>5</v>
      </c>
      <c r="I65" s="34">
        <f>+Dados!N65</f>
        <v>5</v>
      </c>
    </row>
    <row r="66" spans="1:9" x14ac:dyDescent="0.4">
      <c r="A66" s="33" t="str">
        <f>+Dados!F66</f>
        <v>Laguna Carapã</v>
      </c>
      <c r="B66" s="33" t="str">
        <f>+Dados!G66</f>
        <v>Gestão municipal</v>
      </c>
      <c r="C66" s="34">
        <f>+Dados!H66</f>
        <v>5</v>
      </c>
      <c r="D66" s="34">
        <f>+Dados!I66</f>
        <v>5</v>
      </c>
      <c r="E66" s="34">
        <f>+Dados!J66</f>
        <v>5</v>
      </c>
      <c r="F66" s="34">
        <f>+Dados!K66</f>
        <v>5</v>
      </c>
      <c r="G66" s="34">
        <f>+Dados!L66</f>
        <v>5</v>
      </c>
      <c r="H66" s="34">
        <f>+Dados!M66</f>
        <v>5</v>
      </c>
      <c r="I66" s="34">
        <f>+Dados!N66</f>
        <v>5</v>
      </c>
    </row>
    <row r="67" spans="1:9" x14ac:dyDescent="0.4">
      <c r="A67" s="33" t="str">
        <f>+Dados!F67</f>
        <v>Cassilândia</v>
      </c>
      <c r="B67" s="33" t="str">
        <f>+Dados!G67</f>
        <v>Gestão municipal</v>
      </c>
      <c r="C67" s="34">
        <f>+Dados!H67</f>
        <v>4</v>
      </c>
      <c r="D67" s="34">
        <f>+Dados!I67</f>
        <v>4</v>
      </c>
      <c r="E67" s="34">
        <f>+Dados!J67</f>
        <v>4</v>
      </c>
      <c r="F67" s="34">
        <f>+Dados!K67</f>
        <v>4</v>
      </c>
      <c r="G67" s="34">
        <f>+Dados!L67</f>
        <v>4</v>
      </c>
      <c r="H67" s="34">
        <f>+Dados!M67</f>
        <v>4</v>
      </c>
      <c r="I67" s="34">
        <f>+Dados!N67</f>
        <v>5</v>
      </c>
    </row>
    <row r="68" spans="1:9" x14ac:dyDescent="0.4">
      <c r="A68" s="33" t="str">
        <f>+Dados!F68</f>
        <v>Paranhos</v>
      </c>
      <c r="B68" s="33" t="str">
        <f>+Dados!G68</f>
        <v>Gestão municipal</v>
      </c>
      <c r="C68" s="34">
        <f>+Dados!H68</f>
        <v>5</v>
      </c>
      <c r="D68" s="34">
        <f>+Dados!I68</f>
        <v>4</v>
      </c>
      <c r="E68" s="34">
        <f>+Dados!J68</f>
        <v>5</v>
      </c>
      <c r="F68" s="34">
        <f>+Dados!K68</f>
        <v>5</v>
      </c>
      <c r="G68" s="34">
        <f>+Dados!L68</f>
        <v>5</v>
      </c>
      <c r="H68" s="34">
        <f>+Dados!M68</f>
        <v>5</v>
      </c>
      <c r="I68" s="34">
        <f>+Dados!N68</f>
        <v>5</v>
      </c>
    </row>
    <row r="69" spans="1:9" x14ac:dyDescent="0.4">
      <c r="A69" s="33" t="str">
        <f>+Dados!F69</f>
        <v>Mundo Novo</v>
      </c>
      <c r="B69" s="33" t="str">
        <f>+Dados!G69</f>
        <v>Gestão municipal</v>
      </c>
      <c r="C69" s="34">
        <f>+Dados!H69</f>
        <v>5</v>
      </c>
      <c r="D69" s="34">
        <f>+Dados!I69</f>
        <v>5</v>
      </c>
      <c r="E69" s="34">
        <f>+Dados!J69</f>
        <v>5</v>
      </c>
      <c r="F69" s="34">
        <f>+Dados!K69</f>
        <v>5</v>
      </c>
      <c r="G69" s="34">
        <f>+Dados!L69</f>
        <v>5</v>
      </c>
      <c r="H69" s="34">
        <f>+Dados!M69</f>
        <v>5</v>
      </c>
      <c r="I69" s="34">
        <f>+Dados!N69</f>
        <v>5</v>
      </c>
    </row>
  </sheetData>
  <sortState xmlns:xlrd2="http://schemas.microsoft.com/office/spreadsheetml/2017/richdata2" ref="A2:I69">
    <sortCondition ref="B2:B69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23"/>
  <sheetViews>
    <sheetView topLeftCell="I19" workbookViewId="0">
      <selection activeCell="K14" sqref="K14"/>
    </sheetView>
  </sheetViews>
  <sheetFormatPr defaultRowHeight="19.5" x14ac:dyDescent="0.4"/>
  <cols>
    <col min="1" max="1" width="14.375" style="33" customWidth="1"/>
    <col min="2" max="2" width="20.375" style="33" customWidth="1"/>
    <col min="3" max="3" width="5.75" style="34" bestFit="1" customWidth="1"/>
    <col min="4" max="4" width="8.875" style="34" customWidth="1"/>
    <col min="5" max="8" width="7.25" style="34" bestFit="1" customWidth="1"/>
    <col min="9" max="9" width="10.375" style="34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31" t="s">
        <v>513</v>
      </c>
      <c r="B1" s="31" t="s">
        <v>514</v>
      </c>
      <c r="C1" s="32" t="s">
        <v>515</v>
      </c>
      <c r="D1" s="32" t="s">
        <v>516</v>
      </c>
      <c r="E1" s="32" t="s">
        <v>517</v>
      </c>
      <c r="F1" s="32" t="s">
        <v>518</v>
      </c>
      <c r="G1" s="32" t="s">
        <v>519</v>
      </c>
      <c r="H1" s="32" t="s">
        <v>520</v>
      </c>
      <c r="I1" s="31" t="s">
        <v>521</v>
      </c>
    </row>
    <row r="2" spans="1:18" x14ac:dyDescent="0.4">
      <c r="A2" s="33" t="str">
        <f>+Dados!F2</f>
        <v>Caarapó</v>
      </c>
      <c r="B2" s="33" t="str">
        <f>+Dados!G2</f>
        <v>CACS-FUNDEB</v>
      </c>
      <c r="C2" s="34">
        <f>+Dados!H2</f>
        <v>5</v>
      </c>
      <c r="D2" s="34">
        <f>+Dados!I2</f>
        <v>4</v>
      </c>
      <c r="E2" s="34">
        <f>+Dados!J2</f>
        <v>4</v>
      </c>
      <c r="F2" s="34">
        <f>+Dados!K2</f>
        <v>4</v>
      </c>
      <c r="G2" s="34">
        <f>+Dados!L2</f>
        <v>5</v>
      </c>
      <c r="H2" s="34">
        <f>+Dados!M2</f>
        <v>5</v>
      </c>
      <c r="I2" s="34">
        <f>+Dados!N2</f>
        <v>5</v>
      </c>
      <c r="N2" s="2" t="s">
        <v>3</v>
      </c>
      <c r="O2" s="2" t="s">
        <v>525</v>
      </c>
      <c r="P2" s="2" t="s">
        <v>524</v>
      </c>
      <c r="Q2" s="2" t="s">
        <v>523</v>
      </c>
      <c r="R2" s="2" t="s">
        <v>522</v>
      </c>
    </row>
    <row r="3" spans="1:18" x14ac:dyDescent="0.4">
      <c r="A3" s="33" t="str">
        <f>+Dados!F27</f>
        <v>Batayporã</v>
      </c>
      <c r="B3" s="33" t="str">
        <f>+Dados!G27</f>
        <v>CACS-FUNDEB</v>
      </c>
      <c r="C3" s="34">
        <f>+Dados!H27</f>
        <v>4</v>
      </c>
      <c r="D3" s="34">
        <f>+Dados!I27</f>
        <v>4</v>
      </c>
      <c r="E3" s="34">
        <f>+Dados!J27</f>
        <v>4</v>
      </c>
      <c r="F3" s="34">
        <f>+Dados!K27</f>
        <v>4</v>
      </c>
      <c r="G3" s="34">
        <f>+Dados!L27</f>
        <v>5</v>
      </c>
      <c r="H3" s="34">
        <f>+Dados!M27</f>
        <v>4</v>
      </c>
      <c r="I3" s="34">
        <f>+Dados!N27</f>
        <v>4</v>
      </c>
      <c r="N3" s="33">
        <v>1</v>
      </c>
      <c r="O3" s="33">
        <v>2</v>
      </c>
      <c r="P3" s="33">
        <v>3</v>
      </c>
      <c r="Q3" s="33">
        <v>4</v>
      </c>
      <c r="R3" s="33">
        <v>5</v>
      </c>
    </row>
    <row r="4" spans="1:18" x14ac:dyDescent="0.4">
      <c r="A4" s="33" t="str">
        <f>+Dados!F29</f>
        <v>Amambai</v>
      </c>
      <c r="B4" s="33" t="str">
        <f>+Dados!G29</f>
        <v>CACS-FUNDEB</v>
      </c>
      <c r="C4" s="34">
        <f>+Dados!H29</f>
        <v>4</v>
      </c>
      <c r="D4" s="34">
        <f>+Dados!I29</f>
        <v>4</v>
      </c>
      <c r="E4" s="34">
        <f>+Dados!J29</f>
        <v>4</v>
      </c>
      <c r="F4" s="34">
        <f>+Dados!K29</f>
        <v>4</v>
      </c>
      <c r="G4" s="34">
        <f>+Dados!L29</f>
        <v>4</v>
      </c>
      <c r="H4" s="34">
        <f>+Dados!M29</f>
        <v>4</v>
      </c>
      <c r="I4" s="34">
        <f>+Dados!N29</f>
        <v>4</v>
      </c>
    </row>
    <row r="5" spans="1:18" x14ac:dyDescent="0.4">
      <c r="A5" s="33" t="str">
        <f>+Dados!F31</f>
        <v>Batayporã</v>
      </c>
      <c r="B5" s="33" t="str">
        <f>+Dados!G31</f>
        <v>CACS-FUNDEB</v>
      </c>
      <c r="C5" s="34">
        <f>+Dados!H31</f>
        <v>5</v>
      </c>
      <c r="D5" s="34">
        <f>+Dados!I31</f>
        <v>5</v>
      </c>
      <c r="E5" s="34">
        <f>+Dados!J31</f>
        <v>5</v>
      </c>
      <c r="F5" s="34">
        <f>+Dados!K31</f>
        <v>5</v>
      </c>
      <c r="G5" s="34">
        <f>+Dados!L31</f>
        <v>5</v>
      </c>
      <c r="H5" s="34">
        <f>+Dados!M31</f>
        <v>5</v>
      </c>
      <c r="I5" s="34">
        <f>+Dados!N31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33" t="str">
        <f>+Dados!F32</f>
        <v>Itaporã</v>
      </c>
      <c r="B6" s="33" t="str">
        <f>+Dados!G32</f>
        <v>CACS-FUNDEB</v>
      </c>
      <c r="C6" s="34">
        <f>+Dados!H32</f>
        <v>5</v>
      </c>
      <c r="D6" s="34">
        <f>+Dados!I32</f>
        <v>5</v>
      </c>
      <c r="E6" s="34">
        <f>+Dados!J32</f>
        <v>5</v>
      </c>
      <c r="F6" s="34">
        <f>+Dados!K32</f>
        <v>5</v>
      </c>
      <c r="G6" s="34">
        <f>+Dados!L32</f>
        <v>5</v>
      </c>
      <c r="H6" s="34">
        <f>+Dados!M32</f>
        <v>5</v>
      </c>
      <c r="I6" s="34">
        <f>+Dados!N32</f>
        <v>5</v>
      </c>
      <c r="M6" s="1" t="s">
        <v>515</v>
      </c>
      <c r="N6" s="35">
        <f>COUNTIF(C$2:C$69,$N3)/COUNT(C$2:C$69)</f>
        <v>0</v>
      </c>
      <c r="O6" s="35">
        <f>COUNTIF(C$2:C$69,$O3)/COUNT(C$2:C$69)</f>
        <v>0</v>
      </c>
      <c r="P6" s="35">
        <f>COUNTIF(C$2:C$69,$P3)/COUNT(C$2:C$69)</f>
        <v>9.0909090909090912E-2</v>
      </c>
      <c r="Q6" s="35">
        <f>COUNTIF(C$2:C$69,$Q3)/COUNT(C$2:C$69)</f>
        <v>0.40909090909090912</v>
      </c>
      <c r="R6" s="35">
        <f>COUNTIF(C$2:C$69,$R3)/COUNT(C$2:C$69)</f>
        <v>0.5</v>
      </c>
    </row>
    <row r="7" spans="1:18" x14ac:dyDescent="0.4">
      <c r="A7" s="33" t="str">
        <f>+Dados!F34</f>
        <v>Amambai</v>
      </c>
      <c r="B7" s="33" t="str">
        <f>+Dados!G34</f>
        <v>CACS-FUNDEB</v>
      </c>
      <c r="C7" s="34">
        <f>+Dados!H34</f>
        <v>5</v>
      </c>
      <c r="D7" s="34">
        <f>+Dados!I34</f>
        <v>5</v>
      </c>
      <c r="E7" s="34">
        <f>+Dados!J34</f>
        <v>5</v>
      </c>
      <c r="F7" s="34">
        <f>+Dados!K34</f>
        <v>5</v>
      </c>
      <c r="G7" s="34">
        <f>+Dados!L34</f>
        <v>5</v>
      </c>
      <c r="H7" s="34">
        <f>+Dados!M34</f>
        <v>5</v>
      </c>
      <c r="I7" s="34">
        <f>+Dados!N34</f>
        <v>5</v>
      </c>
      <c r="M7" s="1" t="s">
        <v>516</v>
      </c>
      <c r="N7" s="35">
        <f>COUNTIF(D$2:D$69,$N3)/COUNT(D$2:D$69)</f>
        <v>0</v>
      </c>
      <c r="O7" s="35">
        <f>COUNTIF(D$2:D$69,$O3)/COUNT(D$2:D$69)</f>
        <v>0</v>
      </c>
      <c r="P7" s="35">
        <f>COUNTIF(D$2:D$69,$P3)/COUNT(D$2:D$69)</f>
        <v>0.18181818181818182</v>
      </c>
      <c r="Q7" s="35">
        <f>COUNTIF(D$2:D$69,$Q3)/COUNT(D$2:D$69)</f>
        <v>0.40909090909090912</v>
      </c>
      <c r="R7" s="35">
        <f>COUNTIF(D$2:D$69,$R3)/COUNT(D$2:D$69)</f>
        <v>0.40909090909090912</v>
      </c>
    </row>
    <row r="8" spans="1:18" x14ac:dyDescent="0.4">
      <c r="A8" s="33" t="str">
        <f>+Dados!F35</f>
        <v>Glória de Dourados</v>
      </c>
      <c r="B8" s="33" t="str">
        <f>+Dados!G35</f>
        <v>CACS-FUNDEB</v>
      </c>
      <c r="C8" s="34">
        <f>+Dados!H35</f>
        <v>5</v>
      </c>
      <c r="D8" s="34">
        <f>+Dados!I35</f>
        <v>5</v>
      </c>
      <c r="E8" s="34">
        <f>+Dados!J35</f>
        <v>5</v>
      </c>
      <c r="F8" s="34">
        <f>+Dados!K35</f>
        <v>5</v>
      </c>
      <c r="G8" s="34">
        <f>+Dados!L35</f>
        <v>5</v>
      </c>
      <c r="H8" s="34">
        <f>+Dados!M35</f>
        <v>5</v>
      </c>
      <c r="I8" s="34">
        <f>+Dados!N35</f>
        <v>5</v>
      </c>
      <c r="M8" s="1" t="s">
        <v>517</v>
      </c>
      <c r="N8" s="35">
        <f>COUNTIF(E$2:E$69,$N3)/COUNT(E$2:E$69)</f>
        <v>0</v>
      </c>
      <c r="O8" s="35">
        <f>COUNTIF(E$2:E$69,$O3)/COUNT(E$2:E$69)</f>
        <v>0</v>
      </c>
      <c r="P8" s="35">
        <f>COUNTIF(E$2:E$69,$P3)/COUNT(E$2:E$69)</f>
        <v>9.0909090909090912E-2</v>
      </c>
      <c r="Q8" s="35">
        <f>COUNTIF(E$2:E$69,$Q3)/COUNT(E$2:E$69)</f>
        <v>0.40909090909090912</v>
      </c>
      <c r="R8" s="35">
        <f>COUNTIF(E$2:E$69,$R3)/COUNT(E$2:E$69)</f>
        <v>0.5</v>
      </c>
    </row>
    <row r="9" spans="1:18" x14ac:dyDescent="0.4">
      <c r="A9" s="33" t="str">
        <f>+Dados!F36</f>
        <v>Dourados</v>
      </c>
      <c r="B9" s="33" t="str">
        <f>+Dados!G36</f>
        <v>CACS-FUNDEB</v>
      </c>
      <c r="C9" s="34">
        <f>+Dados!H36</f>
        <v>5</v>
      </c>
      <c r="D9" s="34">
        <f>+Dados!I36</f>
        <v>5</v>
      </c>
      <c r="E9" s="34">
        <f>+Dados!J36</f>
        <v>5</v>
      </c>
      <c r="F9" s="34">
        <f>+Dados!K36</f>
        <v>5</v>
      </c>
      <c r="G9" s="34">
        <f>+Dados!L36</f>
        <v>5</v>
      </c>
      <c r="H9" s="34">
        <f>+Dados!M36</f>
        <v>5</v>
      </c>
      <c r="I9" s="34">
        <f>+Dados!N36</f>
        <v>5</v>
      </c>
      <c r="M9" s="1" t="s">
        <v>518</v>
      </c>
      <c r="N9" s="35">
        <f>COUNTIF(F$2:F$69,$N3)/COUNT(F$2:F$69)</f>
        <v>0</v>
      </c>
      <c r="O9" s="35">
        <f>COUNTIF(F$2:F$69,$O3)/COUNT(F$2:F$69)</f>
        <v>0</v>
      </c>
      <c r="P9" s="35">
        <f>COUNTIF(F$2:F$69,$P3)/COUNT(F$2:F$69)</f>
        <v>9.0909090909090912E-2</v>
      </c>
      <c r="Q9" s="35">
        <f>COUNTIF(F$2:F$69,$Q3)/COUNT(F$2:F$69)</f>
        <v>0.36363636363636365</v>
      </c>
      <c r="R9" s="35">
        <f>COUNTIF(F$2:F$69,$R3)/COUNT(F$2:F$69)</f>
        <v>0.54545454545454541</v>
      </c>
    </row>
    <row r="10" spans="1:18" x14ac:dyDescent="0.4">
      <c r="A10" s="33" t="str">
        <f>+Dados!F37</f>
        <v>Eldorado</v>
      </c>
      <c r="B10" s="33" t="str">
        <f>+Dados!G37</f>
        <v>CACS-FUNDEB</v>
      </c>
      <c r="C10" s="34">
        <f>+Dados!H37</f>
        <v>5</v>
      </c>
      <c r="D10" s="34">
        <f>+Dados!I37</f>
        <v>5</v>
      </c>
      <c r="E10" s="34">
        <f>+Dados!J37</f>
        <v>5</v>
      </c>
      <c r="F10" s="34">
        <f>+Dados!K37</f>
        <v>5</v>
      </c>
      <c r="G10" s="34">
        <f>+Dados!L37</f>
        <v>5</v>
      </c>
      <c r="H10" s="34">
        <f>+Dados!M37</f>
        <v>5</v>
      </c>
      <c r="I10" s="34">
        <f>+Dados!N37</f>
        <v>5</v>
      </c>
      <c r="M10" s="1" t="s">
        <v>519</v>
      </c>
      <c r="N10" s="35">
        <f>COUNTIF(G$2:G$69,$N3)/COUNT(G$2:G$69)</f>
        <v>0</v>
      </c>
      <c r="O10" s="35">
        <f>COUNTIF(G$2:G$69,$O3)/COUNT(G$2:G$69)</f>
        <v>0</v>
      </c>
      <c r="P10" s="35">
        <f>COUNTIF(G$2:G$69,$P3)/COUNT(G$2:G$69)</f>
        <v>9.0909090909090912E-2</v>
      </c>
      <c r="Q10" s="35">
        <f>COUNTIF(G$2:G$69,$Q3)/COUNT(G$2:G$69)</f>
        <v>0.31818181818181818</v>
      </c>
      <c r="R10" s="35">
        <f>COUNTIF(G$2:G$69,$R3)/COUNT(G$2:G$69)</f>
        <v>0.59090909090909094</v>
      </c>
    </row>
    <row r="11" spans="1:18" x14ac:dyDescent="0.4">
      <c r="A11" s="33" t="str">
        <f>+Dados!F39</f>
        <v>Japorã</v>
      </c>
      <c r="B11" s="33" t="str">
        <f>+Dados!G39</f>
        <v>CACS-FUNDEB</v>
      </c>
      <c r="C11" s="34">
        <f>+Dados!H39</f>
        <v>4</v>
      </c>
      <c r="D11" s="34">
        <f>+Dados!I39</f>
        <v>4</v>
      </c>
      <c r="E11" s="34">
        <f>+Dados!J39</f>
        <v>4</v>
      </c>
      <c r="F11" s="34">
        <f>+Dados!K39</f>
        <v>4</v>
      </c>
      <c r="G11" s="34">
        <f>+Dados!L39</f>
        <v>4</v>
      </c>
      <c r="H11" s="34">
        <f>+Dados!M39</f>
        <v>4</v>
      </c>
      <c r="I11" s="34">
        <f>+Dados!N39</f>
        <v>4</v>
      </c>
      <c r="M11" s="1" t="s">
        <v>520</v>
      </c>
      <c r="N11" s="35">
        <f>COUNTIF(H$2:H$69,$N3)/COUNT(H$2:H$69)</f>
        <v>0</v>
      </c>
      <c r="O11" s="35">
        <f>COUNTIF(H$2:H$69,$O3)/COUNT(H$2:H$69)</f>
        <v>0</v>
      </c>
      <c r="P11" s="35">
        <f>COUNTIF(H$2:H$69,$P3)/COUNT(H$2:H$69)</f>
        <v>9.0909090909090912E-2</v>
      </c>
      <c r="Q11" s="35">
        <f>COUNTIF(H$2:H$69,$Q3)/COUNT(H$2:H$69)</f>
        <v>0.31818181818181818</v>
      </c>
      <c r="R11" s="35">
        <f>COUNTIF(H$2:H$69,$R3)/COUNT(H$2:H$69)</f>
        <v>0.59090909090909094</v>
      </c>
    </row>
    <row r="12" spans="1:18" x14ac:dyDescent="0.4">
      <c r="A12" s="33" t="str">
        <f>+Dados!F40</f>
        <v>Rio Brilhante</v>
      </c>
      <c r="B12" s="33" t="str">
        <f>+Dados!G40</f>
        <v>CACS-FUNDEB</v>
      </c>
      <c r="C12" s="34">
        <f>+Dados!H40</f>
        <v>4</v>
      </c>
      <c r="D12" s="34">
        <f>+Dados!I40</f>
        <v>3</v>
      </c>
      <c r="E12" s="34">
        <f>+Dados!J40</f>
        <v>4</v>
      </c>
      <c r="F12" s="34">
        <f>+Dados!K40</f>
        <v>4</v>
      </c>
      <c r="G12" s="34">
        <f>+Dados!L40</f>
        <v>4</v>
      </c>
      <c r="H12" s="34">
        <f>+Dados!M40</f>
        <v>4</v>
      </c>
      <c r="I12" s="34">
        <f>+Dados!N40</f>
        <v>4</v>
      </c>
      <c r="M12" s="1" t="s">
        <v>521</v>
      </c>
      <c r="N12" s="35">
        <f>COUNTIF(I$2:I$69,$N3)/COUNT(I$2:I$69)</f>
        <v>0</v>
      </c>
      <c r="O12" s="35">
        <f>COUNTIF(I$2:I$69,$O3)/COUNT(I$2:I$69)</f>
        <v>0</v>
      </c>
      <c r="P12" s="35">
        <f>COUNTIF(I$2:I$69,$P3)/COUNT(I$2:I$69)</f>
        <v>9.0909090909090912E-2</v>
      </c>
      <c r="Q12" s="35">
        <f>COUNTIF(I$2:I$69,$Q3)/COUNT(I$2:I$69)</f>
        <v>0.31818181818181818</v>
      </c>
      <c r="R12" s="35">
        <f>COUNTIF(I$2:I$69,$R3)/COUNT(I$2:I$69)</f>
        <v>0.59090909090909094</v>
      </c>
    </row>
    <row r="13" spans="1:18" x14ac:dyDescent="0.4">
      <c r="A13" s="33" t="str">
        <f>+Dados!F41</f>
        <v>Novo Horizonte do Sul</v>
      </c>
      <c r="B13" s="33" t="str">
        <f>+Dados!G41</f>
        <v>CACS-FUNDEB</v>
      </c>
      <c r="C13" s="34">
        <f>+Dados!H41</f>
        <v>4</v>
      </c>
      <c r="D13" s="34">
        <f>+Dados!I41</f>
        <v>4</v>
      </c>
      <c r="E13" s="34">
        <f>+Dados!J41</f>
        <v>4</v>
      </c>
      <c r="F13" s="34">
        <f>+Dados!K41</f>
        <v>4</v>
      </c>
      <c r="G13" s="34">
        <f>+Dados!L41</f>
        <v>4</v>
      </c>
      <c r="H13" s="34">
        <f>+Dados!M41</f>
        <v>4</v>
      </c>
      <c r="I13" s="34">
        <f>+Dados!N41</f>
        <v>4</v>
      </c>
    </row>
    <row r="14" spans="1:18" x14ac:dyDescent="0.4">
      <c r="A14" s="33" t="str">
        <f>+Dados!F42</f>
        <v>Ponta Porã</v>
      </c>
      <c r="B14" s="33" t="str">
        <f>+Dados!G42</f>
        <v>CACS-FUNDEB</v>
      </c>
      <c r="C14" s="34">
        <f>+Dados!H42</f>
        <v>5</v>
      </c>
      <c r="D14" s="34">
        <f>+Dados!I42</f>
        <v>5</v>
      </c>
      <c r="E14" s="34">
        <f>+Dados!J42</f>
        <v>5</v>
      </c>
      <c r="F14" s="34">
        <f>+Dados!K42</f>
        <v>5</v>
      </c>
      <c r="G14" s="34">
        <f>+Dados!L42</f>
        <v>4</v>
      </c>
      <c r="H14" s="34">
        <f>+Dados!M42</f>
        <v>4</v>
      </c>
      <c r="I14" s="34">
        <f>+Dados!N42</f>
        <v>5</v>
      </c>
    </row>
    <row r="15" spans="1:18" x14ac:dyDescent="0.4">
      <c r="A15" s="33" t="str">
        <f>+Dados!F43</f>
        <v>Ponta Porã</v>
      </c>
      <c r="B15" s="33" t="str">
        <f>+Dados!G43</f>
        <v>CACS-FUNDEB</v>
      </c>
      <c r="C15" s="34">
        <f>+Dados!H43</f>
        <v>5</v>
      </c>
      <c r="D15" s="34">
        <f>+Dados!I43</f>
        <v>4</v>
      </c>
      <c r="E15" s="34">
        <f>+Dados!J43</f>
        <v>5</v>
      </c>
      <c r="F15" s="34">
        <f>+Dados!K43</f>
        <v>5</v>
      </c>
      <c r="G15" s="34">
        <f>+Dados!L43</f>
        <v>5</v>
      </c>
      <c r="H15" s="34">
        <f>+Dados!M43</f>
        <v>5</v>
      </c>
      <c r="I15" s="34">
        <f>+Dados!N43</f>
        <v>5</v>
      </c>
    </row>
    <row r="16" spans="1:18" x14ac:dyDescent="0.4">
      <c r="A16" s="33" t="str">
        <f>+Dados!F46</f>
        <v>Sete Quedas</v>
      </c>
      <c r="B16" s="33" t="str">
        <f>+Dados!G46</f>
        <v>CACS-FUNDEB</v>
      </c>
      <c r="C16" s="34">
        <f>+Dados!H46</f>
        <v>5</v>
      </c>
      <c r="D16" s="34">
        <f>+Dados!I46</f>
        <v>5</v>
      </c>
      <c r="E16" s="34">
        <f>+Dados!J46</f>
        <v>5</v>
      </c>
      <c r="F16" s="34">
        <f>+Dados!K46</f>
        <v>5</v>
      </c>
      <c r="G16" s="34">
        <f>+Dados!L46</f>
        <v>5</v>
      </c>
      <c r="H16" s="34">
        <f>+Dados!M46</f>
        <v>5</v>
      </c>
      <c r="I16" s="34">
        <f>+Dados!N46</f>
        <v>5</v>
      </c>
    </row>
    <row r="17" spans="1:9" x14ac:dyDescent="0.4">
      <c r="A17" s="33" t="str">
        <f>+Dados!F47</f>
        <v>Naviraí</v>
      </c>
      <c r="B17" s="33" t="str">
        <f>+Dados!G47</f>
        <v>CACS-FUNDEB</v>
      </c>
      <c r="C17" s="34">
        <f>+Dados!H47</f>
        <v>4</v>
      </c>
      <c r="D17" s="34">
        <f>+Dados!I47</f>
        <v>4</v>
      </c>
      <c r="E17" s="34">
        <f>+Dados!J47</f>
        <v>5</v>
      </c>
      <c r="F17" s="34">
        <f>+Dados!K47</f>
        <v>5</v>
      </c>
      <c r="G17" s="34">
        <f>+Dados!L47</f>
        <v>5</v>
      </c>
      <c r="H17" s="34">
        <f>+Dados!M47</f>
        <v>5</v>
      </c>
      <c r="I17" s="34">
        <f>+Dados!N47</f>
        <v>5</v>
      </c>
    </row>
    <row r="18" spans="1:9" x14ac:dyDescent="0.4">
      <c r="A18" s="33" t="str">
        <f>+Dados!F48</f>
        <v>Maracaju</v>
      </c>
      <c r="B18" s="33" t="str">
        <f>+Dados!G48</f>
        <v>CACS-FUNDEB</v>
      </c>
      <c r="C18" s="34">
        <f>+Dados!H48</f>
        <v>4</v>
      </c>
      <c r="D18" s="34">
        <f>+Dados!I48</f>
        <v>4</v>
      </c>
      <c r="E18" s="34">
        <f>+Dados!J48</f>
        <v>4</v>
      </c>
      <c r="F18" s="34">
        <f>+Dados!K48</f>
        <v>4</v>
      </c>
      <c r="G18" s="34">
        <f>+Dados!L48</f>
        <v>4</v>
      </c>
      <c r="H18" s="34">
        <f>+Dados!M48</f>
        <v>4</v>
      </c>
      <c r="I18" s="34">
        <f>+Dados!N48</f>
        <v>4</v>
      </c>
    </row>
    <row r="19" spans="1:9" x14ac:dyDescent="0.4">
      <c r="A19" s="33" t="str">
        <f>+Dados!F49</f>
        <v>Vicentina</v>
      </c>
      <c r="B19" s="33" t="str">
        <f>+Dados!G49</f>
        <v>CACS-FUNDEB</v>
      </c>
      <c r="C19" s="34">
        <f>+Dados!H49</f>
        <v>5</v>
      </c>
      <c r="D19" s="34">
        <f>+Dados!I49</f>
        <v>5</v>
      </c>
      <c r="E19" s="34">
        <f>+Dados!J49</f>
        <v>5</v>
      </c>
      <c r="F19" s="34">
        <f>+Dados!K49</f>
        <v>5</v>
      </c>
      <c r="G19" s="34">
        <f>+Dados!L49</f>
        <v>5</v>
      </c>
      <c r="H19" s="34">
        <f>+Dados!M49</f>
        <v>5</v>
      </c>
      <c r="I19" s="34">
        <f>+Dados!N49</f>
        <v>5</v>
      </c>
    </row>
    <row r="20" spans="1:9" x14ac:dyDescent="0.4">
      <c r="A20" s="33" t="str">
        <f>+Dados!F50</f>
        <v>Vicentina</v>
      </c>
      <c r="B20" s="33" t="str">
        <f>+Dados!G50</f>
        <v>CACS-FUNDEB</v>
      </c>
      <c r="C20" s="34">
        <f>+Dados!H50</f>
        <v>3</v>
      </c>
      <c r="D20" s="34">
        <f>+Dados!I50</f>
        <v>3</v>
      </c>
      <c r="E20" s="34">
        <f>+Dados!J50</f>
        <v>3</v>
      </c>
      <c r="F20" s="34">
        <f>+Dados!K50</f>
        <v>3</v>
      </c>
      <c r="G20" s="34">
        <f>+Dados!L50</f>
        <v>3</v>
      </c>
      <c r="H20" s="34">
        <f>+Dados!M50</f>
        <v>3</v>
      </c>
      <c r="I20" s="34">
        <f>+Dados!N50</f>
        <v>3</v>
      </c>
    </row>
    <row r="21" spans="1:9" x14ac:dyDescent="0.4">
      <c r="A21" s="33" t="str">
        <f>+Dados!F51</f>
        <v>Nova Alvorada do Sul</v>
      </c>
      <c r="B21" s="33" t="str">
        <f>+Dados!G51</f>
        <v>CACS-FUNDEB</v>
      </c>
      <c r="C21" s="34">
        <f>+Dados!H51</f>
        <v>4</v>
      </c>
      <c r="D21" s="34">
        <f>+Dados!I51</f>
        <v>3</v>
      </c>
      <c r="E21" s="34">
        <f>+Dados!J51</f>
        <v>4</v>
      </c>
      <c r="F21" s="34">
        <f>+Dados!K51</f>
        <v>4</v>
      </c>
      <c r="G21" s="34">
        <f>+Dados!L51</f>
        <v>5</v>
      </c>
      <c r="H21" s="34">
        <f>+Dados!M51</f>
        <v>5</v>
      </c>
      <c r="I21" s="34">
        <f>+Dados!N51</f>
        <v>4</v>
      </c>
    </row>
    <row r="22" spans="1:9" x14ac:dyDescent="0.4">
      <c r="A22" s="33" t="str">
        <f>+Dados!F52</f>
        <v>Laguna Carapã</v>
      </c>
      <c r="B22" s="33" t="str">
        <f>+Dados!G52</f>
        <v>CACS-FUNDEB</v>
      </c>
      <c r="C22" s="34">
        <f>+Dados!H52</f>
        <v>3</v>
      </c>
      <c r="D22" s="34">
        <f>+Dados!I52</f>
        <v>3</v>
      </c>
      <c r="E22" s="34">
        <f>+Dados!J52</f>
        <v>3</v>
      </c>
      <c r="F22" s="34">
        <f>+Dados!K52</f>
        <v>3</v>
      </c>
      <c r="G22" s="34">
        <f>+Dados!L52</f>
        <v>3</v>
      </c>
      <c r="H22" s="34">
        <f>+Dados!M52</f>
        <v>3</v>
      </c>
      <c r="I22" s="34">
        <f>+Dados!N52</f>
        <v>3</v>
      </c>
    </row>
    <row r="23" spans="1:9" x14ac:dyDescent="0.4">
      <c r="A23" s="33" t="str">
        <f>+Dados!F57</f>
        <v>Jateí</v>
      </c>
      <c r="B23" s="33" t="str">
        <f>+Dados!G57</f>
        <v>CACS-FUNDEB</v>
      </c>
      <c r="C23" s="34">
        <f>+Dados!H57</f>
        <v>4</v>
      </c>
      <c r="D23" s="34">
        <f>+Dados!I57</f>
        <v>4</v>
      </c>
      <c r="E23" s="34">
        <f>+Dados!J57</f>
        <v>4</v>
      </c>
      <c r="F23" s="34">
        <f>+Dados!K57</f>
        <v>5</v>
      </c>
      <c r="G23" s="34">
        <f>+Dados!L57</f>
        <v>4</v>
      </c>
      <c r="H23" s="34">
        <f>+Dados!M57</f>
        <v>5</v>
      </c>
      <c r="I23" s="34">
        <f>+Dados!N57</f>
        <v>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69"/>
  <sheetViews>
    <sheetView zoomScale="55" zoomScaleNormal="55" workbookViewId="0">
      <selection activeCell="K25" sqref="K25"/>
    </sheetView>
  </sheetViews>
  <sheetFormatPr defaultRowHeight="19.5" x14ac:dyDescent="0.4"/>
  <cols>
    <col min="1" max="1" width="14.375" style="33" customWidth="1"/>
    <col min="2" max="2" width="20.375" style="33" customWidth="1"/>
    <col min="3" max="3" width="5.75" style="34" bestFit="1" customWidth="1"/>
    <col min="4" max="4" width="8.875" style="34" customWidth="1"/>
    <col min="5" max="8" width="7.25" style="34" bestFit="1" customWidth="1"/>
    <col min="9" max="9" width="10.375" style="34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31" t="s">
        <v>513</v>
      </c>
      <c r="B1" s="31" t="s">
        <v>514</v>
      </c>
      <c r="C1" s="32" t="s">
        <v>515</v>
      </c>
      <c r="D1" s="32" t="s">
        <v>516</v>
      </c>
      <c r="E1" s="32" t="s">
        <v>517</v>
      </c>
      <c r="F1" s="32" t="s">
        <v>518</v>
      </c>
      <c r="G1" s="32" t="s">
        <v>519</v>
      </c>
      <c r="H1" s="32" t="s">
        <v>520</v>
      </c>
      <c r="I1" s="31" t="s">
        <v>521</v>
      </c>
    </row>
    <row r="2" spans="1:18" x14ac:dyDescent="0.4">
      <c r="N2" s="2" t="s">
        <v>3</v>
      </c>
      <c r="O2" s="2" t="s">
        <v>525</v>
      </c>
      <c r="P2" s="2" t="s">
        <v>524</v>
      </c>
      <c r="Q2" s="2" t="s">
        <v>523</v>
      </c>
      <c r="R2" s="2" t="s">
        <v>522</v>
      </c>
    </row>
    <row r="3" spans="1:18" x14ac:dyDescent="0.4">
      <c r="N3" s="33">
        <v>1</v>
      </c>
      <c r="O3" s="33">
        <v>2</v>
      </c>
      <c r="P3" s="33">
        <v>3</v>
      </c>
      <c r="Q3" s="33">
        <v>4</v>
      </c>
      <c r="R3" s="33">
        <v>5</v>
      </c>
    </row>
    <row r="5" spans="1:18" x14ac:dyDescent="0.4"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M6" s="1" t="s">
        <v>515</v>
      </c>
      <c r="N6" s="35">
        <f>COUNTIF(C$2:C$69,$N3)/COUNT(C$2:C$69)</f>
        <v>0</v>
      </c>
      <c r="O6" s="35">
        <f>COUNTIF(C$2:C$69,$O3)/COUNT(C$2:C$69)</f>
        <v>0</v>
      </c>
      <c r="P6" s="35">
        <f>COUNTIF(C$2:C$69,$P3)/COUNT(C$2:C$69)</f>
        <v>6.5217391304347824E-2</v>
      </c>
      <c r="Q6" s="35">
        <f>COUNTIF(C$2:C$69,$Q3)/COUNT(C$2:C$69)</f>
        <v>0.19565217391304349</v>
      </c>
      <c r="R6" s="35">
        <f>COUNTIF(C$2:C$69,$R3)/COUNT(C$2:C$69)</f>
        <v>0.73913043478260865</v>
      </c>
    </row>
    <row r="7" spans="1:18" x14ac:dyDescent="0.4">
      <c r="M7" s="1" t="s">
        <v>516</v>
      </c>
      <c r="N7" s="35">
        <f>COUNTIF(D$2:D$69,$N3)/COUNT(D$2:D$69)</f>
        <v>0</v>
      </c>
      <c r="O7" s="35">
        <f>COUNTIF(D$2:D$69,$O3)/COUNT(D$2:D$69)</f>
        <v>0</v>
      </c>
      <c r="P7" s="35">
        <f>COUNTIF(D$2:D$69,$P3)/COUNT(D$2:D$69)</f>
        <v>0.17391304347826086</v>
      </c>
      <c r="Q7" s="35">
        <f>COUNTIF(D$2:D$69,$Q3)/COUNT(D$2:D$69)</f>
        <v>0.30434782608695654</v>
      </c>
      <c r="R7" s="35">
        <f>COUNTIF(D$2:D$69,$R3)/COUNT(D$2:D$69)</f>
        <v>0.52173913043478259</v>
      </c>
    </row>
    <row r="8" spans="1:18" x14ac:dyDescent="0.4">
      <c r="M8" s="1" t="s">
        <v>517</v>
      </c>
      <c r="N8" s="35">
        <f>COUNTIF(E$2:E$69,$N3)/COUNT(E$2:E$69)</f>
        <v>0</v>
      </c>
      <c r="O8" s="35">
        <f>COUNTIF(E$2:E$69,$O3)/COUNT(E$2:E$69)</f>
        <v>0</v>
      </c>
      <c r="P8" s="35">
        <f>COUNTIF(E$2:E$69,$P3)/COUNT(E$2:E$69)</f>
        <v>8.6956521739130432E-2</v>
      </c>
      <c r="Q8" s="35">
        <f>COUNTIF(E$2:E$69,$Q3)/COUNT(E$2:E$69)</f>
        <v>0.19565217391304349</v>
      </c>
      <c r="R8" s="35">
        <f>COUNTIF(E$2:E$69,$R3)/COUNT(E$2:E$69)</f>
        <v>0.71739130434782605</v>
      </c>
    </row>
    <row r="9" spans="1:18" x14ac:dyDescent="0.4">
      <c r="M9" s="1" t="s">
        <v>518</v>
      </c>
      <c r="N9" s="35">
        <f>COUNTIF(F$2:F$69,$N3)/COUNT(F$2:F$69)</f>
        <v>0</v>
      </c>
      <c r="O9" s="35">
        <f>COUNTIF(F$2:F$69,$O3)/COUNT(F$2:F$69)</f>
        <v>0</v>
      </c>
      <c r="P9" s="35">
        <f>COUNTIF(F$2:F$69,$P3)/COUNT(F$2:F$69)</f>
        <v>6.5217391304347824E-2</v>
      </c>
      <c r="Q9" s="35">
        <f>COUNTIF(F$2:F$69,$Q3)/COUNT(F$2:F$69)</f>
        <v>0.2391304347826087</v>
      </c>
      <c r="R9" s="35">
        <f>COUNTIF(F$2:F$69,$R3)/COUNT(F$2:F$69)</f>
        <v>0.69565217391304346</v>
      </c>
    </row>
    <row r="10" spans="1:18" x14ac:dyDescent="0.4">
      <c r="M10" s="1" t="s">
        <v>519</v>
      </c>
      <c r="N10" s="35">
        <f>COUNTIF(G$2:G$69,$N3)/COUNT(G$2:G$69)</f>
        <v>0</v>
      </c>
      <c r="O10" s="35">
        <f>COUNTIF(G$2:G$69,$O3)/COUNT(G$2:G$69)</f>
        <v>0</v>
      </c>
      <c r="P10" s="35">
        <f>COUNTIF(G$2:G$69,$P3)/COUNT(G$2:G$69)</f>
        <v>6.5217391304347824E-2</v>
      </c>
      <c r="Q10" s="35">
        <f>COUNTIF(G$2:G$69,$Q3)/COUNT(G$2:G$69)</f>
        <v>0.19565217391304349</v>
      </c>
      <c r="R10" s="35">
        <f>COUNTIF(G$2:G$69,$R3)/COUNT(G$2:G$69)</f>
        <v>0.73913043478260865</v>
      </c>
    </row>
    <row r="11" spans="1:18" x14ac:dyDescent="0.4">
      <c r="M11" s="1" t="s">
        <v>520</v>
      </c>
      <c r="N11" s="35">
        <f>COUNTIF(H$2:H$69,$N3)/COUNT(H$2:H$69)</f>
        <v>0</v>
      </c>
      <c r="O11" s="35">
        <f>COUNTIF(H$2:H$69,$O3)/COUNT(H$2:H$69)</f>
        <v>0</v>
      </c>
      <c r="P11" s="35">
        <f>COUNTIF(H$2:H$69,$P3)/COUNT(H$2:H$69)</f>
        <v>6.5217391304347824E-2</v>
      </c>
      <c r="Q11" s="35">
        <f>COUNTIF(H$2:H$69,$Q3)/COUNT(H$2:H$69)</f>
        <v>0.2608695652173913</v>
      </c>
      <c r="R11" s="35">
        <f>COUNTIF(H$2:H$69,$R3)/COUNT(H$2:H$69)</f>
        <v>0.67391304347826086</v>
      </c>
    </row>
    <row r="12" spans="1:18" x14ac:dyDescent="0.4">
      <c r="M12" s="1" t="s">
        <v>521</v>
      </c>
      <c r="N12" s="35">
        <f>COUNTIF(I$2:I$69,$N3)/COUNT(I$2:I$69)</f>
        <v>0</v>
      </c>
      <c r="O12" s="35">
        <f>COUNTIF(I$2:I$69,$O3)/COUNT(I$2:I$69)</f>
        <v>0</v>
      </c>
      <c r="P12" s="35">
        <f>COUNTIF(I$2:I$69,$P3)/COUNT(I$2:I$69)</f>
        <v>8.6956521739130432E-2</v>
      </c>
      <c r="Q12" s="35">
        <f>COUNTIF(I$2:I$69,$Q3)/COUNT(I$2:I$69)</f>
        <v>0.19565217391304349</v>
      </c>
      <c r="R12" s="35">
        <f>COUNTIF(I$2:I$69,$R3)/COUNT(I$2:I$69)</f>
        <v>0.71739130434782605</v>
      </c>
    </row>
    <row r="24" spans="1:9" x14ac:dyDescent="0.4">
      <c r="A24" s="33" t="str">
        <f>+Dados!F3</f>
        <v>Itaquiraí</v>
      </c>
      <c r="B24" s="33" t="str">
        <f>+Dados!G3</f>
        <v>Gestão municipal</v>
      </c>
      <c r="C24" s="34">
        <f>+Dados!H3</f>
        <v>5</v>
      </c>
      <c r="D24" s="34">
        <f>+Dados!I3</f>
        <v>5</v>
      </c>
      <c r="E24" s="34">
        <f>+Dados!J3</f>
        <v>5</v>
      </c>
      <c r="F24" s="34">
        <f>+Dados!K3</f>
        <v>5</v>
      </c>
      <c r="G24" s="34">
        <f>+Dados!L3</f>
        <v>5</v>
      </c>
      <c r="H24" s="34">
        <f>+Dados!M3</f>
        <v>5</v>
      </c>
      <c r="I24" s="34">
        <f>+Dados!N3</f>
        <v>5</v>
      </c>
    </row>
    <row r="25" spans="1:9" x14ac:dyDescent="0.4">
      <c r="A25" s="33" t="str">
        <f>+Dados!F4</f>
        <v>Iguatemi</v>
      </c>
      <c r="B25" s="33" t="str">
        <f>+Dados!G4</f>
        <v>Gestão municipal</v>
      </c>
      <c r="C25" s="34">
        <f>+Dados!H4</f>
        <v>5</v>
      </c>
      <c r="D25" s="34">
        <f>+Dados!I4</f>
        <v>5</v>
      </c>
      <c r="E25" s="34">
        <f>+Dados!J4</f>
        <v>5</v>
      </c>
      <c r="F25" s="34">
        <f>+Dados!K4</f>
        <v>5</v>
      </c>
      <c r="G25" s="34">
        <f>+Dados!L4</f>
        <v>5</v>
      </c>
      <c r="H25" s="34">
        <f>+Dados!M4</f>
        <v>5</v>
      </c>
      <c r="I25" s="34">
        <f>+Dados!N4</f>
        <v>4</v>
      </c>
    </row>
    <row r="26" spans="1:9" x14ac:dyDescent="0.4">
      <c r="A26" s="33" t="str">
        <f>+Dados!F5</f>
        <v>Caarapó</v>
      </c>
      <c r="B26" s="33" t="str">
        <f>+Dados!G5</f>
        <v>Gestão municipal</v>
      </c>
      <c r="C26" s="34">
        <f>+Dados!H5</f>
        <v>5</v>
      </c>
      <c r="D26" s="34">
        <f>+Dados!I5</f>
        <v>5</v>
      </c>
      <c r="E26" s="34">
        <f>+Dados!J5</f>
        <v>5</v>
      </c>
      <c r="F26" s="34">
        <f>+Dados!K5</f>
        <v>5</v>
      </c>
      <c r="G26" s="34">
        <f>+Dados!L5</f>
        <v>5</v>
      </c>
      <c r="H26" s="34">
        <f>+Dados!M5</f>
        <v>5</v>
      </c>
      <c r="I26" s="34">
        <f>+Dados!N5</f>
        <v>5</v>
      </c>
    </row>
    <row r="27" spans="1:9" x14ac:dyDescent="0.4">
      <c r="A27" s="33" t="str">
        <f>+Dados!F6</f>
        <v>Ivinhema</v>
      </c>
      <c r="B27" s="33" t="str">
        <f>+Dados!G6</f>
        <v>Gestão municipal</v>
      </c>
      <c r="C27" s="34">
        <f>+Dados!H6</f>
        <v>5</v>
      </c>
      <c r="D27" s="34">
        <f>+Dados!I6</f>
        <v>4</v>
      </c>
      <c r="E27" s="34">
        <f>+Dados!J6</f>
        <v>5</v>
      </c>
      <c r="F27" s="34">
        <f>+Dados!K6</f>
        <v>5</v>
      </c>
      <c r="G27" s="34">
        <f>+Dados!L6</f>
        <v>5</v>
      </c>
      <c r="H27" s="34">
        <f>+Dados!M6</f>
        <v>5</v>
      </c>
      <c r="I27" s="34">
        <f>+Dados!N6</f>
        <v>5</v>
      </c>
    </row>
    <row r="28" spans="1:9" x14ac:dyDescent="0.4">
      <c r="A28" s="33" t="str">
        <f>+Dados!F7</f>
        <v>Dourados</v>
      </c>
      <c r="B28" s="33" t="str">
        <f>+Dados!G7</f>
        <v>Gestão municipal</v>
      </c>
      <c r="C28" s="34">
        <f>+Dados!H7</f>
        <v>5</v>
      </c>
      <c r="D28" s="34">
        <f>+Dados!I7</f>
        <v>5</v>
      </c>
      <c r="E28" s="34">
        <f>+Dados!J7</f>
        <v>5</v>
      </c>
      <c r="F28" s="34">
        <f>+Dados!K7</f>
        <v>5</v>
      </c>
      <c r="G28" s="34">
        <f>+Dados!L7</f>
        <v>5</v>
      </c>
      <c r="H28" s="34">
        <f>+Dados!M7</f>
        <v>5</v>
      </c>
      <c r="I28" s="34">
        <f>+Dados!N7</f>
        <v>5</v>
      </c>
    </row>
    <row r="29" spans="1:9" x14ac:dyDescent="0.4">
      <c r="A29" s="33" t="str">
        <f>+Dados!F8</f>
        <v>Bataguassu</v>
      </c>
      <c r="B29" s="33" t="str">
        <f>+Dados!G8</f>
        <v>Gestão municipal</v>
      </c>
      <c r="C29" s="34">
        <f>+Dados!H8</f>
        <v>5</v>
      </c>
      <c r="D29" s="34">
        <f>+Dados!I8</f>
        <v>5</v>
      </c>
      <c r="E29" s="34">
        <f>+Dados!J8</f>
        <v>5</v>
      </c>
      <c r="F29" s="34">
        <f>+Dados!K8</f>
        <v>5</v>
      </c>
      <c r="G29" s="34">
        <f>+Dados!L8</f>
        <v>5</v>
      </c>
      <c r="H29" s="34">
        <f>+Dados!M8</f>
        <v>5</v>
      </c>
      <c r="I29" s="34">
        <f>+Dados!N8</f>
        <v>5</v>
      </c>
    </row>
    <row r="30" spans="1:9" x14ac:dyDescent="0.4">
      <c r="A30" s="33" t="str">
        <f>+Dados!F9</f>
        <v>Angélica</v>
      </c>
      <c r="B30" s="33" t="str">
        <f>+Dados!G9</f>
        <v>Gestão municipal</v>
      </c>
      <c r="C30" s="34">
        <f>+Dados!H9</f>
        <v>5</v>
      </c>
      <c r="D30" s="34">
        <f>+Dados!I9</f>
        <v>3</v>
      </c>
      <c r="E30" s="34">
        <f>+Dados!J9</f>
        <v>4</v>
      </c>
      <c r="F30" s="34">
        <f>+Dados!K9</f>
        <v>4</v>
      </c>
      <c r="G30" s="34">
        <f>+Dados!L9</f>
        <v>4</v>
      </c>
      <c r="H30" s="34">
        <f>+Dados!M9</f>
        <v>4</v>
      </c>
      <c r="I30" s="34">
        <f>+Dados!N9</f>
        <v>4</v>
      </c>
    </row>
    <row r="31" spans="1:9" x14ac:dyDescent="0.4">
      <c r="A31" s="33" t="str">
        <f>+Dados!F10</f>
        <v>Itaporã</v>
      </c>
      <c r="B31" s="33" t="str">
        <f>+Dados!G10</f>
        <v>Gestão municipal</v>
      </c>
      <c r="C31" s="34">
        <f>+Dados!H10</f>
        <v>5</v>
      </c>
      <c r="D31" s="34">
        <f>+Dados!I10</f>
        <v>5</v>
      </c>
      <c r="E31" s="34">
        <f>+Dados!J10</f>
        <v>5</v>
      </c>
      <c r="F31" s="34">
        <f>+Dados!K10</f>
        <v>5</v>
      </c>
      <c r="G31" s="34">
        <f>+Dados!L10</f>
        <v>5</v>
      </c>
      <c r="H31" s="34">
        <f>+Dados!M10</f>
        <v>5</v>
      </c>
      <c r="I31" s="34">
        <f>+Dados!N10</f>
        <v>5</v>
      </c>
    </row>
    <row r="32" spans="1:9" x14ac:dyDescent="0.4">
      <c r="A32" s="33" t="str">
        <f>+Dados!F11</f>
        <v>Dourados</v>
      </c>
      <c r="B32" s="33" t="str">
        <f>+Dados!G11</f>
        <v>Gestão municipal</v>
      </c>
      <c r="C32" s="34">
        <f>+Dados!H11</f>
        <v>5</v>
      </c>
      <c r="D32" s="34">
        <f>+Dados!I11</f>
        <v>5</v>
      </c>
      <c r="E32" s="34">
        <f>+Dados!J11</f>
        <v>5</v>
      </c>
      <c r="F32" s="34">
        <f>+Dados!K11</f>
        <v>5</v>
      </c>
      <c r="G32" s="34">
        <f>+Dados!L11</f>
        <v>5</v>
      </c>
      <c r="H32" s="34">
        <f>+Dados!M11</f>
        <v>5</v>
      </c>
      <c r="I32" s="34">
        <f>+Dados!N11</f>
        <v>5</v>
      </c>
    </row>
    <row r="33" spans="1:9" x14ac:dyDescent="0.4">
      <c r="A33" s="33" t="str">
        <f>+Dados!F12</f>
        <v>Itaporã</v>
      </c>
      <c r="B33" s="33" t="str">
        <f>+Dados!G12</f>
        <v>Gestão municipal</v>
      </c>
      <c r="C33" s="34">
        <f>+Dados!H12</f>
        <v>3</v>
      </c>
      <c r="D33" s="34">
        <f>+Dados!I12</f>
        <v>3</v>
      </c>
      <c r="E33" s="34">
        <f>+Dados!J12</f>
        <v>3</v>
      </c>
      <c r="F33" s="34">
        <f>+Dados!K12</f>
        <v>3</v>
      </c>
      <c r="G33" s="34">
        <f>+Dados!L12</f>
        <v>3</v>
      </c>
      <c r="H33" s="34">
        <f>+Dados!M12</f>
        <v>3</v>
      </c>
      <c r="I33" s="34">
        <f>+Dados!N12</f>
        <v>3</v>
      </c>
    </row>
    <row r="34" spans="1:9" x14ac:dyDescent="0.4">
      <c r="A34" s="33" t="str">
        <f>+Dados!F13</f>
        <v>Ivinhema</v>
      </c>
      <c r="B34" s="33" t="str">
        <f>+Dados!G13</f>
        <v>Gestão municipal</v>
      </c>
      <c r="C34" s="34">
        <f>+Dados!H13</f>
        <v>5</v>
      </c>
      <c r="D34" s="34">
        <f>+Dados!I13</f>
        <v>5</v>
      </c>
      <c r="E34" s="34">
        <f>+Dados!J13</f>
        <v>5</v>
      </c>
      <c r="F34" s="34">
        <f>+Dados!K13</f>
        <v>4</v>
      </c>
      <c r="G34" s="34">
        <f>+Dados!L13</f>
        <v>5</v>
      </c>
      <c r="H34" s="34">
        <f>+Dados!M13</f>
        <v>4</v>
      </c>
      <c r="I34" s="34">
        <f>+Dados!N13</f>
        <v>5</v>
      </c>
    </row>
    <row r="35" spans="1:9" x14ac:dyDescent="0.4">
      <c r="A35" s="33" t="str">
        <f>+Dados!F14</f>
        <v>Aral Moreira</v>
      </c>
      <c r="B35" s="33" t="str">
        <f>+Dados!G14</f>
        <v>Gestão municipal</v>
      </c>
      <c r="C35" s="34">
        <f>+Dados!H14</f>
        <v>4</v>
      </c>
      <c r="D35" s="34">
        <f>+Dados!I14</f>
        <v>3</v>
      </c>
      <c r="E35" s="34">
        <f>+Dados!J14</f>
        <v>4</v>
      </c>
      <c r="F35" s="34">
        <f>+Dados!K14</f>
        <v>4</v>
      </c>
      <c r="G35" s="34">
        <f>+Dados!L14</f>
        <v>4</v>
      </c>
      <c r="H35" s="34">
        <f>+Dados!M14</f>
        <v>4</v>
      </c>
      <c r="I35" s="34">
        <f>+Dados!N14</f>
        <v>4</v>
      </c>
    </row>
    <row r="36" spans="1:9" x14ac:dyDescent="0.4">
      <c r="A36" s="33" t="str">
        <f>+Dados!F15</f>
        <v>Itaquiraí</v>
      </c>
      <c r="B36" s="33" t="str">
        <f>+Dados!G15</f>
        <v>Gestão municipal</v>
      </c>
      <c r="C36" s="34">
        <f>+Dados!H15</f>
        <v>5</v>
      </c>
      <c r="D36" s="34">
        <f>+Dados!I15</f>
        <v>5</v>
      </c>
      <c r="E36" s="34">
        <f>+Dados!J15</f>
        <v>5</v>
      </c>
      <c r="F36" s="34">
        <f>+Dados!K15</f>
        <v>5</v>
      </c>
      <c r="G36" s="34">
        <f>+Dados!L15</f>
        <v>5</v>
      </c>
      <c r="H36" s="34">
        <f>+Dados!M15</f>
        <v>5</v>
      </c>
      <c r="I36" s="34">
        <f>+Dados!N15</f>
        <v>5</v>
      </c>
    </row>
    <row r="37" spans="1:9" x14ac:dyDescent="0.4">
      <c r="A37" s="33" t="str">
        <f>+Dados!F16</f>
        <v>Amambai</v>
      </c>
      <c r="B37" s="33" t="str">
        <f>+Dados!G16</f>
        <v>Gestão municipal</v>
      </c>
      <c r="C37" s="34">
        <f>+Dados!H16</f>
        <v>5</v>
      </c>
      <c r="D37" s="34">
        <f>+Dados!I16</f>
        <v>4</v>
      </c>
      <c r="E37" s="34">
        <f>+Dados!J16</f>
        <v>5</v>
      </c>
      <c r="F37" s="34">
        <f>+Dados!K16</f>
        <v>5</v>
      </c>
      <c r="G37" s="34">
        <f>+Dados!L16</f>
        <v>5</v>
      </c>
      <c r="H37" s="34">
        <f>+Dados!M16</f>
        <v>5</v>
      </c>
      <c r="I37" s="34">
        <f>+Dados!N16</f>
        <v>4</v>
      </c>
    </row>
    <row r="38" spans="1:9" x14ac:dyDescent="0.4">
      <c r="A38" s="33" t="str">
        <f>+Dados!F17</f>
        <v>Glória de Dourados</v>
      </c>
      <c r="B38" s="33" t="str">
        <f>+Dados!G17</f>
        <v>Gestão municipal</v>
      </c>
      <c r="C38" s="34">
        <f>+Dados!H17</f>
        <v>5</v>
      </c>
      <c r="D38" s="34">
        <f>+Dados!I17</f>
        <v>5</v>
      </c>
      <c r="E38" s="34">
        <f>+Dados!J17</f>
        <v>5</v>
      </c>
      <c r="F38" s="34">
        <f>+Dados!K17</f>
        <v>5</v>
      </c>
      <c r="G38" s="34">
        <f>+Dados!L17</f>
        <v>5</v>
      </c>
      <c r="H38" s="34">
        <f>+Dados!M17</f>
        <v>5</v>
      </c>
      <c r="I38" s="34">
        <f>+Dados!N17</f>
        <v>5</v>
      </c>
    </row>
    <row r="39" spans="1:9" x14ac:dyDescent="0.4">
      <c r="A39" s="33" t="str">
        <f>+Dados!F18</f>
        <v>Coronel Sapucaia</v>
      </c>
      <c r="B39" s="33" t="str">
        <f>+Dados!G18</f>
        <v>Gestão municipal</v>
      </c>
      <c r="C39" s="34">
        <f>+Dados!H18</f>
        <v>5</v>
      </c>
      <c r="D39" s="34">
        <f>+Dados!I18</f>
        <v>5</v>
      </c>
      <c r="E39" s="34">
        <f>+Dados!J18</f>
        <v>5</v>
      </c>
      <c r="F39" s="34">
        <f>+Dados!K18</f>
        <v>5</v>
      </c>
      <c r="G39" s="34">
        <f>+Dados!L18</f>
        <v>5</v>
      </c>
      <c r="H39" s="34">
        <f>+Dados!M18</f>
        <v>5</v>
      </c>
      <c r="I39" s="34">
        <f>+Dados!N18</f>
        <v>5</v>
      </c>
    </row>
    <row r="40" spans="1:9" x14ac:dyDescent="0.4">
      <c r="A40" s="33" t="str">
        <f>+Dados!F19</f>
        <v>Eldorado</v>
      </c>
      <c r="B40" s="33" t="str">
        <f>+Dados!G19</f>
        <v>Gestão municipal</v>
      </c>
      <c r="C40" s="34">
        <f>+Dados!H19</f>
        <v>5</v>
      </c>
      <c r="D40" s="34">
        <f>+Dados!I19</f>
        <v>5</v>
      </c>
      <c r="E40" s="34">
        <f>+Dados!J19</f>
        <v>5</v>
      </c>
      <c r="F40" s="34">
        <f>+Dados!K19</f>
        <v>5</v>
      </c>
      <c r="G40" s="34">
        <f>+Dados!L19</f>
        <v>5</v>
      </c>
      <c r="H40" s="34">
        <f>+Dados!M19</f>
        <v>5</v>
      </c>
      <c r="I40" s="34">
        <f>+Dados!N19</f>
        <v>5</v>
      </c>
    </row>
    <row r="41" spans="1:9" x14ac:dyDescent="0.4">
      <c r="A41" s="33" t="str">
        <f>+Dados!F20</f>
        <v>Douradina</v>
      </c>
      <c r="B41" s="33" t="str">
        <f>+Dados!G20</f>
        <v>Gestão municipal</v>
      </c>
      <c r="C41" s="34">
        <f>+Dados!H20</f>
        <v>4</v>
      </c>
      <c r="D41" s="34">
        <f>+Dados!I20</f>
        <v>4</v>
      </c>
      <c r="E41" s="34">
        <f>+Dados!J20</f>
        <v>4</v>
      </c>
      <c r="F41" s="34">
        <f>+Dados!K20</f>
        <v>4</v>
      </c>
      <c r="G41" s="34">
        <f>+Dados!L20</f>
        <v>4</v>
      </c>
      <c r="H41" s="34">
        <f>+Dados!M20</f>
        <v>4</v>
      </c>
      <c r="I41" s="34">
        <f>+Dados!N20</f>
        <v>4</v>
      </c>
    </row>
    <row r="42" spans="1:9" x14ac:dyDescent="0.4">
      <c r="A42" s="33" t="str">
        <f>+Dados!F21</f>
        <v>Paraíso das Águas</v>
      </c>
      <c r="B42" s="33" t="str">
        <f>+Dados!G21</f>
        <v>Gestão municipal</v>
      </c>
      <c r="C42" s="34">
        <f>+Dados!H21</f>
        <v>4</v>
      </c>
      <c r="D42" s="34">
        <f>+Dados!I21</f>
        <v>4</v>
      </c>
      <c r="E42" s="34">
        <f>+Dados!J21</f>
        <v>4</v>
      </c>
      <c r="F42" s="34">
        <f>+Dados!K21</f>
        <v>4</v>
      </c>
      <c r="G42" s="34">
        <f>+Dados!L21</f>
        <v>4</v>
      </c>
      <c r="H42" s="34">
        <f>+Dados!M21</f>
        <v>4</v>
      </c>
      <c r="I42" s="34">
        <f>+Dados!N21</f>
        <v>4</v>
      </c>
    </row>
    <row r="43" spans="1:9" x14ac:dyDescent="0.4">
      <c r="A43" s="33" t="str">
        <f>+Dados!F22</f>
        <v>Paraíso das Águas</v>
      </c>
      <c r="B43" s="33" t="str">
        <f>+Dados!G22</f>
        <v>Gestão municipal</v>
      </c>
      <c r="C43" s="34">
        <f>+Dados!H22</f>
        <v>4</v>
      </c>
      <c r="D43" s="34">
        <f>+Dados!I22</f>
        <v>3</v>
      </c>
      <c r="E43" s="34">
        <f>+Dados!J22</f>
        <v>3</v>
      </c>
      <c r="F43" s="34">
        <f>+Dados!K22</f>
        <v>4</v>
      </c>
      <c r="G43" s="34">
        <f>+Dados!L22</f>
        <v>4</v>
      </c>
      <c r="H43" s="34">
        <f>+Dados!M22</f>
        <v>4</v>
      </c>
      <c r="I43" s="34">
        <f>+Dados!N22</f>
        <v>4</v>
      </c>
    </row>
    <row r="44" spans="1:9" x14ac:dyDescent="0.4">
      <c r="A44" s="33" t="str">
        <f>+Dados!F23</f>
        <v>Batayporã</v>
      </c>
      <c r="B44" s="33" t="str">
        <f>+Dados!G23</f>
        <v>Gestão municipal</v>
      </c>
      <c r="C44" s="34">
        <f>+Dados!H23</f>
        <v>5</v>
      </c>
      <c r="D44" s="34">
        <f>+Dados!I23</f>
        <v>5</v>
      </c>
      <c r="E44" s="34">
        <f>+Dados!J23</f>
        <v>5</v>
      </c>
      <c r="F44" s="34">
        <f>+Dados!K23</f>
        <v>5</v>
      </c>
      <c r="G44" s="34">
        <f>+Dados!L23</f>
        <v>5</v>
      </c>
      <c r="H44" s="34">
        <f>+Dados!M23</f>
        <v>5</v>
      </c>
      <c r="I44" s="34">
        <f>+Dados!N23</f>
        <v>5</v>
      </c>
    </row>
    <row r="45" spans="1:9" x14ac:dyDescent="0.4">
      <c r="A45" s="33" t="str">
        <f>+Dados!F24</f>
        <v>Anaurilândia</v>
      </c>
      <c r="B45" s="33" t="str">
        <f>+Dados!G24</f>
        <v>Gestão municipal</v>
      </c>
      <c r="C45" s="34">
        <f>+Dados!H24</f>
        <v>5</v>
      </c>
      <c r="D45" s="34">
        <f>+Dados!I24</f>
        <v>5</v>
      </c>
      <c r="E45" s="34">
        <f>+Dados!J24</f>
        <v>4</v>
      </c>
      <c r="F45" s="34">
        <f>+Dados!K24</f>
        <v>4</v>
      </c>
      <c r="G45" s="34">
        <f>+Dados!L24</f>
        <v>5</v>
      </c>
      <c r="H45" s="34">
        <f>+Dados!M24</f>
        <v>4</v>
      </c>
      <c r="I45" s="34">
        <f>+Dados!N24</f>
        <v>5</v>
      </c>
    </row>
    <row r="46" spans="1:9" x14ac:dyDescent="0.4">
      <c r="A46" s="33" t="str">
        <f>+Dados!F25</f>
        <v>Amambai</v>
      </c>
      <c r="B46" s="33" t="str">
        <f>+Dados!G25</f>
        <v>Gestão municipal</v>
      </c>
      <c r="C46" s="34">
        <f>+Dados!H25</f>
        <v>5</v>
      </c>
      <c r="D46" s="34">
        <f>+Dados!I25</f>
        <v>4</v>
      </c>
      <c r="E46" s="34">
        <f>+Dados!J25</f>
        <v>5</v>
      </c>
      <c r="F46" s="34">
        <f>+Dados!K25</f>
        <v>5</v>
      </c>
      <c r="G46" s="34">
        <f>+Dados!L25</f>
        <v>5</v>
      </c>
      <c r="H46" s="34">
        <f>+Dados!M25</f>
        <v>5</v>
      </c>
      <c r="I46" s="34">
        <f>+Dados!N25</f>
        <v>5</v>
      </c>
    </row>
    <row r="47" spans="1:9" x14ac:dyDescent="0.4">
      <c r="A47" s="33" t="str">
        <f>+Dados!F26</f>
        <v>Deodápolis</v>
      </c>
      <c r="B47" s="33" t="str">
        <f>+Dados!G26</f>
        <v>Gestão municipal</v>
      </c>
      <c r="C47" s="34">
        <f>+Dados!H26</f>
        <v>3</v>
      </c>
      <c r="D47" s="34">
        <f>+Dados!I26</f>
        <v>3</v>
      </c>
      <c r="E47" s="34">
        <f>+Dados!J26</f>
        <v>3</v>
      </c>
      <c r="F47" s="34">
        <f>+Dados!K26</f>
        <v>3</v>
      </c>
      <c r="G47" s="34">
        <f>+Dados!L26</f>
        <v>3</v>
      </c>
      <c r="H47" s="34">
        <f>+Dados!M26</f>
        <v>3</v>
      </c>
      <c r="I47" s="34">
        <f>+Dados!N26</f>
        <v>3</v>
      </c>
    </row>
    <row r="48" spans="1:9" x14ac:dyDescent="0.4">
      <c r="A48" s="33" t="str">
        <f>+Dados!F28</f>
        <v>Angélica</v>
      </c>
      <c r="B48" s="33" t="str">
        <f>+Dados!G28</f>
        <v>Gestão municipal</v>
      </c>
      <c r="C48" s="34">
        <f>+Dados!H28</f>
        <v>4</v>
      </c>
      <c r="D48" s="34">
        <f>+Dados!I28</f>
        <v>4</v>
      </c>
      <c r="E48" s="34">
        <f>+Dados!J28</f>
        <v>4</v>
      </c>
      <c r="F48" s="34">
        <f>+Dados!K28</f>
        <v>4</v>
      </c>
      <c r="G48" s="34">
        <f>+Dados!L28</f>
        <v>4</v>
      </c>
      <c r="H48" s="34">
        <f>+Dados!M28</f>
        <v>4</v>
      </c>
      <c r="I48" s="34">
        <f>+Dados!N28</f>
        <v>4</v>
      </c>
    </row>
    <row r="49" spans="1:9" x14ac:dyDescent="0.4">
      <c r="A49" s="33" t="str">
        <f>+Dados!F30</f>
        <v>Bataguassu</v>
      </c>
      <c r="B49" s="33" t="str">
        <f>+Dados!G30</f>
        <v>Gestão municipal</v>
      </c>
      <c r="C49" s="34">
        <f>+Dados!H30</f>
        <v>5</v>
      </c>
      <c r="D49" s="34">
        <f>+Dados!I30</f>
        <v>5</v>
      </c>
      <c r="E49" s="34">
        <f>+Dados!J30</f>
        <v>5</v>
      </c>
      <c r="F49" s="34">
        <f>+Dados!K30</f>
        <v>5</v>
      </c>
      <c r="G49" s="34">
        <f>+Dados!L30</f>
        <v>5</v>
      </c>
      <c r="H49" s="34">
        <f>+Dados!M30</f>
        <v>5</v>
      </c>
      <c r="I49" s="34">
        <f>+Dados!N30</f>
        <v>5</v>
      </c>
    </row>
    <row r="50" spans="1:9" x14ac:dyDescent="0.4">
      <c r="A50" s="33" t="str">
        <f>+Dados!F33</f>
        <v>Douradina</v>
      </c>
      <c r="B50" s="33" t="str">
        <f>+Dados!G33</f>
        <v>Gestão municipal</v>
      </c>
      <c r="C50" s="34">
        <f>+Dados!H33</f>
        <v>5</v>
      </c>
      <c r="D50" s="34">
        <f>+Dados!I33</f>
        <v>5</v>
      </c>
      <c r="E50" s="34">
        <f>+Dados!J33</f>
        <v>5</v>
      </c>
      <c r="F50" s="34">
        <f>+Dados!K33</f>
        <v>5</v>
      </c>
      <c r="G50" s="34">
        <f>+Dados!L33</f>
        <v>5</v>
      </c>
      <c r="H50" s="34">
        <f>+Dados!M33</f>
        <v>5</v>
      </c>
      <c r="I50" s="34">
        <f>+Dados!N33</f>
        <v>5</v>
      </c>
    </row>
    <row r="51" spans="1:9" x14ac:dyDescent="0.4">
      <c r="A51" s="33" t="str">
        <f>+Dados!F38</f>
        <v>Japorã</v>
      </c>
      <c r="B51" s="33" t="str">
        <f>+Dados!G38</f>
        <v>Gestão municipal</v>
      </c>
      <c r="C51" s="34">
        <f>+Dados!H38</f>
        <v>5</v>
      </c>
      <c r="D51" s="34">
        <f>+Dados!I38</f>
        <v>5</v>
      </c>
      <c r="E51" s="34">
        <f>+Dados!J38</f>
        <v>5</v>
      </c>
      <c r="F51" s="34">
        <f>+Dados!K38</f>
        <v>5</v>
      </c>
      <c r="G51" s="34">
        <f>+Dados!L38</f>
        <v>5</v>
      </c>
      <c r="H51" s="34">
        <f>+Dados!M38</f>
        <v>5</v>
      </c>
      <c r="I51" s="34">
        <f>+Dados!N38</f>
        <v>5</v>
      </c>
    </row>
    <row r="52" spans="1:9" x14ac:dyDescent="0.4">
      <c r="A52" s="33" t="str">
        <f>+Dados!F44</f>
        <v>Taquarussu</v>
      </c>
      <c r="B52" s="33" t="str">
        <f>+Dados!G44</f>
        <v>Gestão municipal</v>
      </c>
      <c r="C52" s="34">
        <f>+Dados!H44</f>
        <v>4</v>
      </c>
      <c r="D52" s="34">
        <f>+Dados!I44</f>
        <v>4</v>
      </c>
      <c r="E52" s="34">
        <f>+Dados!J44</f>
        <v>4</v>
      </c>
      <c r="F52" s="34">
        <f>+Dados!K44</f>
        <v>4</v>
      </c>
      <c r="G52" s="34">
        <f>+Dados!L44</f>
        <v>4</v>
      </c>
      <c r="H52" s="34">
        <f>+Dados!M44</f>
        <v>4</v>
      </c>
      <c r="I52" s="34">
        <f>+Dados!N44</f>
        <v>4</v>
      </c>
    </row>
    <row r="53" spans="1:9" x14ac:dyDescent="0.4">
      <c r="A53" s="33" t="str">
        <f>+Dados!F45</f>
        <v>Juti</v>
      </c>
      <c r="B53" s="33" t="str">
        <f>+Dados!G45</f>
        <v>Gestão municipal</v>
      </c>
      <c r="C53" s="34">
        <f>+Dados!H45</f>
        <v>3</v>
      </c>
      <c r="D53" s="34">
        <f>+Dados!I45</f>
        <v>3</v>
      </c>
      <c r="E53" s="34">
        <f>+Dados!J45</f>
        <v>3</v>
      </c>
      <c r="F53" s="34">
        <f>+Dados!K45</f>
        <v>3</v>
      </c>
      <c r="G53" s="34">
        <f>+Dados!L45</f>
        <v>3</v>
      </c>
      <c r="H53" s="34">
        <f>+Dados!M45</f>
        <v>3</v>
      </c>
      <c r="I53" s="34">
        <f>+Dados!N45</f>
        <v>3</v>
      </c>
    </row>
    <row r="54" spans="1:9" x14ac:dyDescent="0.4">
      <c r="A54" s="33" t="str">
        <f>+Dados!F53</f>
        <v>Maracaju</v>
      </c>
      <c r="B54" s="33" t="str">
        <f>+Dados!G53</f>
        <v>Gestão municipal</v>
      </c>
      <c r="C54" s="34">
        <f>+Dados!H53</f>
        <v>5</v>
      </c>
      <c r="D54" s="34">
        <f>+Dados!I53</f>
        <v>3</v>
      </c>
      <c r="E54" s="34">
        <f>+Dados!J53</f>
        <v>5</v>
      </c>
      <c r="F54" s="34">
        <f>+Dados!K53</f>
        <v>5</v>
      </c>
      <c r="G54" s="34">
        <f>+Dados!L53</f>
        <v>5</v>
      </c>
      <c r="H54" s="34">
        <f>+Dados!M53</f>
        <v>5</v>
      </c>
      <c r="I54" s="34">
        <f>+Dados!N53</f>
        <v>3</v>
      </c>
    </row>
    <row r="55" spans="1:9" x14ac:dyDescent="0.4">
      <c r="A55" s="33" t="str">
        <f>+Dados!F54</f>
        <v>Juti</v>
      </c>
      <c r="B55" s="33" t="str">
        <f>+Dados!G54</f>
        <v>Gestão municipal</v>
      </c>
      <c r="C55" s="34">
        <f>+Dados!H54</f>
        <v>5</v>
      </c>
      <c r="D55" s="34">
        <f>+Dados!I54</f>
        <v>4</v>
      </c>
      <c r="E55" s="34">
        <f>+Dados!J54</f>
        <v>5</v>
      </c>
      <c r="F55" s="34">
        <f>+Dados!K54</f>
        <v>5</v>
      </c>
      <c r="G55" s="34">
        <f>+Dados!L54</f>
        <v>5</v>
      </c>
      <c r="H55" s="34">
        <f>+Dados!M54</f>
        <v>5</v>
      </c>
      <c r="I55" s="34">
        <f>+Dados!N54</f>
        <v>5</v>
      </c>
    </row>
    <row r="56" spans="1:9" x14ac:dyDescent="0.4">
      <c r="A56" s="33" t="str">
        <f>+Dados!F55</f>
        <v>Ponta Porã</v>
      </c>
      <c r="B56" s="33" t="str">
        <f>+Dados!G55</f>
        <v>Gestão municipal</v>
      </c>
      <c r="C56" s="34">
        <f>+Dados!H55</f>
        <v>5</v>
      </c>
      <c r="D56" s="34">
        <f>+Dados!I55</f>
        <v>5</v>
      </c>
      <c r="E56" s="34">
        <f>+Dados!J55</f>
        <v>5</v>
      </c>
      <c r="F56" s="34">
        <f>+Dados!K55</f>
        <v>5</v>
      </c>
      <c r="G56" s="34">
        <f>+Dados!L55</f>
        <v>5</v>
      </c>
      <c r="H56" s="34">
        <f>+Dados!M55</f>
        <v>5</v>
      </c>
      <c r="I56" s="34">
        <f>+Dados!N55</f>
        <v>5</v>
      </c>
    </row>
    <row r="57" spans="1:9" x14ac:dyDescent="0.4">
      <c r="A57" s="33" t="str">
        <f>+Dados!F56</f>
        <v>Ponta Porã</v>
      </c>
      <c r="B57" s="33" t="str">
        <f>+Dados!G56</f>
        <v>Gestão municipal</v>
      </c>
      <c r="C57" s="34">
        <f>+Dados!H56</f>
        <v>5</v>
      </c>
      <c r="D57" s="34">
        <f>+Dados!I56</f>
        <v>4</v>
      </c>
      <c r="E57" s="34">
        <f>+Dados!J56</f>
        <v>5</v>
      </c>
      <c r="F57" s="34">
        <f>+Dados!K56</f>
        <v>5</v>
      </c>
      <c r="G57" s="34">
        <f>+Dados!L56</f>
        <v>5</v>
      </c>
      <c r="H57" s="34">
        <f>+Dados!M56</f>
        <v>5</v>
      </c>
      <c r="I57" s="34">
        <f>+Dados!N56</f>
        <v>5</v>
      </c>
    </row>
    <row r="58" spans="1:9" x14ac:dyDescent="0.4">
      <c r="A58" s="33" t="str">
        <f>+Dados!F58</f>
        <v>Sete Quedas</v>
      </c>
      <c r="B58" s="33" t="str">
        <f>+Dados!G58</f>
        <v>Gestão municipal</v>
      </c>
      <c r="C58" s="34">
        <f>+Dados!H58</f>
        <v>5</v>
      </c>
      <c r="D58" s="34">
        <f>+Dados!I58</f>
        <v>5</v>
      </c>
      <c r="E58" s="34">
        <f>+Dados!J58</f>
        <v>5</v>
      </c>
      <c r="F58" s="34">
        <f>+Dados!K58</f>
        <v>5</v>
      </c>
      <c r="G58" s="34">
        <f>+Dados!L58</f>
        <v>5</v>
      </c>
      <c r="H58" s="34">
        <f>+Dados!M58</f>
        <v>5</v>
      </c>
      <c r="I58" s="34">
        <f>+Dados!N58</f>
        <v>5</v>
      </c>
    </row>
    <row r="59" spans="1:9" x14ac:dyDescent="0.4">
      <c r="A59" s="33" t="str">
        <f>+Dados!F59</f>
        <v>Laguna Carapã</v>
      </c>
      <c r="B59" s="33" t="str">
        <f>+Dados!G59</f>
        <v>Gestão municipal</v>
      </c>
      <c r="C59" s="34">
        <f>+Dados!H59</f>
        <v>5</v>
      </c>
      <c r="D59" s="34">
        <f>+Dados!I59</f>
        <v>5</v>
      </c>
      <c r="E59" s="34">
        <f>+Dados!J59</f>
        <v>5</v>
      </c>
      <c r="F59" s="34">
        <f>+Dados!K59</f>
        <v>5</v>
      </c>
      <c r="G59" s="34">
        <f>+Dados!L59</f>
        <v>5</v>
      </c>
      <c r="H59" s="34">
        <f>+Dados!M59</f>
        <v>5</v>
      </c>
      <c r="I59" s="34">
        <f>+Dados!N59</f>
        <v>5</v>
      </c>
    </row>
    <row r="60" spans="1:9" x14ac:dyDescent="0.4">
      <c r="A60" s="33" t="str">
        <f>+Dados!F60</f>
        <v>Maracaju</v>
      </c>
      <c r="B60" s="33" t="str">
        <f>+Dados!G60</f>
        <v>Gestão municipal</v>
      </c>
      <c r="C60" s="34">
        <f>+Dados!H60</f>
        <v>5</v>
      </c>
      <c r="D60" s="34">
        <f>+Dados!I60</f>
        <v>5</v>
      </c>
      <c r="E60" s="34">
        <f>+Dados!J60</f>
        <v>5</v>
      </c>
      <c r="F60" s="34">
        <f>+Dados!K60</f>
        <v>5</v>
      </c>
      <c r="G60" s="34">
        <f>+Dados!L60</f>
        <v>5</v>
      </c>
      <c r="H60" s="34">
        <f>+Dados!M60</f>
        <v>5</v>
      </c>
      <c r="I60" s="34">
        <f>+Dados!N60</f>
        <v>5</v>
      </c>
    </row>
    <row r="61" spans="1:9" x14ac:dyDescent="0.4">
      <c r="A61" s="33" t="str">
        <f>+Dados!F61</f>
        <v>Paranhos</v>
      </c>
      <c r="B61" s="33" t="str">
        <f>+Dados!G61</f>
        <v>Gestão municipal</v>
      </c>
      <c r="C61" s="34">
        <f>+Dados!H61</f>
        <v>4</v>
      </c>
      <c r="D61" s="34">
        <f>+Dados!I61</f>
        <v>3</v>
      </c>
      <c r="E61" s="34">
        <f>+Dados!J61</f>
        <v>5</v>
      </c>
      <c r="F61" s="34">
        <f>+Dados!K61</f>
        <v>5</v>
      </c>
      <c r="G61" s="34">
        <f>+Dados!L61</f>
        <v>5</v>
      </c>
      <c r="H61" s="34">
        <f>+Dados!M61</f>
        <v>4</v>
      </c>
      <c r="I61" s="34">
        <f>+Dados!N61</f>
        <v>5</v>
      </c>
    </row>
    <row r="62" spans="1:9" x14ac:dyDescent="0.4">
      <c r="A62" s="33" t="str">
        <f>+Dados!F62</f>
        <v>Sete Quedas</v>
      </c>
      <c r="B62" s="33" t="str">
        <f>+Dados!G62</f>
        <v>Gestão municipal</v>
      </c>
      <c r="C62" s="34">
        <f>+Dados!H62</f>
        <v>4</v>
      </c>
      <c r="D62" s="34">
        <f>+Dados!I62</f>
        <v>5</v>
      </c>
      <c r="E62" s="34">
        <f>+Dados!J62</f>
        <v>5</v>
      </c>
      <c r="F62" s="34">
        <f>+Dados!K62</f>
        <v>5</v>
      </c>
      <c r="G62" s="34">
        <f>+Dados!L62</f>
        <v>5</v>
      </c>
      <c r="H62" s="34">
        <f>+Dados!M62</f>
        <v>5</v>
      </c>
      <c r="I62" s="34">
        <f>+Dados!N62</f>
        <v>5</v>
      </c>
    </row>
    <row r="63" spans="1:9" x14ac:dyDescent="0.4">
      <c r="A63" s="33" t="str">
        <f>+Dados!F63</f>
        <v>Jateí</v>
      </c>
      <c r="B63" s="33" t="str">
        <f>+Dados!G63</f>
        <v>Gestão municipal</v>
      </c>
      <c r="C63" s="34">
        <f>+Dados!H63</f>
        <v>5</v>
      </c>
      <c r="D63" s="34">
        <f>+Dados!I63</f>
        <v>4</v>
      </c>
      <c r="E63" s="34">
        <f>+Dados!J63</f>
        <v>4</v>
      </c>
      <c r="F63" s="34">
        <f>+Dados!K63</f>
        <v>4</v>
      </c>
      <c r="G63" s="34">
        <f>+Dados!L63</f>
        <v>5</v>
      </c>
      <c r="H63" s="34">
        <f>+Dados!M63</f>
        <v>4</v>
      </c>
      <c r="I63" s="34">
        <f>+Dados!N63</f>
        <v>5</v>
      </c>
    </row>
    <row r="64" spans="1:9" x14ac:dyDescent="0.4">
      <c r="A64" s="33" t="str">
        <f>+Dados!F64</f>
        <v>Cassilândia</v>
      </c>
      <c r="B64" s="33" t="str">
        <f>+Dados!G64</f>
        <v>Gestão municipal</v>
      </c>
      <c r="C64" s="34">
        <f>+Dados!H64</f>
        <v>5</v>
      </c>
      <c r="D64" s="34">
        <f>+Dados!I64</f>
        <v>4</v>
      </c>
      <c r="E64" s="34">
        <f>+Dados!J64</f>
        <v>5</v>
      </c>
      <c r="F64" s="34">
        <f>+Dados!K64</f>
        <v>5</v>
      </c>
      <c r="G64" s="34">
        <f>+Dados!L64</f>
        <v>4</v>
      </c>
      <c r="H64" s="34">
        <f>+Dados!M64</f>
        <v>5</v>
      </c>
      <c r="I64" s="34">
        <f>+Dados!N64</f>
        <v>5</v>
      </c>
    </row>
    <row r="65" spans="1:9" x14ac:dyDescent="0.4">
      <c r="A65" s="33" t="str">
        <f>+Dados!F65</f>
        <v>Rio Brilhante</v>
      </c>
      <c r="B65" s="33" t="str">
        <f>+Dados!G65</f>
        <v>Gestão municipal</v>
      </c>
      <c r="C65" s="34">
        <f>+Dados!H65</f>
        <v>5</v>
      </c>
      <c r="D65" s="34">
        <f>+Dados!I65</f>
        <v>4</v>
      </c>
      <c r="E65" s="34">
        <f>+Dados!J65</f>
        <v>5</v>
      </c>
      <c r="F65" s="34">
        <f>+Dados!K65</f>
        <v>5</v>
      </c>
      <c r="G65" s="34">
        <f>+Dados!L65</f>
        <v>5</v>
      </c>
      <c r="H65" s="34">
        <f>+Dados!M65</f>
        <v>5</v>
      </c>
      <c r="I65" s="34">
        <f>+Dados!N65</f>
        <v>5</v>
      </c>
    </row>
    <row r="66" spans="1:9" x14ac:dyDescent="0.4">
      <c r="A66" s="33" t="str">
        <f>+Dados!F66</f>
        <v>Laguna Carapã</v>
      </c>
      <c r="B66" s="33" t="str">
        <f>+Dados!G66</f>
        <v>Gestão municipal</v>
      </c>
      <c r="C66" s="34">
        <f>+Dados!H66</f>
        <v>5</v>
      </c>
      <c r="D66" s="34">
        <f>+Dados!I66</f>
        <v>5</v>
      </c>
      <c r="E66" s="34">
        <f>+Dados!J66</f>
        <v>5</v>
      </c>
      <c r="F66" s="34">
        <f>+Dados!K66</f>
        <v>5</v>
      </c>
      <c r="G66" s="34">
        <f>+Dados!L66</f>
        <v>5</v>
      </c>
      <c r="H66" s="34">
        <f>+Dados!M66</f>
        <v>5</v>
      </c>
      <c r="I66" s="34">
        <f>+Dados!N66</f>
        <v>5</v>
      </c>
    </row>
    <row r="67" spans="1:9" x14ac:dyDescent="0.4">
      <c r="A67" s="33" t="str">
        <f>+Dados!F67</f>
        <v>Cassilândia</v>
      </c>
      <c r="B67" s="33" t="str">
        <f>+Dados!G67</f>
        <v>Gestão municipal</v>
      </c>
      <c r="C67" s="34">
        <f>+Dados!H67</f>
        <v>4</v>
      </c>
      <c r="D67" s="34">
        <f>+Dados!I67</f>
        <v>4</v>
      </c>
      <c r="E67" s="34">
        <f>+Dados!J67</f>
        <v>4</v>
      </c>
      <c r="F67" s="34">
        <f>+Dados!K67</f>
        <v>4</v>
      </c>
      <c r="G67" s="34">
        <f>+Dados!L67</f>
        <v>4</v>
      </c>
      <c r="H67" s="34">
        <f>+Dados!M67</f>
        <v>4</v>
      </c>
      <c r="I67" s="34">
        <f>+Dados!N67</f>
        <v>5</v>
      </c>
    </row>
    <row r="68" spans="1:9" x14ac:dyDescent="0.4">
      <c r="A68" s="33" t="str">
        <f>+Dados!F68</f>
        <v>Paranhos</v>
      </c>
      <c r="B68" s="33" t="str">
        <f>+Dados!G68</f>
        <v>Gestão municipal</v>
      </c>
      <c r="C68" s="34">
        <f>+Dados!H68</f>
        <v>5</v>
      </c>
      <c r="D68" s="34">
        <f>+Dados!I68</f>
        <v>4</v>
      </c>
      <c r="E68" s="34">
        <f>+Dados!J68</f>
        <v>5</v>
      </c>
      <c r="F68" s="34">
        <f>+Dados!K68</f>
        <v>5</v>
      </c>
      <c r="G68" s="34">
        <f>+Dados!L68</f>
        <v>5</v>
      </c>
      <c r="H68" s="34">
        <f>+Dados!M68</f>
        <v>5</v>
      </c>
      <c r="I68" s="34">
        <f>+Dados!N68</f>
        <v>5</v>
      </c>
    </row>
    <row r="69" spans="1:9" x14ac:dyDescent="0.4">
      <c r="A69" s="33" t="str">
        <f>+Dados!F69</f>
        <v>Mundo Novo</v>
      </c>
      <c r="B69" s="33" t="str">
        <f>+Dados!G69</f>
        <v>Gestão municipal</v>
      </c>
      <c r="C69" s="34">
        <f>+Dados!H69</f>
        <v>5</v>
      </c>
      <c r="D69" s="34">
        <f>+Dados!I69</f>
        <v>5</v>
      </c>
      <c r="E69" s="34">
        <f>+Dados!J69</f>
        <v>5</v>
      </c>
      <c r="F69" s="34">
        <f>+Dados!K69</f>
        <v>5</v>
      </c>
      <c r="G69" s="34">
        <f>+Dados!L69</f>
        <v>5</v>
      </c>
      <c r="H69" s="34">
        <f>+Dados!M69</f>
        <v>5</v>
      </c>
      <c r="I69" s="34">
        <f>+Dados!N69</f>
        <v>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S72"/>
  <sheetViews>
    <sheetView zoomScaleNormal="100" workbookViewId="0">
      <selection activeCell="J14" sqref="J14"/>
    </sheetView>
  </sheetViews>
  <sheetFormatPr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0.625" style="36" bestFit="1" customWidth="1"/>
    <col min="6" max="6" width="9.375" style="37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19" ht="21.75" customHeight="1" x14ac:dyDescent="0.2">
      <c r="G1" s="38" t="s">
        <v>40</v>
      </c>
      <c r="H1" s="38" t="s">
        <v>51</v>
      </c>
      <c r="I1" s="39" t="s">
        <v>526</v>
      </c>
    </row>
    <row r="3" spans="2:19" s="40" customFormat="1" ht="21.75" customHeight="1" x14ac:dyDescent="0.4">
      <c r="C3" s="41" t="s">
        <v>527</v>
      </c>
      <c r="D3" s="42" t="s">
        <v>528</v>
      </c>
      <c r="E3" s="41" t="s">
        <v>513</v>
      </c>
      <c r="F3" s="42" t="s">
        <v>529</v>
      </c>
      <c r="G3" s="43" t="s">
        <v>596</v>
      </c>
      <c r="H3" s="43"/>
      <c r="I3" s="43"/>
      <c r="K3" s="41" t="s">
        <v>527</v>
      </c>
      <c r="L3" s="42" t="s">
        <v>528</v>
      </c>
      <c r="M3" s="41" t="s">
        <v>513</v>
      </c>
      <c r="N3" s="42" t="s">
        <v>529</v>
      </c>
      <c r="O3" s="43" t="s">
        <v>530</v>
      </c>
      <c r="P3" s="43"/>
      <c r="Q3" s="43"/>
    </row>
    <row r="4" spans="2:19" s="40" customFormat="1" ht="21.75" customHeight="1" x14ac:dyDescent="0.4">
      <c r="C4" s="44"/>
      <c r="D4" s="45"/>
      <c r="E4" s="44"/>
      <c r="F4" s="45"/>
      <c r="G4" s="46" t="s">
        <v>4</v>
      </c>
      <c r="H4" s="46" t="s">
        <v>5</v>
      </c>
      <c r="I4" s="46" t="s">
        <v>526</v>
      </c>
      <c r="K4" s="44"/>
      <c r="L4" s="45"/>
      <c r="M4" s="44"/>
      <c r="N4" s="45"/>
      <c r="O4" s="46" t="s">
        <v>4</v>
      </c>
      <c r="P4" s="46" t="s">
        <v>5</v>
      </c>
      <c r="Q4" s="46" t="s">
        <v>526</v>
      </c>
    </row>
    <row r="5" spans="2:19" s="40" customFormat="1" ht="21.75" customHeight="1" x14ac:dyDescent="0.4">
      <c r="B5" s="40">
        <v>1</v>
      </c>
      <c r="C5" s="47">
        <v>45749</v>
      </c>
      <c r="D5" s="48" t="s">
        <v>531</v>
      </c>
      <c r="E5" s="49" t="s">
        <v>146</v>
      </c>
      <c r="F5" s="48" t="s">
        <v>532</v>
      </c>
      <c r="G5" s="50">
        <f>COUNTIFS(Todos!$B$2:$B$69,'Resumo '!G$1,Todos!$A$2:$A$69,'Resumo '!$E5)</f>
        <v>2</v>
      </c>
      <c r="H5" s="50">
        <f>COUNTIFS(Todos!$B$2:$B$69,'Resumo '!H$1,Todos!$A$2:$A$69,'Resumo '!$E5)</f>
        <v>2</v>
      </c>
      <c r="I5" s="51">
        <f>SUM(G5+H5)</f>
        <v>4</v>
      </c>
      <c r="K5" s="47">
        <v>45749</v>
      </c>
      <c r="L5" s="48" t="s">
        <v>531</v>
      </c>
      <c r="M5" s="49" t="s">
        <v>146</v>
      </c>
      <c r="N5" s="48" t="s">
        <v>532</v>
      </c>
      <c r="O5" s="50">
        <v>3</v>
      </c>
      <c r="P5" s="50">
        <v>1</v>
      </c>
      <c r="Q5" s="51">
        <v>4</v>
      </c>
      <c r="S5" s="40" t="str">
        <f>_xlfn.CONCAT(I5,"/",Q5)</f>
        <v>4/4</v>
      </c>
    </row>
    <row r="6" spans="2:19" s="40" customFormat="1" ht="21.75" customHeight="1" x14ac:dyDescent="0.4">
      <c r="B6" s="40">
        <v>2</v>
      </c>
      <c r="C6" s="47">
        <v>45749</v>
      </c>
      <c r="D6" s="48" t="s">
        <v>533</v>
      </c>
      <c r="E6" s="49" t="s">
        <v>210</v>
      </c>
      <c r="F6" s="48" t="s">
        <v>534</v>
      </c>
      <c r="G6" s="50">
        <f>COUNTIFS(Todos!$B$2:$B$69,'Resumo '!G$1,Todos!$A$2:$A$69,'Resumo '!$E6)</f>
        <v>0</v>
      </c>
      <c r="H6" s="50">
        <f>COUNTIFS(Todos!$B$2:$B$69,'Resumo '!H$1,Todos!$A$2:$A$69,'Resumo '!$E6)</f>
        <v>1</v>
      </c>
      <c r="I6" s="51">
        <f t="shared" ref="I6:I41" si="0">SUM(G6+H6)</f>
        <v>1</v>
      </c>
      <c r="K6" s="47">
        <v>45749</v>
      </c>
      <c r="L6" s="48" t="s">
        <v>533</v>
      </c>
      <c r="M6" s="49" t="s">
        <v>210</v>
      </c>
      <c r="N6" s="48" t="s">
        <v>534</v>
      </c>
      <c r="O6" s="50">
        <v>0</v>
      </c>
      <c r="P6" s="50">
        <v>2</v>
      </c>
      <c r="Q6" s="51">
        <v>2</v>
      </c>
      <c r="S6" s="40" t="str">
        <f t="shared" ref="S6:S43" si="1">_xlfn.CONCAT(I6,"/",Q6)</f>
        <v>1/2</v>
      </c>
    </row>
    <row r="7" spans="2:19" s="40" customFormat="1" ht="21.75" customHeight="1" x14ac:dyDescent="0.4">
      <c r="B7" s="40">
        <v>3</v>
      </c>
      <c r="C7" s="47">
        <v>45749</v>
      </c>
      <c r="D7" s="48" t="s">
        <v>535</v>
      </c>
      <c r="E7" s="49" t="s">
        <v>97</v>
      </c>
      <c r="F7" s="48" t="s">
        <v>536</v>
      </c>
      <c r="G7" s="50">
        <f>COUNTIFS(Todos!$B$2:$B$69,'Resumo '!G$1,Todos!$A$2:$A$69,'Resumo '!$E7)</f>
        <v>0</v>
      </c>
      <c r="H7" s="50">
        <f>COUNTIFS(Todos!$B$2:$B$69,'Resumo '!H$1,Todos!$A$2:$A$69,'Resumo '!$E7)</f>
        <v>2</v>
      </c>
      <c r="I7" s="51">
        <f t="shared" si="0"/>
        <v>2</v>
      </c>
      <c r="K7" s="47">
        <v>45749</v>
      </c>
      <c r="L7" s="48" t="s">
        <v>535</v>
      </c>
      <c r="M7" s="49" t="s">
        <v>97</v>
      </c>
      <c r="N7" s="48" t="s">
        <v>536</v>
      </c>
      <c r="O7" s="50">
        <v>0</v>
      </c>
      <c r="P7" s="50">
        <v>2</v>
      </c>
      <c r="Q7" s="51">
        <v>2</v>
      </c>
      <c r="S7" s="40" t="str">
        <f t="shared" si="1"/>
        <v>2/2</v>
      </c>
    </row>
    <row r="8" spans="2:19" s="40" customFormat="1" ht="21.75" customHeight="1" x14ac:dyDescent="0.4">
      <c r="B8" s="40">
        <v>4</v>
      </c>
      <c r="C8" s="47">
        <v>45749</v>
      </c>
      <c r="D8" s="48" t="s">
        <v>537</v>
      </c>
      <c r="E8" s="49" t="s">
        <v>132</v>
      </c>
      <c r="F8" s="48" t="s">
        <v>538</v>
      </c>
      <c r="G8" s="50">
        <f>COUNTIFS(Todos!$B$2:$B$69,'Resumo '!G$1,Todos!$A$2:$A$69,'Resumo '!$E8)</f>
        <v>0</v>
      </c>
      <c r="H8" s="50">
        <f>COUNTIFS(Todos!$B$2:$B$69,'Resumo '!H$1,Todos!$A$2:$A$69,'Resumo '!$E8)</f>
        <v>1</v>
      </c>
      <c r="I8" s="51">
        <f t="shared" si="0"/>
        <v>1</v>
      </c>
      <c r="K8" s="47">
        <v>45749</v>
      </c>
      <c r="L8" s="48" t="s">
        <v>537</v>
      </c>
      <c r="M8" s="49" t="s">
        <v>132</v>
      </c>
      <c r="N8" s="48" t="s">
        <v>538</v>
      </c>
      <c r="O8" s="50">
        <v>0</v>
      </c>
      <c r="P8" s="50">
        <v>2</v>
      </c>
      <c r="Q8" s="51">
        <v>2</v>
      </c>
      <c r="S8" s="40" t="str">
        <f t="shared" si="1"/>
        <v>1/2</v>
      </c>
    </row>
    <row r="9" spans="2:19" s="40" customFormat="1" ht="21.75" customHeight="1" x14ac:dyDescent="0.4">
      <c r="B9" s="40">
        <v>5</v>
      </c>
      <c r="C9" s="47">
        <v>45749</v>
      </c>
      <c r="D9" s="48" t="s">
        <v>539</v>
      </c>
      <c r="E9" s="49" t="s">
        <v>90</v>
      </c>
      <c r="F9" s="48" t="s">
        <v>540</v>
      </c>
      <c r="G9" s="50">
        <f>COUNTIFS(Todos!$B$2:$B$69,'Resumo '!G$1,Todos!$A$2:$A$69,'Resumo '!$E9)</f>
        <v>0</v>
      </c>
      <c r="H9" s="50">
        <f>COUNTIFS(Todos!$B$2:$B$69,'Resumo '!H$1,Todos!$A$2:$A$69,'Resumo '!$E9)</f>
        <v>2</v>
      </c>
      <c r="I9" s="51">
        <f t="shared" si="0"/>
        <v>2</v>
      </c>
      <c r="K9" s="47">
        <v>45749</v>
      </c>
      <c r="L9" s="48" t="s">
        <v>539</v>
      </c>
      <c r="M9" s="49" t="s">
        <v>90</v>
      </c>
      <c r="N9" s="48" t="s">
        <v>540</v>
      </c>
      <c r="O9" s="50">
        <v>0</v>
      </c>
      <c r="P9" s="50">
        <v>2</v>
      </c>
      <c r="Q9" s="51">
        <v>2</v>
      </c>
      <c r="S9" s="40" t="str">
        <f t="shared" si="1"/>
        <v>2/2</v>
      </c>
    </row>
    <row r="10" spans="2:19" s="40" customFormat="1" ht="21.75" customHeight="1" x14ac:dyDescent="0.4">
      <c r="B10" s="40">
        <v>6</v>
      </c>
      <c r="C10" s="47">
        <v>45749</v>
      </c>
      <c r="D10" s="48" t="s">
        <v>541</v>
      </c>
      <c r="E10" s="49" t="s">
        <v>203</v>
      </c>
      <c r="F10" s="48" t="s">
        <v>542</v>
      </c>
      <c r="G10" s="50">
        <f>COUNTIFS(Todos!$B$2:$B$69,'Resumo '!G$1,Todos!$A$2:$A$69,'Resumo '!$E10)</f>
        <v>2</v>
      </c>
      <c r="H10" s="50">
        <f>COUNTIFS(Todos!$B$2:$B$69,'Resumo '!H$1,Todos!$A$2:$A$69,'Resumo '!$E10)</f>
        <v>1</v>
      </c>
      <c r="I10" s="51">
        <f t="shared" si="0"/>
        <v>3</v>
      </c>
      <c r="K10" s="47">
        <v>45749</v>
      </c>
      <c r="L10" s="48" t="s">
        <v>541</v>
      </c>
      <c r="M10" s="49" t="s">
        <v>203</v>
      </c>
      <c r="N10" s="48" t="s">
        <v>542</v>
      </c>
      <c r="O10" s="50">
        <v>2</v>
      </c>
      <c r="P10" s="50">
        <v>2</v>
      </c>
      <c r="Q10" s="51">
        <v>4</v>
      </c>
      <c r="S10" s="40" t="str">
        <f t="shared" si="1"/>
        <v>3/4</v>
      </c>
    </row>
    <row r="11" spans="2:19" s="40" customFormat="1" ht="21.75" customHeight="1" x14ac:dyDescent="0.4">
      <c r="B11" s="40">
        <v>7</v>
      </c>
      <c r="C11" s="47">
        <v>45749</v>
      </c>
      <c r="D11" s="48" t="s">
        <v>543</v>
      </c>
      <c r="E11" s="49" t="s">
        <v>39</v>
      </c>
      <c r="F11" s="48" t="s">
        <v>544</v>
      </c>
      <c r="G11" s="50">
        <f>COUNTIFS(Todos!$B$2:$B$69,'Resumo '!G$1,Todos!$A$2:$A$69,'Resumo '!$E11)</f>
        <v>1</v>
      </c>
      <c r="H11" s="50">
        <f>COUNTIFS(Todos!$B$2:$B$69,'Resumo '!H$1,Todos!$A$2:$A$69,'Resumo '!$E11)</f>
        <v>1</v>
      </c>
      <c r="I11" s="51">
        <f t="shared" si="0"/>
        <v>2</v>
      </c>
      <c r="K11" s="47">
        <v>45749</v>
      </c>
      <c r="L11" s="48" t="s">
        <v>543</v>
      </c>
      <c r="M11" s="49" t="s">
        <v>39</v>
      </c>
      <c r="N11" s="48" t="s">
        <v>544</v>
      </c>
      <c r="O11" s="50">
        <v>1</v>
      </c>
      <c r="P11" s="50">
        <v>3</v>
      </c>
      <c r="Q11" s="51">
        <v>4</v>
      </c>
      <c r="S11" s="40" t="str">
        <f t="shared" si="1"/>
        <v>2/4</v>
      </c>
    </row>
    <row r="12" spans="2:19" s="40" customFormat="1" ht="21.75" customHeight="1" x14ac:dyDescent="0.4">
      <c r="B12" s="40">
        <v>8</v>
      </c>
      <c r="C12" s="47">
        <v>45749</v>
      </c>
      <c r="D12" s="48" t="s">
        <v>545</v>
      </c>
      <c r="E12" s="49" t="s">
        <v>163</v>
      </c>
      <c r="F12" s="48" t="s">
        <v>546</v>
      </c>
      <c r="G12" s="50">
        <f>COUNTIFS(Todos!$B$2:$B$69,'Resumo '!G$1,Todos!$A$2:$A$69,'Resumo '!$E12)</f>
        <v>0</v>
      </c>
      <c r="H12" s="50">
        <f>COUNTIFS(Todos!$B$2:$B$69,'Resumo '!H$1,Todos!$A$2:$A$69,'Resumo '!$E12)</f>
        <v>1</v>
      </c>
      <c r="I12" s="51">
        <f t="shared" si="0"/>
        <v>1</v>
      </c>
      <c r="K12" s="47">
        <v>45749</v>
      </c>
      <c r="L12" s="48" t="s">
        <v>545</v>
      </c>
      <c r="M12" s="49" t="s">
        <v>163</v>
      </c>
      <c r="N12" s="48" t="s">
        <v>546</v>
      </c>
      <c r="O12" s="50">
        <v>1</v>
      </c>
      <c r="P12" s="50">
        <v>1</v>
      </c>
      <c r="Q12" s="51">
        <v>2</v>
      </c>
      <c r="S12" s="40" t="str">
        <f t="shared" si="1"/>
        <v>1/2</v>
      </c>
    </row>
    <row r="13" spans="2:19" s="40" customFormat="1" ht="21.75" customHeight="1" x14ac:dyDescent="0.4">
      <c r="B13" s="40">
        <v>9</v>
      </c>
      <c r="C13" s="47">
        <v>45749</v>
      </c>
      <c r="D13" s="48" t="s">
        <v>547</v>
      </c>
      <c r="E13" s="49" t="s">
        <v>225</v>
      </c>
      <c r="F13" s="48" t="s">
        <v>548</v>
      </c>
      <c r="G13" s="50">
        <f>COUNTIFS(Todos!$B$2:$B$69,'Resumo '!G$1,Todos!$A$2:$A$69,'Resumo '!$E13)</f>
        <v>0</v>
      </c>
      <c r="H13" s="50">
        <f>COUNTIFS(Todos!$B$2:$B$69,'Resumo '!H$1,Todos!$A$2:$A$69,'Resumo '!$E13)</f>
        <v>1</v>
      </c>
      <c r="I13" s="51">
        <f t="shared" si="0"/>
        <v>1</v>
      </c>
      <c r="K13" s="47">
        <v>45749</v>
      </c>
      <c r="L13" s="48" t="s">
        <v>547</v>
      </c>
      <c r="M13" s="49" t="s">
        <v>225</v>
      </c>
      <c r="N13" s="48" t="s">
        <v>548</v>
      </c>
      <c r="O13" s="50">
        <v>0</v>
      </c>
      <c r="P13" s="50">
        <v>1</v>
      </c>
      <c r="Q13" s="51">
        <v>1</v>
      </c>
      <c r="S13" s="40" t="str">
        <f t="shared" si="1"/>
        <v>1/1</v>
      </c>
    </row>
    <row r="14" spans="2:19" s="40" customFormat="1" ht="21.75" customHeight="1" x14ac:dyDescent="0.4">
      <c r="B14" s="40">
        <v>10</v>
      </c>
      <c r="C14" s="47">
        <v>45749</v>
      </c>
      <c r="D14" s="48" t="s">
        <v>549</v>
      </c>
      <c r="E14" s="49" t="s">
        <v>178</v>
      </c>
      <c r="F14" s="48" t="s">
        <v>550</v>
      </c>
      <c r="G14" s="50">
        <f>COUNTIFS(Todos!$B$2:$B$69,'Resumo '!G$1,Todos!$A$2:$A$69,'Resumo '!$E14)</f>
        <v>0</v>
      </c>
      <c r="H14" s="50">
        <f>COUNTIFS(Todos!$B$2:$B$69,'Resumo '!H$1,Todos!$A$2:$A$69,'Resumo '!$E14)</f>
        <v>2</v>
      </c>
      <c r="I14" s="51">
        <f t="shared" si="0"/>
        <v>2</v>
      </c>
      <c r="K14" s="47">
        <v>45749</v>
      </c>
      <c r="L14" s="48" t="s">
        <v>549</v>
      </c>
      <c r="M14" s="49" t="s">
        <v>178</v>
      </c>
      <c r="N14" s="48" t="s">
        <v>550</v>
      </c>
      <c r="O14" s="50">
        <v>0</v>
      </c>
      <c r="P14" s="50">
        <v>3</v>
      </c>
      <c r="Q14" s="51">
        <v>3</v>
      </c>
      <c r="S14" s="40" t="str">
        <f t="shared" si="1"/>
        <v>2/3</v>
      </c>
    </row>
    <row r="15" spans="2:19" s="40" customFormat="1" ht="21.75" customHeight="1" x14ac:dyDescent="0.4">
      <c r="B15" s="40">
        <v>11</v>
      </c>
      <c r="C15" s="47">
        <v>45749</v>
      </c>
      <c r="D15" s="48" t="s">
        <v>551</v>
      </c>
      <c r="E15" s="49" t="s">
        <v>83</v>
      </c>
      <c r="F15" s="48" t="s">
        <v>552</v>
      </c>
      <c r="G15" s="50">
        <f>COUNTIFS(Todos!$B$2:$B$69,'Resumo '!G$1,Todos!$A$2:$A$69,'Resumo '!$E15)</f>
        <v>1</v>
      </c>
      <c r="H15" s="50">
        <f>COUNTIFS(Todos!$B$2:$B$69,'Resumo '!H$1,Todos!$A$2:$A$69,'Resumo '!$E15)</f>
        <v>2</v>
      </c>
      <c r="I15" s="51">
        <f t="shared" si="0"/>
        <v>3</v>
      </c>
      <c r="K15" s="47">
        <v>45749</v>
      </c>
      <c r="L15" s="48" t="s">
        <v>551</v>
      </c>
      <c r="M15" s="49" t="s">
        <v>83</v>
      </c>
      <c r="N15" s="48" t="s">
        <v>552</v>
      </c>
      <c r="O15" s="50">
        <v>2</v>
      </c>
      <c r="P15" s="50">
        <v>3</v>
      </c>
      <c r="Q15" s="51">
        <v>5</v>
      </c>
      <c r="S15" s="40" t="str">
        <f t="shared" si="1"/>
        <v>3/5</v>
      </c>
    </row>
    <row r="16" spans="2:19" s="40" customFormat="1" ht="21.75" customHeight="1" x14ac:dyDescent="0.4">
      <c r="B16" s="40">
        <v>12</v>
      </c>
      <c r="C16" s="47">
        <v>45749</v>
      </c>
      <c r="D16" s="48" t="s">
        <v>553</v>
      </c>
      <c r="E16" s="49" t="s">
        <v>170</v>
      </c>
      <c r="F16" s="48" t="s">
        <v>554</v>
      </c>
      <c r="G16" s="50">
        <f>COUNTIFS(Todos!$B$2:$B$69,'Resumo '!G$1,Todos!$A$2:$A$69,'Resumo '!$E16)</f>
        <v>1</v>
      </c>
      <c r="H16" s="50">
        <f>COUNTIFS(Todos!$B$2:$B$69,'Resumo '!H$1,Todos!$A$2:$A$69,'Resumo '!$E16)</f>
        <v>1</v>
      </c>
      <c r="I16" s="51">
        <f t="shared" si="0"/>
        <v>2</v>
      </c>
      <c r="K16" s="47">
        <v>45749</v>
      </c>
      <c r="L16" s="48" t="s">
        <v>553</v>
      </c>
      <c r="M16" s="49" t="s">
        <v>170</v>
      </c>
      <c r="N16" s="48" t="s">
        <v>554</v>
      </c>
      <c r="O16" s="50">
        <v>1</v>
      </c>
      <c r="P16" s="50">
        <v>1</v>
      </c>
      <c r="Q16" s="51">
        <v>2</v>
      </c>
      <c r="S16" s="40" t="str">
        <f t="shared" si="1"/>
        <v>2/2</v>
      </c>
    </row>
    <row r="17" spans="2:19" s="40" customFormat="1" ht="21.75" customHeight="1" x14ac:dyDescent="0.4">
      <c r="B17" s="40">
        <v>13</v>
      </c>
      <c r="C17" s="47">
        <v>45749</v>
      </c>
      <c r="D17" s="48" t="s">
        <v>555</v>
      </c>
      <c r="E17" s="49" t="s">
        <v>556</v>
      </c>
      <c r="F17" s="48" t="s">
        <v>557</v>
      </c>
      <c r="G17" s="50">
        <f>COUNTIFS(Todos!$B$2:$B$69,'Resumo '!G$1,Todos!$A$2:$A$69,'Resumo '!$E17)</f>
        <v>0</v>
      </c>
      <c r="H17" s="50">
        <f>COUNTIFS(Todos!$B$2:$B$69,'Resumo '!H$1,Todos!$A$2:$A$69,'Resumo '!$E17)</f>
        <v>0</v>
      </c>
      <c r="I17" s="51">
        <f t="shared" si="0"/>
        <v>0</v>
      </c>
      <c r="K17" s="47">
        <v>45749</v>
      </c>
      <c r="L17" s="48" t="s">
        <v>555</v>
      </c>
      <c r="M17" s="49" t="s">
        <v>556</v>
      </c>
      <c r="N17" s="48" t="s">
        <v>557</v>
      </c>
      <c r="O17" s="50">
        <v>0</v>
      </c>
      <c r="P17" s="50">
        <v>0</v>
      </c>
      <c r="Q17" s="51">
        <v>0</v>
      </c>
      <c r="S17" s="40" t="str">
        <f t="shared" si="1"/>
        <v>0/0</v>
      </c>
    </row>
    <row r="18" spans="2:19" s="40" customFormat="1" ht="21.75" customHeight="1" x14ac:dyDescent="0.4">
      <c r="B18" s="40">
        <v>14</v>
      </c>
      <c r="C18" s="47">
        <v>45749</v>
      </c>
      <c r="D18" s="48" t="s">
        <v>558</v>
      </c>
      <c r="E18" s="49" t="s">
        <v>155</v>
      </c>
      <c r="F18" s="48" t="s">
        <v>559</v>
      </c>
      <c r="G18" s="50">
        <f>COUNTIFS(Todos!$B$2:$B$69,'Resumo '!G$1,Todos!$A$2:$A$69,'Resumo '!$E18)</f>
        <v>1</v>
      </c>
      <c r="H18" s="50">
        <f>COUNTIFS(Todos!$B$2:$B$69,'Resumo '!H$1,Todos!$A$2:$A$69,'Resumo '!$E18)</f>
        <v>1</v>
      </c>
      <c r="I18" s="51">
        <f t="shared" si="0"/>
        <v>2</v>
      </c>
      <c r="K18" s="47">
        <v>45749</v>
      </c>
      <c r="L18" s="48" t="s">
        <v>558</v>
      </c>
      <c r="M18" s="49" t="s">
        <v>155</v>
      </c>
      <c r="N18" s="48" t="s">
        <v>559</v>
      </c>
      <c r="O18" s="50">
        <v>1</v>
      </c>
      <c r="P18" s="50">
        <v>1</v>
      </c>
      <c r="Q18" s="51">
        <v>2</v>
      </c>
      <c r="S18" s="40" t="str">
        <f t="shared" si="1"/>
        <v>2/2</v>
      </c>
    </row>
    <row r="19" spans="2:19" s="40" customFormat="1" ht="21.75" customHeight="1" x14ac:dyDescent="0.4">
      <c r="B19" s="40">
        <v>15</v>
      </c>
      <c r="C19" s="47">
        <v>45749</v>
      </c>
      <c r="D19" s="48" t="s">
        <v>560</v>
      </c>
      <c r="E19" s="49" t="s">
        <v>60</v>
      </c>
      <c r="F19" s="48" t="s">
        <v>561</v>
      </c>
      <c r="G19" s="50">
        <f>COUNTIFS(Todos!$B$2:$B$69,'Resumo '!G$1,Todos!$A$2:$A$69,'Resumo '!$E19)</f>
        <v>0</v>
      </c>
      <c r="H19" s="50">
        <f>COUNTIFS(Todos!$B$2:$B$69,'Resumo '!H$1,Todos!$A$2:$A$69,'Resumo '!$E19)</f>
        <v>1</v>
      </c>
      <c r="I19" s="51">
        <f t="shared" si="0"/>
        <v>1</v>
      </c>
      <c r="K19" s="47">
        <v>45749</v>
      </c>
      <c r="L19" s="48" t="s">
        <v>560</v>
      </c>
      <c r="M19" s="49" t="s">
        <v>60</v>
      </c>
      <c r="N19" s="48" t="s">
        <v>561</v>
      </c>
      <c r="O19" s="50">
        <v>0</v>
      </c>
      <c r="P19" s="50">
        <v>1</v>
      </c>
      <c r="Q19" s="51">
        <v>1</v>
      </c>
      <c r="S19" s="40" t="str">
        <f t="shared" si="1"/>
        <v>1/1</v>
      </c>
    </row>
    <row r="20" spans="2:19" s="40" customFormat="1" ht="21.75" customHeight="1" x14ac:dyDescent="0.4">
      <c r="B20" s="40">
        <v>16</v>
      </c>
      <c r="C20" s="47">
        <v>45749</v>
      </c>
      <c r="D20" s="48" t="s">
        <v>562</v>
      </c>
      <c r="E20" s="49" t="s">
        <v>105</v>
      </c>
      <c r="F20" s="48" t="s">
        <v>563</v>
      </c>
      <c r="G20" s="50">
        <f>COUNTIFS(Todos!$B$2:$B$69,'Resumo '!G$1,Todos!$A$2:$A$69,'Resumo '!$E20)</f>
        <v>1</v>
      </c>
      <c r="H20" s="50">
        <f>COUNTIFS(Todos!$B$2:$B$69,'Resumo '!H$1,Todos!$A$2:$A$69,'Resumo '!$E20)</f>
        <v>2</v>
      </c>
      <c r="I20" s="51">
        <f t="shared" si="0"/>
        <v>3</v>
      </c>
      <c r="K20" s="47">
        <v>45749</v>
      </c>
      <c r="L20" s="48" t="s">
        <v>562</v>
      </c>
      <c r="M20" s="49" t="s">
        <v>105</v>
      </c>
      <c r="N20" s="48" t="s">
        <v>563</v>
      </c>
      <c r="O20" s="50">
        <v>1</v>
      </c>
      <c r="P20" s="50">
        <v>2</v>
      </c>
      <c r="Q20" s="51">
        <v>3</v>
      </c>
      <c r="S20" s="40" t="str">
        <f t="shared" si="1"/>
        <v>3/3</v>
      </c>
    </row>
    <row r="21" spans="2:19" s="40" customFormat="1" ht="21.75" customHeight="1" x14ac:dyDescent="0.4">
      <c r="B21" s="40">
        <v>17</v>
      </c>
      <c r="C21" s="47">
        <v>45749</v>
      </c>
      <c r="D21" s="48" t="s">
        <v>564</v>
      </c>
      <c r="E21" s="49" t="s">
        <v>50</v>
      </c>
      <c r="F21" s="48" t="s">
        <v>565</v>
      </c>
      <c r="G21" s="50">
        <f>COUNTIFS(Todos!$B$2:$B$69,'Resumo '!G$1,Todos!$A$2:$A$69,'Resumo '!$E21)</f>
        <v>0</v>
      </c>
      <c r="H21" s="50">
        <f>COUNTIFS(Todos!$B$2:$B$69,'Resumo '!H$1,Todos!$A$2:$A$69,'Resumo '!$E21)</f>
        <v>2</v>
      </c>
      <c r="I21" s="51">
        <f t="shared" si="0"/>
        <v>2</v>
      </c>
      <c r="K21" s="47">
        <v>45749</v>
      </c>
      <c r="L21" s="48" t="s">
        <v>564</v>
      </c>
      <c r="M21" s="49" t="s">
        <v>50</v>
      </c>
      <c r="N21" s="48" t="s">
        <v>565</v>
      </c>
      <c r="O21" s="50">
        <v>0</v>
      </c>
      <c r="P21" s="50">
        <v>2</v>
      </c>
      <c r="Q21" s="51">
        <v>2</v>
      </c>
      <c r="S21" s="40" t="str">
        <f t="shared" si="1"/>
        <v>2/2</v>
      </c>
    </row>
    <row r="22" spans="2:19" s="40" customFormat="1" ht="21.75" customHeight="1" x14ac:dyDescent="0.4">
      <c r="B22" s="40">
        <v>18</v>
      </c>
      <c r="C22" s="47">
        <v>45749</v>
      </c>
      <c r="D22" s="48" t="s">
        <v>566</v>
      </c>
      <c r="E22" s="49" t="s">
        <v>75</v>
      </c>
      <c r="F22" s="48" t="s">
        <v>561</v>
      </c>
      <c r="G22" s="50">
        <f>COUNTIFS(Todos!$B$2:$B$69,'Resumo '!G$1,Todos!$A$2:$A$69,'Resumo '!$E22)</f>
        <v>0</v>
      </c>
      <c r="H22" s="50">
        <f>COUNTIFS(Todos!$B$2:$B$69,'Resumo '!H$1,Todos!$A$2:$A$69,'Resumo '!$E22)</f>
        <v>2</v>
      </c>
      <c r="I22" s="51">
        <f t="shared" si="0"/>
        <v>2</v>
      </c>
      <c r="K22" s="47">
        <v>45749</v>
      </c>
      <c r="L22" s="48" t="s">
        <v>566</v>
      </c>
      <c r="M22" s="49" t="s">
        <v>75</v>
      </c>
      <c r="N22" s="48" t="s">
        <v>561</v>
      </c>
      <c r="O22" s="50">
        <v>0</v>
      </c>
      <c r="P22" s="50">
        <v>2</v>
      </c>
      <c r="Q22" s="51">
        <v>2</v>
      </c>
      <c r="S22" s="40" t="str">
        <f t="shared" si="1"/>
        <v>2/2</v>
      </c>
    </row>
    <row r="23" spans="2:19" s="40" customFormat="1" ht="21.75" customHeight="1" x14ac:dyDescent="0.4">
      <c r="B23" s="40">
        <v>19</v>
      </c>
      <c r="C23" s="47">
        <v>45750</v>
      </c>
      <c r="D23" s="48" t="s">
        <v>567</v>
      </c>
      <c r="E23" s="49" t="s">
        <v>299</v>
      </c>
      <c r="F23" s="48" t="s">
        <v>568</v>
      </c>
      <c r="G23" s="50">
        <f>COUNTIFS(Todos!$B$2:$B$69,'Resumo '!G$1,Todos!$A$2:$A$69,'Resumo '!$E23)</f>
        <v>1</v>
      </c>
      <c r="H23" s="50">
        <f>COUNTIFS(Todos!$B$2:$B$69,'Resumo '!H$1,Todos!$A$2:$A$69,'Resumo '!$E23)</f>
        <v>1</v>
      </c>
      <c r="I23" s="51">
        <f t="shared" si="0"/>
        <v>2</v>
      </c>
      <c r="K23" s="47">
        <v>45750</v>
      </c>
      <c r="L23" s="48" t="s">
        <v>567</v>
      </c>
      <c r="M23" s="49" t="s">
        <v>299</v>
      </c>
      <c r="N23" s="48" t="s">
        <v>568</v>
      </c>
      <c r="O23" s="50">
        <v>1</v>
      </c>
      <c r="P23" s="50">
        <v>1</v>
      </c>
      <c r="Q23" s="51">
        <v>2</v>
      </c>
      <c r="S23" s="40" t="str">
        <f t="shared" si="1"/>
        <v>2/2</v>
      </c>
    </row>
    <row r="24" spans="2:19" s="40" customFormat="1" ht="21.75" customHeight="1" x14ac:dyDescent="0.4">
      <c r="B24" s="40">
        <v>20</v>
      </c>
      <c r="C24" s="47">
        <v>45750</v>
      </c>
      <c r="D24" s="48" t="s">
        <v>569</v>
      </c>
      <c r="E24" s="49" t="s">
        <v>428</v>
      </c>
      <c r="F24" s="48" t="s">
        <v>570</v>
      </c>
      <c r="G24" s="50">
        <f>COUNTIFS(Todos!$B$2:$B$69,'Resumo '!G$1,Todos!$A$2:$A$69,'Resumo '!$E24)</f>
        <v>1</v>
      </c>
      <c r="H24" s="50">
        <f>COUNTIFS(Todos!$B$2:$B$69,'Resumo '!H$1,Todos!$A$2:$A$69,'Resumo '!$E24)</f>
        <v>1</v>
      </c>
      <c r="I24" s="51">
        <f t="shared" si="0"/>
        <v>2</v>
      </c>
      <c r="K24" s="47">
        <v>45750</v>
      </c>
      <c r="L24" s="48" t="s">
        <v>569</v>
      </c>
      <c r="M24" s="49" t="s">
        <v>428</v>
      </c>
      <c r="N24" s="48" t="s">
        <v>570</v>
      </c>
      <c r="O24" s="50">
        <v>1</v>
      </c>
      <c r="P24" s="50">
        <v>1</v>
      </c>
      <c r="Q24" s="51">
        <v>2</v>
      </c>
      <c r="S24" s="40" t="str">
        <f t="shared" si="1"/>
        <v>2/2</v>
      </c>
    </row>
    <row r="25" spans="2:19" s="40" customFormat="1" ht="21.75" customHeight="1" x14ac:dyDescent="0.4">
      <c r="B25" s="40">
        <v>21</v>
      </c>
      <c r="C25" s="47">
        <v>45750</v>
      </c>
      <c r="D25" s="48" t="s">
        <v>571</v>
      </c>
      <c r="E25" s="49" t="s">
        <v>344</v>
      </c>
      <c r="F25" s="48" t="s">
        <v>572</v>
      </c>
      <c r="G25" s="50">
        <f>COUNTIFS(Todos!$B$2:$B$69,'Resumo '!G$1,Todos!$A$2:$A$69,'Resumo '!$E25)</f>
        <v>0</v>
      </c>
      <c r="H25" s="50">
        <f>COUNTIFS(Todos!$B$2:$B$69,'Resumo '!H$1,Todos!$A$2:$A$69,'Resumo '!$E25)</f>
        <v>2</v>
      </c>
      <c r="I25" s="51">
        <f t="shared" si="0"/>
        <v>2</v>
      </c>
      <c r="K25" s="47">
        <v>45750</v>
      </c>
      <c r="L25" s="48" t="s">
        <v>571</v>
      </c>
      <c r="M25" s="49" t="s">
        <v>344</v>
      </c>
      <c r="N25" s="48" t="s">
        <v>572</v>
      </c>
      <c r="O25" s="50">
        <v>0</v>
      </c>
      <c r="P25" s="50">
        <v>2</v>
      </c>
      <c r="Q25" s="51">
        <v>2</v>
      </c>
      <c r="S25" s="40" t="str">
        <f t="shared" si="1"/>
        <v>2/2</v>
      </c>
    </row>
    <row r="26" spans="2:19" s="40" customFormat="1" ht="21.75" customHeight="1" x14ac:dyDescent="0.4">
      <c r="B26" s="40">
        <v>22</v>
      </c>
      <c r="C26" s="47">
        <v>45750</v>
      </c>
      <c r="D26" s="48" t="s">
        <v>573</v>
      </c>
      <c r="E26" s="49" t="s">
        <v>394</v>
      </c>
      <c r="F26" s="48" t="s">
        <v>574</v>
      </c>
      <c r="G26" s="50">
        <f>COUNTIFS(Todos!$B$2:$B$69,'Resumo '!G$1,Todos!$A$2:$A$69,'Resumo '!$E26)</f>
        <v>1</v>
      </c>
      <c r="H26" s="50">
        <f>COUNTIFS(Todos!$B$2:$B$69,'Resumo '!H$1,Todos!$A$2:$A$69,'Resumo '!$E26)</f>
        <v>2</v>
      </c>
      <c r="I26" s="51">
        <f t="shared" si="0"/>
        <v>3</v>
      </c>
      <c r="K26" s="47">
        <v>45750</v>
      </c>
      <c r="L26" s="48" t="s">
        <v>573</v>
      </c>
      <c r="M26" s="49" t="s">
        <v>394</v>
      </c>
      <c r="N26" s="48" t="s">
        <v>574</v>
      </c>
      <c r="O26" s="50">
        <v>3</v>
      </c>
      <c r="P26" s="50">
        <v>1</v>
      </c>
      <c r="Q26" s="51">
        <v>4</v>
      </c>
      <c r="S26" s="40" t="str">
        <f t="shared" si="1"/>
        <v>3/4</v>
      </c>
    </row>
    <row r="27" spans="2:19" s="40" customFormat="1" ht="21.75" customHeight="1" x14ac:dyDescent="0.4">
      <c r="B27" s="40">
        <v>23</v>
      </c>
      <c r="C27" s="47">
        <v>45750</v>
      </c>
      <c r="D27" s="48" t="s">
        <v>575</v>
      </c>
      <c r="E27" s="49" t="s">
        <v>365</v>
      </c>
      <c r="F27" s="48" t="s">
        <v>576</v>
      </c>
      <c r="G27" s="50">
        <f>COUNTIFS(Todos!$B$2:$B$69,'Resumo '!G$1,Todos!$A$2:$A$69,'Resumo '!$E27)</f>
        <v>1</v>
      </c>
      <c r="H27" s="50">
        <f>COUNTIFS(Todos!$B$2:$B$69,'Resumo '!H$1,Todos!$A$2:$A$69,'Resumo '!$E27)</f>
        <v>2</v>
      </c>
      <c r="I27" s="51">
        <f t="shared" si="0"/>
        <v>3</v>
      </c>
      <c r="K27" s="47">
        <v>45750</v>
      </c>
      <c r="L27" s="48" t="s">
        <v>575</v>
      </c>
      <c r="M27" s="49" t="s">
        <v>365</v>
      </c>
      <c r="N27" s="48" t="s">
        <v>576</v>
      </c>
      <c r="O27" s="50">
        <v>1</v>
      </c>
      <c r="P27" s="50">
        <v>3</v>
      </c>
      <c r="Q27" s="51">
        <v>4</v>
      </c>
      <c r="S27" s="40" t="str">
        <f t="shared" si="1"/>
        <v>3/4</v>
      </c>
    </row>
    <row r="28" spans="2:19" s="40" customFormat="1" ht="21.75" customHeight="1" x14ac:dyDescent="0.4">
      <c r="B28" s="40">
        <v>24</v>
      </c>
      <c r="C28" s="47">
        <v>45750</v>
      </c>
      <c r="D28" s="48" t="s">
        <v>577</v>
      </c>
      <c r="E28" s="49" t="s">
        <v>511</v>
      </c>
      <c r="F28" s="48" t="s">
        <v>542</v>
      </c>
      <c r="G28" s="50">
        <f>COUNTIFS(Todos!$B$2:$B$69,'Resumo '!G$1,Todos!$A$2:$A$69,'Resumo '!$E28)</f>
        <v>0</v>
      </c>
      <c r="H28" s="50">
        <f>COUNTIFS(Todos!$B$2:$B$69,'Resumo '!H$1,Todos!$A$2:$A$69,'Resumo '!$E28)</f>
        <v>1</v>
      </c>
      <c r="I28" s="51">
        <f t="shared" si="0"/>
        <v>1</v>
      </c>
      <c r="K28" s="47">
        <v>45750</v>
      </c>
      <c r="L28" s="48" t="s">
        <v>577</v>
      </c>
      <c r="M28" s="49" t="s">
        <v>511</v>
      </c>
      <c r="N28" s="48" t="s">
        <v>542</v>
      </c>
      <c r="O28" s="50">
        <v>0</v>
      </c>
      <c r="P28" s="50">
        <v>1</v>
      </c>
      <c r="Q28" s="51">
        <v>1</v>
      </c>
      <c r="S28" s="40" t="str">
        <f t="shared" si="1"/>
        <v>1/1</v>
      </c>
    </row>
    <row r="29" spans="2:19" s="40" customFormat="1" ht="21.75" customHeight="1" x14ac:dyDescent="0.4">
      <c r="B29" s="40">
        <v>25</v>
      </c>
      <c r="C29" s="47">
        <v>45750</v>
      </c>
      <c r="D29" s="48" t="s">
        <v>578</v>
      </c>
      <c r="E29" s="49" t="s">
        <v>358</v>
      </c>
      <c r="F29" s="48" t="s">
        <v>579</v>
      </c>
      <c r="G29" s="50">
        <f>COUNTIFS(Todos!$B$2:$B$69,'Resumo '!G$1,Todos!$A$2:$A$69,'Resumo '!$E29)</f>
        <v>1</v>
      </c>
      <c r="H29" s="50">
        <f>COUNTIFS(Todos!$B$2:$B$69,'Resumo '!H$1,Todos!$A$2:$A$69,'Resumo '!$E29)</f>
        <v>0</v>
      </c>
      <c r="I29" s="51">
        <f t="shared" si="0"/>
        <v>1</v>
      </c>
      <c r="K29" s="47">
        <v>45750</v>
      </c>
      <c r="L29" s="48" t="s">
        <v>578</v>
      </c>
      <c r="M29" s="49" t="s">
        <v>358</v>
      </c>
      <c r="N29" s="48" t="s">
        <v>579</v>
      </c>
      <c r="O29" s="50">
        <v>2</v>
      </c>
      <c r="P29" s="50">
        <v>1</v>
      </c>
      <c r="Q29" s="51">
        <v>3</v>
      </c>
      <c r="S29" s="40" t="str">
        <f t="shared" si="1"/>
        <v>1/3</v>
      </c>
    </row>
    <row r="30" spans="2:19" s="40" customFormat="1" ht="21.75" customHeight="1" x14ac:dyDescent="0.4">
      <c r="B30" s="40">
        <v>26</v>
      </c>
      <c r="C30" s="47">
        <v>45750</v>
      </c>
      <c r="D30" s="48" t="s">
        <v>580</v>
      </c>
      <c r="E30" s="49" t="s">
        <v>388</v>
      </c>
      <c r="F30" s="48" t="s">
        <v>570</v>
      </c>
      <c r="G30" s="50">
        <f>COUNTIFS(Todos!$B$2:$B$69,'Resumo '!G$1,Todos!$A$2:$A$69,'Resumo '!$E30)</f>
        <v>1</v>
      </c>
      <c r="H30" s="50">
        <f>COUNTIFS(Todos!$B$2:$B$69,'Resumo '!H$1,Todos!$A$2:$A$69,'Resumo '!$E30)</f>
        <v>0</v>
      </c>
      <c r="I30" s="51">
        <f t="shared" si="0"/>
        <v>1</v>
      </c>
      <c r="K30" s="47">
        <v>45750</v>
      </c>
      <c r="L30" s="48" t="s">
        <v>580</v>
      </c>
      <c r="M30" s="49" t="s">
        <v>388</v>
      </c>
      <c r="N30" s="48" t="s">
        <v>570</v>
      </c>
      <c r="O30" s="50">
        <v>1</v>
      </c>
      <c r="P30" s="50">
        <v>1</v>
      </c>
      <c r="Q30" s="51">
        <v>2</v>
      </c>
      <c r="S30" s="40" t="str">
        <f t="shared" si="1"/>
        <v>1/2</v>
      </c>
    </row>
    <row r="31" spans="2:19" s="40" customFormat="1" ht="21.75" customHeight="1" x14ac:dyDescent="0.4">
      <c r="B31" s="40">
        <v>27</v>
      </c>
      <c r="C31" s="47">
        <v>45750</v>
      </c>
      <c r="D31" s="48" t="s">
        <v>581</v>
      </c>
      <c r="E31" s="49" t="s">
        <v>582</v>
      </c>
      <c r="F31" s="48" t="s">
        <v>542</v>
      </c>
      <c r="G31" s="50">
        <f>COUNTIFS(Todos!$B$2:$B$69,'Resumo '!G$1,Todos!$A$2:$A$69,'Resumo '!$E31)</f>
        <v>0</v>
      </c>
      <c r="H31" s="50">
        <f>COUNTIFS(Todos!$B$2:$B$69,'Resumo '!H$1,Todos!$A$2:$A$69,'Resumo '!$E31)</f>
        <v>0</v>
      </c>
      <c r="I31" s="51">
        <f t="shared" si="0"/>
        <v>0</v>
      </c>
      <c r="K31" s="47">
        <v>45750</v>
      </c>
      <c r="L31" s="48" t="s">
        <v>581</v>
      </c>
      <c r="M31" s="49" t="s">
        <v>582</v>
      </c>
      <c r="N31" s="48" t="s">
        <v>542</v>
      </c>
      <c r="O31" s="50">
        <v>2</v>
      </c>
      <c r="P31" s="50">
        <v>1</v>
      </c>
      <c r="Q31" s="51">
        <v>3</v>
      </c>
      <c r="S31" s="40" t="str">
        <f t="shared" si="1"/>
        <v>0/3</v>
      </c>
    </row>
    <row r="32" spans="2:19" s="40" customFormat="1" ht="21.75" customHeight="1" x14ac:dyDescent="0.4">
      <c r="B32" s="40">
        <v>28</v>
      </c>
      <c r="C32" s="47">
        <v>45750</v>
      </c>
      <c r="D32" s="48" t="s">
        <v>583</v>
      </c>
      <c r="E32" s="49" t="s">
        <v>317</v>
      </c>
      <c r="F32" s="48" t="s">
        <v>584</v>
      </c>
      <c r="G32" s="50">
        <f>COUNTIFS(Todos!$B$2:$B$69,'Resumo '!G$1,Todos!$A$2:$A$69,'Resumo '!$E32)</f>
        <v>1</v>
      </c>
      <c r="H32" s="50">
        <f>COUNTIFS(Todos!$B$2:$B$69,'Resumo '!H$1,Todos!$A$2:$A$69,'Resumo '!$E32)</f>
        <v>0</v>
      </c>
      <c r="I32" s="51">
        <f t="shared" si="0"/>
        <v>1</v>
      </c>
      <c r="K32" s="47">
        <v>45750</v>
      </c>
      <c r="L32" s="48" t="s">
        <v>583</v>
      </c>
      <c r="M32" s="49" t="s">
        <v>317</v>
      </c>
      <c r="N32" s="48" t="s">
        <v>584</v>
      </c>
      <c r="O32" s="50">
        <v>2</v>
      </c>
      <c r="P32" s="50">
        <v>2</v>
      </c>
      <c r="Q32" s="51">
        <v>4</v>
      </c>
      <c r="S32" s="40" t="str">
        <f t="shared" si="1"/>
        <v>1/4</v>
      </c>
    </row>
    <row r="33" spans="2:19" s="40" customFormat="1" ht="21.75" customHeight="1" x14ac:dyDescent="0.4">
      <c r="B33" s="40">
        <v>29</v>
      </c>
      <c r="C33" s="47">
        <v>45750</v>
      </c>
      <c r="D33" s="48" t="s">
        <v>585</v>
      </c>
      <c r="E33" s="49" t="s">
        <v>454</v>
      </c>
      <c r="F33" s="48" t="s">
        <v>568</v>
      </c>
      <c r="G33" s="50">
        <f>COUNTIFS(Todos!$B$2:$B$69,'Resumo '!G$1,Todos!$A$2:$A$69,'Resumo '!$E33)</f>
        <v>0</v>
      </c>
      <c r="H33" s="50">
        <f>COUNTIFS(Todos!$B$2:$B$69,'Resumo '!H$1,Todos!$A$2:$A$69,'Resumo '!$E33)</f>
        <v>2</v>
      </c>
      <c r="I33" s="51">
        <f t="shared" si="0"/>
        <v>2</v>
      </c>
      <c r="K33" s="47">
        <v>45750</v>
      </c>
      <c r="L33" s="48" t="s">
        <v>585</v>
      </c>
      <c r="M33" s="49" t="s">
        <v>454</v>
      </c>
      <c r="N33" s="48" t="s">
        <v>568</v>
      </c>
      <c r="O33" s="50">
        <v>0</v>
      </c>
      <c r="P33" s="50">
        <v>2</v>
      </c>
      <c r="Q33" s="51">
        <v>2</v>
      </c>
      <c r="S33" s="40" t="str">
        <f t="shared" si="1"/>
        <v>2/2</v>
      </c>
    </row>
    <row r="34" spans="2:19" s="40" customFormat="1" ht="21.75" customHeight="1" x14ac:dyDescent="0.4">
      <c r="B34" s="40">
        <v>30</v>
      </c>
      <c r="C34" s="47">
        <v>45750</v>
      </c>
      <c r="D34" s="48" t="s">
        <v>586</v>
      </c>
      <c r="E34" s="49" t="s">
        <v>324</v>
      </c>
      <c r="F34" s="48" t="s">
        <v>579</v>
      </c>
      <c r="G34" s="50">
        <f>COUNTIFS(Todos!$B$2:$B$69,'Resumo '!G$1,Todos!$A$2:$A$69,'Resumo '!$E34)</f>
        <v>2</v>
      </c>
      <c r="H34" s="50">
        <f>COUNTIFS(Todos!$B$2:$B$69,'Resumo '!H$1,Todos!$A$2:$A$69,'Resumo '!$E34)</f>
        <v>2</v>
      </c>
      <c r="I34" s="51">
        <f t="shared" si="0"/>
        <v>4</v>
      </c>
      <c r="K34" s="47">
        <v>45750</v>
      </c>
      <c r="L34" s="48" t="s">
        <v>586</v>
      </c>
      <c r="M34" s="49" t="s">
        <v>324</v>
      </c>
      <c r="N34" s="48" t="s">
        <v>579</v>
      </c>
      <c r="O34" s="50">
        <v>2</v>
      </c>
      <c r="P34" s="50">
        <v>1</v>
      </c>
      <c r="Q34" s="51">
        <v>3</v>
      </c>
      <c r="S34" s="40" t="str">
        <f t="shared" si="1"/>
        <v>4/3</v>
      </c>
    </row>
    <row r="35" spans="2:19" s="40" customFormat="1" ht="21.75" customHeight="1" x14ac:dyDescent="0.4">
      <c r="B35" s="40">
        <v>31</v>
      </c>
      <c r="C35" s="47">
        <v>45750</v>
      </c>
      <c r="D35" s="48" t="s">
        <v>587</v>
      </c>
      <c r="E35" s="49" t="s">
        <v>312</v>
      </c>
      <c r="F35" s="48" t="s">
        <v>572</v>
      </c>
      <c r="G35" s="50">
        <f>COUNTIFS(Todos!$B$2:$B$69,'Resumo '!G$1,Todos!$A$2:$A$69,'Resumo '!$E35)</f>
        <v>1</v>
      </c>
      <c r="H35" s="50">
        <f>COUNTIFS(Todos!$B$2:$B$69,'Resumo '!H$1,Todos!$A$2:$A$69,'Resumo '!$E35)</f>
        <v>1</v>
      </c>
      <c r="I35" s="51">
        <f t="shared" si="0"/>
        <v>2</v>
      </c>
      <c r="K35" s="47">
        <v>45750</v>
      </c>
      <c r="L35" s="48" t="s">
        <v>587</v>
      </c>
      <c r="M35" s="49" t="s">
        <v>312</v>
      </c>
      <c r="N35" s="48" t="s">
        <v>572</v>
      </c>
      <c r="O35" s="50">
        <v>2</v>
      </c>
      <c r="P35" s="50">
        <v>2</v>
      </c>
      <c r="Q35" s="51">
        <v>4</v>
      </c>
      <c r="S35" s="40" t="str">
        <f t="shared" si="1"/>
        <v>2/4</v>
      </c>
    </row>
    <row r="36" spans="2:19" s="40" customFormat="1" ht="21.75" customHeight="1" x14ac:dyDescent="0.4">
      <c r="B36" s="40">
        <v>32</v>
      </c>
      <c r="C36" s="47">
        <v>45750</v>
      </c>
      <c r="D36" s="48" t="s">
        <v>588</v>
      </c>
      <c r="E36" s="49" t="s">
        <v>351</v>
      </c>
      <c r="F36" s="48" t="s">
        <v>542</v>
      </c>
      <c r="G36" s="50">
        <f>COUNTIFS(Todos!$B$2:$B$69,'Resumo '!G$1,Todos!$A$2:$A$69,'Resumo '!$E36)</f>
        <v>1</v>
      </c>
      <c r="H36" s="50">
        <f>COUNTIFS(Todos!$B$2:$B$69,'Resumo '!H$1,Todos!$A$2:$A$69,'Resumo '!$E36)</f>
        <v>2</v>
      </c>
      <c r="I36" s="51">
        <f t="shared" si="0"/>
        <v>3</v>
      </c>
      <c r="K36" s="47">
        <v>45750</v>
      </c>
      <c r="L36" s="48" t="s">
        <v>588</v>
      </c>
      <c r="M36" s="49" t="s">
        <v>351</v>
      </c>
      <c r="N36" s="48" t="s">
        <v>542</v>
      </c>
      <c r="O36" s="50">
        <v>2</v>
      </c>
      <c r="P36" s="50">
        <v>2</v>
      </c>
      <c r="Q36" s="51">
        <v>4</v>
      </c>
      <c r="S36" s="40" t="str">
        <f t="shared" si="1"/>
        <v>3/4</v>
      </c>
    </row>
    <row r="37" spans="2:19" s="40" customFormat="1" ht="21.75" customHeight="1" x14ac:dyDescent="0.4">
      <c r="B37" s="40">
        <v>33</v>
      </c>
      <c r="C37" s="47">
        <v>45750</v>
      </c>
      <c r="D37" s="48" t="s">
        <v>589</v>
      </c>
      <c r="E37" s="49" t="s">
        <v>590</v>
      </c>
      <c r="F37" s="48" t="s">
        <v>565</v>
      </c>
      <c r="G37" s="50">
        <f>COUNTIFS(Todos!$B$2:$B$69,'Resumo '!G$1,Todos!$A$2:$A$69,'Resumo '!$E37)</f>
        <v>0</v>
      </c>
      <c r="H37" s="50">
        <f>COUNTIFS(Todos!$B$2:$B$69,'Resumo '!H$1,Todos!$A$2:$A$69,'Resumo '!$E37)</f>
        <v>0</v>
      </c>
      <c r="I37" s="51">
        <f t="shared" si="0"/>
        <v>0</v>
      </c>
      <c r="K37" s="47">
        <v>45750</v>
      </c>
      <c r="L37" s="48" t="s">
        <v>589</v>
      </c>
      <c r="M37" s="49" t="s">
        <v>590</v>
      </c>
      <c r="N37" s="48" t="s">
        <v>565</v>
      </c>
      <c r="O37" s="50">
        <v>0</v>
      </c>
      <c r="P37" s="50">
        <v>0</v>
      </c>
      <c r="Q37" s="51">
        <v>0</v>
      </c>
      <c r="S37" s="40" t="str">
        <f t="shared" si="1"/>
        <v>0/0</v>
      </c>
    </row>
    <row r="38" spans="2:19" s="40" customFormat="1" ht="21.75" customHeight="1" x14ac:dyDescent="0.4">
      <c r="B38" s="40">
        <v>34</v>
      </c>
      <c r="C38" s="47">
        <v>45750</v>
      </c>
      <c r="D38" s="48" t="s">
        <v>591</v>
      </c>
      <c r="E38" s="49" t="s">
        <v>338</v>
      </c>
      <c r="F38" s="48" t="s">
        <v>568</v>
      </c>
      <c r="G38" s="50">
        <f>COUNTIFS(Todos!$B$2:$B$69,'Resumo '!G$1,Todos!$A$2:$A$69,'Resumo '!$E38)</f>
        <v>0</v>
      </c>
      <c r="H38" s="50">
        <f>COUNTIFS(Todos!$B$2:$B$69,'Resumo '!H$1,Todos!$A$2:$A$69,'Resumo '!$E38)</f>
        <v>1</v>
      </c>
      <c r="I38" s="51">
        <f t="shared" si="0"/>
        <v>1</v>
      </c>
      <c r="K38" s="47">
        <v>45750</v>
      </c>
      <c r="L38" s="48" t="s">
        <v>591</v>
      </c>
      <c r="M38" s="49" t="s">
        <v>338</v>
      </c>
      <c r="N38" s="48" t="s">
        <v>568</v>
      </c>
      <c r="O38" s="50">
        <v>0</v>
      </c>
      <c r="P38" s="50">
        <v>3</v>
      </c>
      <c r="Q38" s="51">
        <v>3</v>
      </c>
      <c r="S38" s="40" t="str">
        <f t="shared" si="1"/>
        <v>1/3</v>
      </c>
    </row>
    <row r="39" spans="2:19" s="40" customFormat="1" ht="21.75" customHeight="1" x14ac:dyDescent="0.4">
      <c r="B39" s="40">
        <v>35</v>
      </c>
      <c r="C39" s="47">
        <v>45750</v>
      </c>
      <c r="D39" s="48" t="s">
        <v>592</v>
      </c>
      <c r="E39" s="49" t="s">
        <v>374</v>
      </c>
      <c r="F39" s="48" t="s">
        <v>593</v>
      </c>
      <c r="G39" s="50">
        <f>COUNTIFS(Todos!$B$2:$B$69,'Resumo '!G$1,Todos!$A$2:$A$69,'Resumo '!$E39)</f>
        <v>2</v>
      </c>
      <c r="H39" s="50">
        <f>COUNTIFS(Todos!$B$2:$B$69,'Resumo '!H$1,Todos!$A$2:$A$69,'Resumo '!$E39)</f>
        <v>0</v>
      </c>
      <c r="I39" s="51">
        <f t="shared" si="0"/>
        <v>2</v>
      </c>
      <c r="K39" s="47">
        <v>45750</v>
      </c>
      <c r="L39" s="48" t="s">
        <v>592</v>
      </c>
      <c r="M39" s="49" t="s">
        <v>374</v>
      </c>
      <c r="N39" s="48" t="s">
        <v>593</v>
      </c>
      <c r="O39" s="50">
        <v>1</v>
      </c>
      <c r="P39" s="50">
        <v>0</v>
      </c>
      <c r="Q39" s="51">
        <v>1</v>
      </c>
      <c r="S39" s="40" t="str">
        <f t="shared" si="1"/>
        <v>2/1</v>
      </c>
    </row>
    <row r="40" spans="2:19" s="40" customFormat="1" ht="21.75" customHeight="1" x14ac:dyDescent="0.4">
      <c r="B40" s="40">
        <v>36</v>
      </c>
      <c r="C40" s="47">
        <v>45749</v>
      </c>
      <c r="D40" s="48"/>
      <c r="E40" s="49" t="s">
        <v>187</v>
      </c>
      <c r="F40" s="48"/>
      <c r="G40" s="50">
        <f>COUNTIFS(Todos!$B$2:$B$69,'Resumo '!G$1,Todos!$A$2:$A$69,'Resumo '!$E40)</f>
        <v>0</v>
      </c>
      <c r="H40" s="50">
        <f>COUNTIFS(Todos!$B$2:$B$69,'Resumo '!H$1,Todos!$A$2:$A$69,'Resumo '!$E40)</f>
        <v>2</v>
      </c>
      <c r="I40" s="51">
        <f t="shared" si="0"/>
        <v>2</v>
      </c>
      <c r="K40" s="47">
        <v>45749</v>
      </c>
      <c r="L40" s="48"/>
      <c r="M40" s="49" t="s">
        <v>187</v>
      </c>
      <c r="N40" s="48"/>
      <c r="O40" s="50">
        <v>0</v>
      </c>
      <c r="P40" s="50">
        <v>3</v>
      </c>
      <c r="Q40" s="51">
        <v>3</v>
      </c>
      <c r="S40" s="40" t="str">
        <f t="shared" si="1"/>
        <v>2/3</v>
      </c>
    </row>
    <row r="41" spans="2:19" s="40" customFormat="1" ht="21.75" customHeight="1" thickBot="1" x14ac:dyDescent="0.45">
      <c r="B41" s="40">
        <v>37</v>
      </c>
      <c r="C41" s="47">
        <v>45750</v>
      </c>
      <c r="D41" s="48"/>
      <c r="E41" s="49" t="s">
        <v>477</v>
      </c>
      <c r="F41" s="48"/>
      <c r="G41" s="50">
        <f>COUNTIFS(Todos!$B$2:$B$69,'Resumo '!G$1,Todos!$A$2:$A$69,'Resumo '!$E41)</f>
        <v>0</v>
      </c>
      <c r="H41" s="50">
        <f>COUNTIFS(Todos!$B$2:$B$69,'Resumo '!H$1,Todos!$A$2:$A$69,'Resumo '!$E41)</f>
        <v>2</v>
      </c>
      <c r="I41" s="51">
        <f t="shared" si="0"/>
        <v>2</v>
      </c>
      <c r="K41" s="47">
        <v>45750</v>
      </c>
      <c r="L41" s="48"/>
      <c r="M41" s="49" t="s">
        <v>477</v>
      </c>
      <c r="N41" s="48"/>
      <c r="O41" s="50">
        <v>0</v>
      </c>
      <c r="P41" s="50">
        <v>2</v>
      </c>
      <c r="Q41" s="51">
        <v>2</v>
      </c>
      <c r="S41" s="40" t="str">
        <f t="shared" si="1"/>
        <v>2/2</v>
      </c>
    </row>
    <row r="42" spans="2:19" s="40" customFormat="1" ht="21.75" customHeight="1" x14ac:dyDescent="0.4">
      <c r="C42" s="52" t="s">
        <v>594</v>
      </c>
      <c r="D42" s="52"/>
      <c r="E42" s="52"/>
      <c r="F42" s="52"/>
      <c r="G42" s="53">
        <f t="shared" ref="G42:I42" si="2">SUM(G5:G41)</f>
        <v>22</v>
      </c>
      <c r="H42" s="53">
        <f t="shared" si="2"/>
        <v>46</v>
      </c>
      <c r="I42" s="54">
        <f t="shared" si="2"/>
        <v>68</v>
      </c>
      <c r="K42" s="52" t="s">
        <v>594</v>
      </c>
      <c r="L42" s="52"/>
      <c r="M42" s="52"/>
      <c r="N42" s="52"/>
      <c r="O42" s="53">
        <v>32</v>
      </c>
      <c r="P42" s="53">
        <v>60</v>
      </c>
      <c r="Q42" s="54">
        <v>92</v>
      </c>
      <c r="S42" s="40" t="str">
        <f t="shared" si="1"/>
        <v>68/92</v>
      </c>
    </row>
    <row r="43" spans="2:19" s="40" customFormat="1" ht="21.75" customHeight="1" thickBot="1" x14ac:dyDescent="0.45">
      <c r="B43" s="55"/>
      <c r="C43" s="52" t="s">
        <v>595</v>
      </c>
      <c r="D43" s="52"/>
      <c r="E43" s="52"/>
      <c r="F43" s="52"/>
      <c r="G43" s="56">
        <f t="shared" ref="G43:I43" si="3">COUNTIF(G5:G41,"&lt;&gt;0")</f>
        <v>18</v>
      </c>
      <c r="H43" s="56">
        <f t="shared" si="3"/>
        <v>30</v>
      </c>
      <c r="I43" s="57">
        <f t="shared" si="3"/>
        <v>34</v>
      </c>
      <c r="K43" s="52" t="s">
        <v>595</v>
      </c>
      <c r="L43" s="52"/>
      <c r="M43" s="52"/>
      <c r="N43" s="52"/>
      <c r="O43" s="56">
        <v>20</v>
      </c>
      <c r="P43" s="56">
        <v>34</v>
      </c>
      <c r="Q43" s="57">
        <v>35</v>
      </c>
      <c r="S43" s="40" t="str">
        <f t="shared" si="1"/>
        <v>34/35</v>
      </c>
    </row>
    <row r="44" spans="2:19" s="40" customFormat="1" ht="21.75" customHeight="1" x14ac:dyDescent="0.4">
      <c r="E44" s="58"/>
      <c r="G44" s="40">
        <v>32</v>
      </c>
      <c r="H44" s="40">
        <v>60</v>
      </c>
      <c r="I44" s="40">
        <v>92</v>
      </c>
    </row>
    <row r="45" spans="2:19" s="40" customFormat="1" ht="21.75" customHeight="1" x14ac:dyDescent="0.4">
      <c r="E45" s="58"/>
      <c r="G45" s="59">
        <f t="shared" ref="G45:H45" si="4">+G42/G44</f>
        <v>0.6875</v>
      </c>
      <c r="H45" s="59">
        <f t="shared" si="4"/>
        <v>0.76666666666666672</v>
      </c>
      <c r="I45" s="59">
        <f>+I42/I44</f>
        <v>0.73913043478260865</v>
      </c>
    </row>
    <row r="47" spans="2:19" ht="21.75" customHeight="1" x14ac:dyDescent="0.2">
      <c r="K47" s="60">
        <f>+G42/$I$42</f>
        <v>0.3235294117647059</v>
      </c>
      <c r="L47" s="60">
        <f>+H42/$I$42</f>
        <v>0.67647058823529416</v>
      </c>
      <c r="M47" s="60">
        <f>+I42/$I$42</f>
        <v>1</v>
      </c>
    </row>
    <row r="48" spans="2:19" ht="21.75" customHeight="1" x14ac:dyDescent="0.2">
      <c r="G48" s="46" t="s">
        <v>4</v>
      </c>
      <c r="H48" s="46" t="s">
        <v>599</v>
      </c>
      <c r="I48" s="46" t="s">
        <v>526</v>
      </c>
    </row>
    <row r="49" spans="3:9" s="61" customFormat="1" ht="21.75" customHeight="1" x14ac:dyDescent="0.2">
      <c r="D49" s="62"/>
      <c r="E49" s="62"/>
      <c r="F49" s="62" t="s">
        <v>597</v>
      </c>
      <c r="G49" s="63">
        <f>+G42</f>
        <v>22</v>
      </c>
      <c r="H49" s="63">
        <f t="shared" ref="H49:I49" si="5">+H42</f>
        <v>46</v>
      </c>
      <c r="I49" s="63">
        <f t="shared" si="5"/>
        <v>68</v>
      </c>
    </row>
    <row r="50" spans="3:9" s="61" customFormat="1" ht="21.75" customHeight="1" x14ac:dyDescent="0.2">
      <c r="D50" s="62"/>
      <c r="E50" s="62"/>
      <c r="F50" s="62" t="s">
        <v>598</v>
      </c>
      <c r="G50" s="63">
        <f>+G43</f>
        <v>18</v>
      </c>
      <c r="H50" s="63">
        <f t="shared" ref="H50:I50" si="6">+H43</f>
        <v>30</v>
      </c>
      <c r="I50" s="63">
        <f t="shared" si="6"/>
        <v>34</v>
      </c>
    </row>
    <row r="51" spans="3:9" s="61" customFormat="1" ht="21.75" customHeight="1" x14ac:dyDescent="0.2">
      <c r="E51" s="64"/>
      <c r="F51" s="65"/>
    </row>
    <row r="52" spans="3:9" s="61" customFormat="1" ht="21.75" customHeight="1" x14ac:dyDescent="0.2">
      <c r="E52" s="64"/>
      <c r="F52" s="65"/>
    </row>
    <row r="53" spans="3:9" s="61" customFormat="1" ht="21.75" customHeight="1" x14ac:dyDescent="0.2">
      <c r="C53" s="66" t="s">
        <v>594</v>
      </c>
      <c r="D53" s="66"/>
      <c r="E53" s="66"/>
      <c r="F53" s="66"/>
    </row>
    <row r="54" spans="3:9" s="61" customFormat="1" ht="21.75" customHeight="1" x14ac:dyDescent="0.2">
      <c r="C54" s="66" t="s">
        <v>595</v>
      </c>
      <c r="D54" s="66"/>
      <c r="E54" s="66"/>
      <c r="F54" s="66"/>
    </row>
    <row r="55" spans="3:9" s="61" customFormat="1" ht="21.75" customHeight="1" x14ac:dyDescent="0.2">
      <c r="E55" s="64"/>
      <c r="F55" s="65"/>
    </row>
    <row r="56" spans="3:9" s="61" customFormat="1" ht="21.75" customHeight="1" x14ac:dyDescent="0.2">
      <c r="E56" s="64"/>
      <c r="F56" s="65" t="s">
        <v>597</v>
      </c>
      <c r="G56" s="61" t="s">
        <v>598</v>
      </c>
    </row>
    <row r="57" spans="3:9" s="61" customFormat="1" ht="21.75" customHeight="1" x14ac:dyDescent="0.2">
      <c r="E57" s="64" t="s">
        <v>4</v>
      </c>
      <c r="F57" s="65">
        <f>+G49</f>
        <v>22</v>
      </c>
      <c r="G57" s="61">
        <f>+G50</f>
        <v>18</v>
      </c>
    </row>
    <row r="58" spans="3:9" s="61" customFormat="1" ht="21.75" customHeight="1" x14ac:dyDescent="0.2">
      <c r="E58" s="64" t="s">
        <v>599</v>
      </c>
      <c r="F58" s="65">
        <f>+H49</f>
        <v>46</v>
      </c>
      <c r="G58" s="61">
        <f>+H50</f>
        <v>30</v>
      </c>
    </row>
    <row r="59" spans="3:9" s="61" customFormat="1" ht="21.75" customHeight="1" x14ac:dyDescent="0.2">
      <c r="E59" s="64"/>
      <c r="F59" s="65"/>
    </row>
    <row r="60" spans="3:9" s="61" customFormat="1" ht="21.75" customHeight="1" x14ac:dyDescent="0.2">
      <c r="E60" s="64"/>
      <c r="F60" s="65"/>
    </row>
    <row r="61" spans="3:9" s="61" customFormat="1" ht="21.75" customHeight="1" x14ac:dyDescent="0.2">
      <c r="E61" s="64"/>
      <c r="F61" s="65"/>
    </row>
    <row r="62" spans="3:9" s="61" customFormat="1" ht="21.75" customHeight="1" x14ac:dyDescent="0.2">
      <c r="E62" s="64"/>
      <c r="F62" s="65"/>
    </row>
    <row r="63" spans="3:9" s="61" customFormat="1" ht="21.75" customHeight="1" x14ac:dyDescent="0.2">
      <c r="E63" s="64"/>
      <c r="F63" s="65"/>
    </row>
    <row r="64" spans="3:9" s="61" customFormat="1" ht="21.75" customHeight="1" x14ac:dyDescent="0.2">
      <c r="E64" s="64"/>
      <c r="F64" s="65"/>
    </row>
    <row r="65" spans="5:6" s="61" customFormat="1" ht="21.75" customHeight="1" x14ac:dyDescent="0.2">
      <c r="E65" s="64"/>
      <c r="F65" s="65"/>
    </row>
    <row r="66" spans="5:6" s="61" customFormat="1" ht="21.75" customHeight="1" x14ac:dyDescent="0.2">
      <c r="E66" s="64"/>
      <c r="F66" s="65"/>
    </row>
    <row r="67" spans="5:6" s="61" customFormat="1" ht="21.75" customHeight="1" x14ac:dyDescent="0.2">
      <c r="E67" s="64"/>
      <c r="F67" s="65"/>
    </row>
    <row r="68" spans="5:6" s="61" customFormat="1" ht="21.75" customHeight="1" x14ac:dyDescent="0.2">
      <c r="E68" s="64"/>
      <c r="F68" s="65"/>
    </row>
    <row r="69" spans="5:6" s="61" customFormat="1" ht="21.75" customHeight="1" x14ac:dyDescent="0.2">
      <c r="E69" s="64"/>
      <c r="F69" s="65"/>
    </row>
    <row r="70" spans="5:6" s="61" customFormat="1" ht="21.75" customHeight="1" x14ac:dyDescent="0.2">
      <c r="E70" s="64"/>
      <c r="F70" s="65"/>
    </row>
    <row r="71" spans="5:6" s="61" customFormat="1" ht="21.75" customHeight="1" x14ac:dyDescent="0.2">
      <c r="E71" s="64"/>
      <c r="F71" s="65"/>
    </row>
    <row r="72" spans="5:6" s="61" customFormat="1" ht="21.75" customHeight="1" x14ac:dyDescent="0.2">
      <c r="E72" s="64"/>
      <c r="F72" s="65"/>
    </row>
  </sheetData>
  <mergeCells count="16">
    <mergeCell ref="C54:F54"/>
    <mergeCell ref="O3:Q3"/>
    <mergeCell ref="K42:N42"/>
    <mergeCell ref="K43:N43"/>
    <mergeCell ref="C53:F53"/>
    <mergeCell ref="C42:F42"/>
    <mergeCell ref="C43:F43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2025-04-10T20:52:58Z</dcterms:modified>
</cp:coreProperties>
</file>