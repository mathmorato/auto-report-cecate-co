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inson\Dropbox\090_UFG\08_PTE - FAPPTE\33_14_CTE\"/>
    </mc:Choice>
  </mc:AlternateContent>
  <xr:revisionPtr revIDLastSave="0" documentId="13_ncr:1_{8E4EE4FC-B2DE-4424-9B01-D89A1A5C9F6A}" xr6:coauthVersionLast="47" xr6:coauthVersionMax="47" xr10:uidLastSave="{00000000-0000-0000-0000-000000000000}"/>
  <bookViews>
    <workbookView xWindow="-120" yWindow="-120" windowWidth="20730" windowHeight="11160" tabRatio="772" activeTab="7" xr2:uid="{CF705BD6-A6DF-48B5-B1CC-0BABAB37C2E4}"/>
  </bookViews>
  <sheets>
    <sheet name="Planilha1" sheetId="25" r:id="rId1"/>
    <sheet name="Planilha2" sheetId="26" r:id="rId2"/>
    <sheet name="Dados" sheetId="17" r:id="rId3"/>
    <sheet name="Apendice III" sheetId="24" r:id="rId4"/>
    <sheet name="Todos" sheetId="18" r:id="rId5"/>
    <sheet name="CACS" sheetId="22" r:id="rId6"/>
    <sheet name="GESTORES" sheetId="23" r:id="rId7"/>
    <sheet name="Resumo " sheetId="21" r:id="rId8"/>
  </sheets>
  <definedNames>
    <definedName name="_xlnm._FilterDatabase" localSheetId="2" hidden="1">Dados!$F$1:$Y$61</definedName>
    <definedName name="_xlnm._FilterDatabase" localSheetId="1" hidden="1">Planilha2!$A$1:$M$96</definedName>
    <definedName name="_xlnm._FilterDatabase" localSheetId="7" hidden="1">'Resumo '!$D$4:$H$59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9" i="21" l="1"/>
  <c r="G78" i="21"/>
  <c r="F78" i="21"/>
  <c r="F77" i="21"/>
  <c r="H5" i="21"/>
  <c r="Q57" i="21"/>
  <c r="B3" i="24" l="1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2" i="24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2" i="17"/>
  <c r="H56" i="21"/>
  <c r="G56" i="21"/>
  <c r="I56" i="21" s="1"/>
  <c r="H55" i="21"/>
  <c r="G55" i="21"/>
  <c r="I55" i="21" s="1"/>
  <c r="H54" i="21"/>
  <c r="G54" i="21"/>
  <c r="I54" i="21" s="1"/>
  <c r="H53" i="21"/>
  <c r="I53" i="21" s="1"/>
  <c r="G53" i="21"/>
  <c r="H52" i="21"/>
  <c r="G52" i="21"/>
  <c r="I52" i="21" s="1"/>
  <c r="H51" i="21"/>
  <c r="G51" i="21"/>
  <c r="I51" i="21" s="1"/>
  <c r="H50" i="21"/>
  <c r="G50" i="21"/>
  <c r="I50" i="21" s="1"/>
  <c r="H49" i="21"/>
  <c r="I49" i="21" s="1"/>
  <c r="G49" i="21"/>
  <c r="H48" i="21"/>
  <c r="G48" i="21"/>
  <c r="I48" i="21" s="1"/>
  <c r="H47" i="21"/>
  <c r="G47" i="21"/>
  <c r="I47" i="21" s="1"/>
  <c r="H46" i="21"/>
  <c r="G46" i="21"/>
  <c r="I46" i="21" s="1"/>
  <c r="H45" i="21"/>
  <c r="I45" i="21" s="1"/>
  <c r="G45" i="21"/>
  <c r="H44" i="21"/>
  <c r="G44" i="21"/>
  <c r="I44" i="21" s="1"/>
  <c r="H43" i="21"/>
  <c r="G43" i="21"/>
  <c r="I43" i="21" s="1"/>
  <c r="H42" i="21"/>
  <c r="G42" i="21"/>
  <c r="I42" i="21" s="1"/>
  <c r="H41" i="21"/>
  <c r="I41" i="21" s="1"/>
  <c r="G41" i="21"/>
  <c r="H40" i="21"/>
  <c r="G40" i="21"/>
  <c r="I40" i="21" s="1"/>
  <c r="H39" i="21"/>
  <c r="G39" i="21"/>
  <c r="I39" i="21" s="1"/>
  <c r="H38" i="21"/>
  <c r="G38" i="21"/>
  <c r="I38" i="21" s="1"/>
  <c r="H37" i="21"/>
  <c r="I37" i="21" s="1"/>
  <c r="G37" i="21"/>
  <c r="H36" i="21"/>
  <c r="G36" i="21"/>
  <c r="I36" i="21" s="1"/>
  <c r="H35" i="21"/>
  <c r="G35" i="21"/>
  <c r="I35" i="21" s="1"/>
  <c r="H34" i="21"/>
  <c r="G34" i="21"/>
  <c r="I34" i="21" s="1"/>
  <c r="H33" i="21"/>
  <c r="I33" i="21" s="1"/>
  <c r="G33" i="21"/>
  <c r="H32" i="21"/>
  <c r="G32" i="21"/>
  <c r="I32" i="21" s="1"/>
  <c r="H31" i="21"/>
  <c r="G31" i="21"/>
  <c r="I31" i="21" s="1"/>
  <c r="H30" i="21"/>
  <c r="G30" i="21"/>
  <c r="I30" i="21" s="1"/>
  <c r="I29" i="21"/>
  <c r="H29" i="21"/>
  <c r="G29" i="21"/>
  <c r="H28" i="21"/>
  <c r="G28" i="21"/>
  <c r="I28" i="21" s="1"/>
  <c r="H27" i="21"/>
  <c r="G27" i="21"/>
  <c r="I27" i="21" s="1"/>
  <c r="H26" i="21"/>
  <c r="G26" i="21"/>
  <c r="I26" i="21" s="1"/>
  <c r="I25" i="21"/>
  <c r="H25" i="21"/>
  <c r="G25" i="21"/>
  <c r="H24" i="21"/>
  <c r="G24" i="21"/>
  <c r="I24" i="21" s="1"/>
  <c r="H23" i="21"/>
  <c r="G23" i="21"/>
  <c r="I23" i="21" s="1"/>
  <c r="H22" i="21"/>
  <c r="G22" i="21"/>
  <c r="I22" i="21" s="1"/>
  <c r="H21" i="21"/>
  <c r="G21" i="21"/>
  <c r="I21" i="21" s="1"/>
  <c r="H20" i="21"/>
  <c r="G20" i="21"/>
  <c r="I20" i="21" s="1"/>
  <c r="H19" i="21"/>
  <c r="G19" i="21"/>
  <c r="I19" i="21" s="1"/>
  <c r="H18" i="21"/>
  <c r="G18" i="21"/>
  <c r="I18" i="21" s="1"/>
  <c r="I17" i="21"/>
  <c r="H17" i="21"/>
  <c r="G17" i="21"/>
  <c r="H16" i="21"/>
  <c r="G16" i="21"/>
  <c r="I16" i="21" s="1"/>
  <c r="H15" i="21"/>
  <c r="G15" i="21"/>
  <c r="I15" i="21" s="1"/>
  <c r="H14" i="21"/>
  <c r="G14" i="21"/>
  <c r="I14" i="21" s="1"/>
  <c r="I13" i="21"/>
  <c r="H13" i="21"/>
  <c r="G13" i="21"/>
  <c r="H12" i="21"/>
  <c r="G12" i="21"/>
  <c r="I12" i="21" s="1"/>
  <c r="H11" i="21"/>
  <c r="G11" i="21"/>
  <c r="I11" i="21" s="1"/>
  <c r="H10" i="21"/>
  <c r="G10" i="21"/>
  <c r="I10" i="21" s="1"/>
  <c r="I9" i="21"/>
  <c r="H9" i="21"/>
  <c r="G9" i="21"/>
  <c r="H8" i="21"/>
  <c r="G8" i="21"/>
  <c r="I8" i="21" s="1"/>
  <c r="H7" i="21"/>
  <c r="G7" i="21"/>
  <c r="I7" i="21" s="1"/>
  <c r="H6" i="21"/>
  <c r="G6" i="21"/>
  <c r="I6" i="21" s="1"/>
  <c r="A15" i="23"/>
  <c r="B15" i="23"/>
  <c r="C15" i="23"/>
  <c r="D15" i="23"/>
  <c r="E15" i="23"/>
  <c r="F15" i="23"/>
  <c r="G15" i="23"/>
  <c r="H15" i="23"/>
  <c r="I15" i="23"/>
  <c r="A16" i="23"/>
  <c r="B16" i="23"/>
  <c r="C16" i="23"/>
  <c r="D16" i="23"/>
  <c r="E16" i="23"/>
  <c r="F16" i="23"/>
  <c r="G16" i="23"/>
  <c r="H16" i="23"/>
  <c r="I16" i="23"/>
  <c r="A17" i="23"/>
  <c r="B17" i="23"/>
  <c r="C17" i="23"/>
  <c r="D17" i="23"/>
  <c r="E17" i="23"/>
  <c r="F17" i="23"/>
  <c r="G17" i="23"/>
  <c r="H17" i="23"/>
  <c r="I17" i="23"/>
  <c r="A18" i="23"/>
  <c r="B18" i="23"/>
  <c r="C18" i="23"/>
  <c r="D18" i="23"/>
  <c r="E18" i="23"/>
  <c r="F18" i="23"/>
  <c r="G18" i="23"/>
  <c r="H18" i="23"/>
  <c r="I18" i="23"/>
  <c r="A19" i="23"/>
  <c r="B19" i="23"/>
  <c r="C19" i="23"/>
  <c r="D19" i="23"/>
  <c r="E19" i="23"/>
  <c r="F19" i="23"/>
  <c r="G19" i="23"/>
  <c r="H19" i="23"/>
  <c r="I19" i="23"/>
  <c r="A20" i="23"/>
  <c r="B20" i="23"/>
  <c r="C20" i="23"/>
  <c r="D20" i="23"/>
  <c r="E20" i="23"/>
  <c r="F20" i="23"/>
  <c r="G20" i="23"/>
  <c r="H20" i="23"/>
  <c r="I20" i="23"/>
  <c r="A21" i="23"/>
  <c r="B21" i="23"/>
  <c r="C21" i="23"/>
  <c r="D21" i="23"/>
  <c r="E21" i="23"/>
  <c r="F21" i="23"/>
  <c r="G21" i="23"/>
  <c r="H21" i="23"/>
  <c r="I21" i="23"/>
  <c r="A22" i="23"/>
  <c r="B22" i="23"/>
  <c r="C22" i="23"/>
  <c r="D22" i="23"/>
  <c r="E22" i="23"/>
  <c r="F22" i="23"/>
  <c r="G22" i="23"/>
  <c r="H22" i="23"/>
  <c r="I22" i="23"/>
  <c r="A23" i="23"/>
  <c r="B23" i="23"/>
  <c r="C23" i="23"/>
  <c r="D23" i="23"/>
  <c r="E23" i="23"/>
  <c r="F23" i="23"/>
  <c r="G23" i="23"/>
  <c r="H23" i="23"/>
  <c r="I23" i="23"/>
  <c r="A24" i="23"/>
  <c r="B24" i="23"/>
  <c r="C24" i="23"/>
  <c r="D24" i="23"/>
  <c r="E24" i="23"/>
  <c r="F24" i="23"/>
  <c r="G24" i="23"/>
  <c r="H24" i="23"/>
  <c r="I24" i="23"/>
  <c r="A25" i="23"/>
  <c r="B25" i="23"/>
  <c r="C25" i="23"/>
  <c r="D25" i="23"/>
  <c r="E25" i="23"/>
  <c r="F25" i="23"/>
  <c r="G25" i="23"/>
  <c r="H25" i="23"/>
  <c r="I25" i="23"/>
  <c r="A26" i="23"/>
  <c r="B26" i="23"/>
  <c r="C26" i="23"/>
  <c r="D26" i="23"/>
  <c r="E26" i="23"/>
  <c r="F26" i="23"/>
  <c r="G26" i="23"/>
  <c r="H26" i="23"/>
  <c r="I26" i="23"/>
  <c r="A27" i="23"/>
  <c r="B27" i="23"/>
  <c r="C27" i="23"/>
  <c r="D27" i="23"/>
  <c r="E27" i="23"/>
  <c r="F27" i="23"/>
  <c r="G27" i="23"/>
  <c r="H27" i="23"/>
  <c r="I27" i="23"/>
  <c r="A28" i="23"/>
  <c r="B28" i="23"/>
  <c r="C28" i="23"/>
  <c r="D28" i="23"/>
  <c r="E28" i="23"/>
  <c r="F28" i="23"/>
  <c r="G28" i="23"/>
  <c r="H28" i="23"/>
  <c r="I28" i="23"/>
  <c r="A29" i="23"/>
  <c r="B29" i="23"/>
  <c r="C29" i="23"/>
  <c r="D29" i="23"/>
  <c r="E29" i="23"/>
  <c r="F29" i="23"/>
  <c r="G29" i="23"/>
  <c r="H29" i="23"/>
  <c r="I29" i="23"/>
  <c r="A30" i="23"/>
  <c r="B30" i="23"/>
  <c r="C30" i="23"/>
  <c r="D30" i="23"/>
  <c r="E30" i="23"/>
  <c r="F30" i="23"/>
  <c r="G30" i="23"/>
  <c r="H30" i="23"/>
  <c r="I30" i="23"/>
  <c r="A31" i="23"/>
  <c r="B31" i="23"/>
  <c r="C31" i="23"/>
  <c r="D31" i="23"/>
  <c r="E31" i="23"/>
  <c r="F31" i="23"/>
  <c r="G31" i="23"/>
  <c r="H31" i="23"/>
  <c r="I31" i="23"/>
  <c r="A32" i="23"/>
  <c r="B32" i="23"/>
  <c r="C32" i="23"/>
  <c r="D32" i="23"/>
  <c r="E32" i="23"/>
  <c r="F32" i="23"/>
  <c r="G32" i="23"/>
  <c r="H32" i="23"/>
  <c r="I32" i="23"/>
  <c r="A33" i="23"/>
  <c r="B33" i="23"/>
  <c r="C33" i="23"/>
  <c r="D33" i="23"/>
  <c r="E33" i="23"/>
  <c r="F33" i="23"/>
  <c r="G33" i="23"/>
  <c r="H33" i="23"/>
  <c r="I33" i="23"/>
  <c r="A34" i="23"/>
  <c r="B34" i="23"/>
  <c r="C34" i="23"/>
  <c r="D34" i="23"/>
  <c r="E34" i="23"/>
  <c r="F34" i="23"/>
  <c r="G34" i="23"/>
  <c r="H34" i="23"/>
  <c r="I34" i="23"/>
  <c r="A35" i="23"/>
  <c r="B35" i="23"/>
  <c r="C35" i="23"/>
  <c r="D35" i="23"/>
  <c r="E35" i="23"/>
  <c r="F35" i="23"/>
  <c r="G35" i="23"/>
  <c r="H35" i="23"/>
  <c r="I35" i="23"/>
  <c r="A36" i="23"/>
  <c r="B36" i="23"/>
  <c r="C36" i="23"/>
  <c r="D36" i="23"/>
  <c r="E36" i="23"/>
  <c r="F36" i="23"/>
  <c r="G36" i="23"/>
  <c r="H36" i="23"/>
  <c r="I36" i="23"/>
  <c r="A37" i="23"/>
  <c r="B37" i="23"/>
  <c r="C37" i="23"/>
  <c r="D37" i="23"/>
  <c r="E37" i="23"/>
  <c r="F37" i="23"/>
  <c r="G37" i="23"/>
  <c r="H37" i="23"/>
  <c r="I37" i="23"/>
  <c r="A38" i="23"/>
  <c r="B38" i="23"/>
  <c r="C38" i="23"/>
  <c r="D38" i="23"/>
  <c r="E38" i="23"/>
  <c r="F38" i="23"/>
  <c r="G38" i="23"/>
  <c r="H38" i="23"/>
  <c r="I38" i="23"/>
  <c r="A39" i="23"/>
  <c r="B39" i="23"/>
  <c r="C39" i="23"/>
  <c r="D39" i="23"/>
  <c r="E39" i="23"/>
  <c r="F39" i="23"/>
  <c r="G39" i="23"/>
  <c r="H39" i="23"/>
  <c r="I39" i="23"/>
  <c r="A40" i="23"/>
  <c r="B40" i="23"/>
  <c r="C40" i="23"/>
  <c r="D40" i="23"/>
  <c r="E40" i="23"/>
  <c r="F40" i="23"/>
  <c r="G40" i="23"/>
  <c r="H40" i="23"/>
  <c r="I40" i="23"/>
  <c r="A41" i="23"/>
  <c r="B41" i="23"/>
  <c r="C41" i="23"/>
  <c r="D41" i="23"/>
  <c r="E41" i="23"/>
  <c r="F41" i="23"/>
  <c r="G41" i="23"/>
  <c r="H41" i="23"/>
  <c r="I41" i="23"/>
  <c r="A42" i="23"/>
  <c r="B42" i="23"/>
  <c r="C42" i="23"/>
  <c r="D42" i="23"/>
  <c r="E42" i="23"/>
  <c r="F42" i="23"/>
  <c r="G42" i="23"/>
  <c r="H42" i="23"/>
  <c r="I42" i="23"/>
  <c r="A43" i="23"/>
  <c r="B43" i="23"/>
  <c r="C43" i="23"/>
  <c r="D43" i="23"/>
  <c r="E43" i="23"/>
  <c r="F43" i="23"/>
  <c r="G43" i="23"/>
  <c r="H43" i="23"/>
  <c r="I43" i="23"/>
  <c r="A44" i="23"/>
  <c r="B44" i="23"/>
  <c r="C44" i="23"/>
  <c r="D44" i="23"/>
  <c r="E44" i="23"/>
  <c r="F44" i="23"/>
  <c r="G44" i="23"/>
  <c r="H44" i="23"/>
  <c r="I44" i="23"/>
  <c r="A45" i="23"/>
  <c r="B45" i="23"/>
  <c r="C45" i="23"/>
  <c r="D45" i="23"/>
  <c r="E45" i="23"/>
  <c r="F45" i="23"/>
  <c r="G45" i="23"/>
  <c r="H45" i="23"/>
  <c r="I45" i="23"/>
  <c r="A46" i="23"/>
  <c r="B46" i="23"/>
  <c r="C46" i="23"/>
  <c r="D46" i="23"/>
  <c r="E46" i="23"/>
  <c r="F46" i="23"/>
  <c r="G46" i="23"/>
  <c r="H46" i="23"/>
  <c r="I46" i="23"/>
  <c r="A47" i="23"/>
  <c r="B47" i="23"/>
  <c r="C47" i="23"/>
  <c r="D47" i="23"/>
  <c r="E47" i="23"/>
  <c r="F47" i="23"/>
  <c r="G47" i="23"/>
  <c r="H47" i="23"/>
  <c r="I47" i="23"/>
  <c r="A48" i="23"/>
  <c r="B48" i="23"/>
  <c r="C48" i="23"/>
  <c r="D48" i="23"/>
  <c r="E48" i="23"/>
  <c r="F48" i="23"/>
  <c r="G48" i="23"/>
  <c r="H48" i="23"/>
  <c r="I48" i="23"/>
  <c r="A49" i="23"/>
  <c r="B49" i="23"/>
  <c r="C49" i="23"/>
  <c r="D49" i="23"/>
  <c r="E49" i="23"/>
  <c r="F49" i="23"/>
  <c r="G49" i="23"/>
  <c r="H49" i="23"/>
  <c r="I49" i="23"/>
  <c r="A50" i="23"/>
  <c r="B50" i="23"/>
  <c r="C50" i="23"/>
  <c r="D50" i="23"/>
  <c r="E50" i="23"/>
  <c r="F50" i="23"/>
  <c r="G50" i="23"/>
  <c r="H50" i="23"/>
  <c r="I50" i="23"/>
  <c r="A51" i="23"/>
  <c r="B51" i="23"/>
  <c r="C51" i="23"/>
  <c r="D51" i="23"/>
  <c r="E51" i="23"/>
  <c r="F51" i="23"/>
  <c r="G51" i="23"/>
  <c r="H51" i="23"/>
  <c r="I51" i="23"/>
  <c r="A52" i="23"/>
  <c r="B52" i="23"/>
  <c r="C52" i="23"/>
  <c r="D52" i="23"/>
  <c r="E52" i="23"/>
  <c r="F52" i="23"/>
  <c r="G52" i="23"/>
  <c r="H52" i="23"/>
  <c r="I52" i="23"/>
  <c r="A53" i="23"/>
  <c r="B53" i="23"/>
  <c r="C53" i="23"/>
  <c r="D53" i="23"/>
  <c r="E53" i="23"/>
  <c r="F53" i="23"/>
  <c r="G53" i="23"/>
  <c r="H53" i="23"/>
  <c r="I53" i="23"/>
  <c r="A54" i="23"/>
  <c r="B54" i="23"/>
  <c r="C54" i="23"/>
  <c r="D54" i="23"/>
  <c r="E54" i="23"/>
  <c r="F54" i="23"/>
  <c r="G54" i="23"/>
  <c r="H54" i="23"/>
  <c r="I54" i="23"/>
  <c r="A55" i="23"/>
  <c r="B55" i="23"/>
  <c r="C55" i="23"/>
  <c r="D55" i="23"/>
  <c r="E55" i="23"/>
  <c r="F55" i="23"/>
  <c r="G55" i="23"/>
  <c r="H55" i="23"/>
  <c r="I55" i="23"/>
  <c r="A56" i="23"/>
  <c r="B56" i="23"/>
  <c r="C56" i="23"/>
  <c r="D56" i="23"/>
  <c r="E56" i="23"/>
  <c r="F56" i="23"/>
  <c r="G56" i="23"/>
  <c r="H56" i="23"/>
  <c r="I56" i="23"/>
  <c r="A57" i="23"/>
  <c r="B57" i="23"/>
  <c r="C57" i="23"/>
  <c r="D57" i="23"/>
  <c r="E57" i="23"/>
  <c r="F57" i="23"/>
  <c r="G57" i="23"/>
  <c r="H57" i="23"/>
  <c r="I57" i="23"/>
  <c r="A58" i="23"/>
  <c r="B58" i="23"/>
  <c r="C58" i="23"/>
  <c r="D58" i="23"/>
  <c r="E58" i="23"/>
  <c r="F58" i="23"/>
  <c r="G58" i="23"/>
  <c r="H58" i="23"/>
  <c r="I58" i="23"/>
  <c r="A59" i="23"/>
  <c r="B59" i="23"/>
  <c r="C59" i="23"/>
  <c r="D59" i="23"/>
  <c r="E59" i="23"/>
  <c r="F59" i="23"/>
  <c r="G59" i="23"/>
  <c r="H59" i="23"/>
  <c r="I59" i="23"/>
  <c r="A60" i="23"/>
  <c r="B60" i="23"/>
  <c r="C60" i="23"/>
  <c r="D60" i="23"/>
  <c r="E60" i="23"/>
  <c r="F60" i="23"/>
  <c r="G60" i="23"/>
  <c r="H60" i="23"/>
  <c r="I60" i="23"/>
  <c r="A61" i="23"/>
  <c r="B61" i="23"/>
  <c r="C61" i="23"/>
  <c r="D61" i="23"/>
  <c r="E61" i="23"/>
  <c r="F61" i="23"/>
  <c r="G61" i="23"/>
  <c r="H61" i="23"/>
  <c r="I61" i="23"/>
  <c r="A62" i="23"/>
  <c r="B62" i="23"/>
  <c r="C62" i="23"/>
  <c r="D62" i="23"/>
  <c r="E62" i="23"/>
  <c r="F62" i="23"/>
  <c r="G62" i="23"/>
  <c r="H62" i="23"/>
  <c r="I62" i="23"/>
  <c r="A3" i="22"/>
  <c r="B3" i="22"/>
  <c r="C3" i="22"/>
  <c r="D3" i="22"/>
  <c r="E3" i="22"/>
  <c r="F3" i="22"/>
  <c r="G3" i="22"/>
  <c r="H3" i="22"/>
  <c r="I3" i="22"/>
  <c r="A4" i="22"/>
  <c r="B4" i="22"/>
  <c r="C4" i="22"/>
  <c r="D4" i="22"/>
  <c r="E4" i="22"/>
  <c r="F4" i="22"/>
  <c r="G4" i="22"/>
  <c r="H4" i="22"/>
  <c r="I4" i="22"/>
  <c r="A5" i="22"/>
  <c r="B5" i="22"/>
  <c r="C5" i="22"/>
  <c r="D5" i="22"/>
  <c r="E5" i="22"/>
  <c r="F5" i="22"/>
  <c r="G5" i="22"/>
  <c r="H5" i="22"/>
  <c r="I5" i="22"/>
  <c r="A6" i="22"/>
  <c r="B6" i="22"/>
  <c r="C6" i="22"/>
  <c r="D6" i="22"/>
  <c r="E6" i="22"/>
  <c r="F6" i="22"/>
  <c r="G6" i="22"/>
  <c r="H6" i="22"/>
  <c r="I6" i="22"/>
  <c r="A7" i="22"/>
  <c r="B7" i="22"/>
  <c r="C7" i="22"/>
  <c r="D7" i="22"/>
  <c r="E7" i="22"/>
  <c r="F7" i="22"/>
  <c r="G7" i="22"/>
  <c r="H7" i="22"/>
  <c r="I7" i="22"/>
  <c r="A8" i="22"/>
  <c r="B8" i="22"/>
  <c r="C8" i="22"/>
  <c r="D8" i="22"/>
  <c r="E8" i="22"/>
  <c r="F8" i="22"/>
  <c r="G8" i="22"/>
  <c r="H8" i="22"/>
  <c r="I8" i="22"/>
  <c r="A9" i="22"/>
  <c r="B9" i="22"/>
  <c r="C9" i="22"/>
  <c r="D9" i="22"/>
  <c r="E9" i="22"/>
  <c r="F9" i="22"/>
  <c r="G9" i="22"/>
  <c r="H9" i="22"/>
  <c r="I9" i="22"/>
  <c r="A10" i="22"/>
  <c r="B10" i="22"/>
  <c r="C10" i="22"/>
  <c r="D10" i="22"/>
  <c r="E10" i="22"/>
  <c r="F10" i="22"/>
  <c r="G10" i="22"/>
  <c r="H10" i="22"/>
  <c r="I10" i="22"/>
  <c r="A11" i="22"/>
  <c r="B11" i="22"/>
  <c r="C11" i="22"/>
  <c r="D11" i="22"/>
  <c r="E11" i="22"/>
  <c r="F11" i="22"/>
  <c r="G11" i="22"/>
  <c r="H11" i="22"/>
  <c r="I11" i="22"/>
  <c r="A12" i="22"/>
  <c r="B12" i="22"/>
  <c r="C12" i="22"/>
  <c r="D12" i="22"/>
  <c r="E12" i="22"/>
  <c r="F12" i="22"/>
  <c r="G12" i="22"/>
  <c r="H12" i="22"/>
  <c r="I12" i="22"/>
  <c r="B22" i="18"/>
  <c r="C22" i="18"/>
  <c r="D22" i="18"/>
  <c r="E22" i="18"/>
  <c r="F22" i="18"/>
  <c r="G22" i="18"/>
  <c r="H22" i="18"/>
  <c r="I22" i="18"/>
  <c r="B23" i="18"/>
  <c r="C23" i="18"/>
  <c r="D23" i="18"/>
  <c r="E23" i="18"/>
  <c r="F23" i="18"/>
  <c r="G23" i="18"/>
  <c r="H23" i="18"/>
  <c r="I23" i="18"/>
  <c r="B24" i="18"/>
  <c r="C24" i="18"/>
  <c r="D24" i="18"/>
  <c r="E24" i="18"/>
  <c r="F24" i="18"/>
  <c r="G24" i="18"/>
  <c r="H24" i="18"/>
  <c r="I24" i="18"/>
  <c r="B25" i="18"/>
  <c r="C25" i="18"/>
  <c r="D25" i="18"/>
  <c r="E25" i="18"/>
  <c r="F25" i="18"/>
  <c r="G25" i="18"/>
  <c r="H25" i="18"/>
  <c r="I25" i="18"/>
  <c r="B26" i="18"/>
  <c r="C26" i="18"/>
  <c r="D26" i="18"/>
  <c r="E26" i="18"/>
  <c r="F26" i="18"/>
  <c r="G26" i="18"/>
  <c r="H26" i="18"/>
  <c r="I26" i="18"/>
  <c r="B27" i="18"/>
  <c r="C27" i="18"/>
  <c r="D27" i="18"/>
  <c r="E27" i="18"/>
  <c r="F27" i="18"/>
  <c r="G27" i="18"/>
  <c r="H27" i="18"/>
  <c r="I27" i="18"/>
  <c r="B28" i="18"/>
  <c r="C28" i="18"/>
  <c r="D28" i="18"/>
  <c r="E28" i="18"/>
  <c r="F28" i="18"/>
  <c r="G28" i="18"/>
  <c r="H28" i="18"/>
  <c r="I28" i="18"/>
  <c r="B29" i="18"/>
  <c r="C29" i="18"/>
  <c r="D29" i="18"/>
  <c r="E29" i="18"/>
  <c r="F29" i="18"/>
  <c r="G29" i="18"/>
  <c r="H29" i="18"/>
  <c r="I29" i="18"/>
  <c r="B30" i="18"/>
  <c r="C30" i="18"/>
  <c r="D30" i="18"/>
  <c r="E30" i="18"/>
  <c r="F30" i="18"/>
  <c r="G30" i="18"/>
  <c r="H30" i="18"/>
  <c r="I30" i="18"/>
  <c r="B31" i="18"/>
  <c r="C31" i="18"/>
  <c r="D31" i="18"/>
  <c r="E31" i="18"/>
  <c r="F31" i="18"/>
  <c r="G31" i="18"/>
  <c r="H31" i="18"/>
  <c r="I31" i="18"/>
  <c r="B32" i="18"/>
  <c r="C32" i="18"/>
  <c r="D32" i="18"/>
  <c r="E32" i="18"/>
  <c r="F32" i="18"/>
  <c r="G32" i="18"/>
  <c r="H32" i="18"/>
  <c r="I32" i="18"/>
  <c r="B33" i="18"/>
  <c r="C33" i="18"/>
  <c r="D33" i="18"/>
  <c r="E33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43" i="18"/>
  <c r="C43" i="18"/>
  <c r="D43" i="18"/>
  <c r="E43" i="18"/>
  <c r="F43" i="18"/>
  <c r="G43" i="18"/>
  <c r="H43" i="18"/>
  <c r="I43" i="18"/>
  <c r="B44" i="18"/>
  <c r="C44" i="18"/>
  <c r="D44" i="18"/>
  <c r="E44" i="18"/>
  <c r="F44" i="18"/>
  <c r="G44" i="18"/>
  <c r="H44" i="18"/>
  <c r="I44" i="18"/>
  <c r="B45" i="18"/>
  <c r="C45" i="18"/>
  <c r="D45" i="18"/>
  <c r="E45" i="18"/>
  <c r="F45" i="18"/>
  <c r="G45" i="18"/>
  <c r="H45" i="18"/>
  <c r="I45" i="18"/>
  <c r="B46" i="18"/>
  <c r="C46" i="18"/>
  <c r="D46" i="18"/>
  <c r="E46" i="18"/>
  <c r="F46" i="18"/>
  <c r="G46" i="18"/>
  <c r="H46" i="18"/>
  <c r="I46" i="18"/>
  <c r="B47" i="18"/>
  <c r="C47" i="18"/>
  <c r="D47" i="18"/>
  <c r="E47" i="18"/>
  <c r="F47" i="18"/>
  <c r="G47" i="18"/>
  <c r="H47" i="18"/>
  <c r="I47" i="18"/>
  <c r="B48" i="18"/>
  <c r="C48" i="18"/>
  <c r="D48" i="18"/>
  <c r="E48" i="18"/>
  <c r="F48" i="18"/>
  <c r="G48" i="18"/>
  <c r="H48" i="18"/>
  <c r="I48" i="18"/>
  <c r="B49" i="18"/>
  <c r="C49" i="18"/>
  <c r="D49" i="18"/>
  <c r="E49" i="18"/>
  <c r="F49" i="18"/>
  <c r="G49" i="18"/>
  <c r="H49" i="18"/>
  <c r="I49" i="18"/>
  <c r="B50" i="18"/>
  <c r="C50" i="18"/>
  <c r="D50" i="18"/>
  <c r="E50" i="18"/>
  <c r="F50" i="18"/>
  <c r="G50" i="18"/>
  <c r="H50" i="18"/>
  <c r="I50" i="18"/>
  <c r="B51" i="18"/>
  <c r="C51" i="18"/>
  <c r="D51" i="18"/>
  <c r="E51" i="18"/>
  <c r="F51" i="18"/>
  <c r="G51" i="18"/>
  <c r="H51" i="18"/>
  <c r="I51" i="18"/>
  <c r="B52" i="18"/>
  <c r="C52" i="18"/>
  <c r="D52" i="18"/>
  <c r="E52" i="18"/>
  <c r="F52" i="18"/>
  <c r="G52" i="18"/>
  <c r="H52" i="18"/>
  <c r="I52" i="18"/>
  <c r="B53" i="18"/>
  <c r="C53" i="18"/>
  <c r="D53" i="18"/>
  <c r="E53" i="18"/>
  <c r="F53" i="18"/>
  <c r="G53" i="18"/>
  <c r="H53" i="18"/>
  <c r="I53" i="18"/>
  <c r="B54" i="18"/>
  <c r="C54" i="18"/>
  <c r="D54" i="18"/>
  <c r="E54" i="18"/>
  <c r="F54" i="18"/>
  <c r="G54" i="18"/>
  <c r="H54" i="18"/>
  <c r="I54" i="18"/>
  <c r="B55" i="18"/>
  <c r="C55" i="18"/>
  <c r="D55" i="18"/>
  <c r="E55" i="18"/>
  <c r="F55" i="18"/>
  <c r="G55" i="18"/>
  <c r="H55" i="18"/>
  <c r="I55" i="18"/>
  <c r="B56" i="18"/>
  <c r="C56" i="18"/>
  <c r="D56" i="18"/>
  <c r="E56" i="18"/>
  <c r="F56" i="18"/>
  <c r="G56" i="18"/>
  <c r="H56" i="18"/>
  <c r="I56" i="18"/>
  <c r="B57" i="18"/>
  <c r="C57" i="18"/>
  <c r="D57" i="18"/>
  <c r="E57" i="18"/>
  <c r="F57" i="18"/>
  <c r="G57" i="18"/>
  <c r="H57" i="18"/>
  <c r="I57" i="18"/>
  <c r="B58" i="18"/>
  <c r="C58" i="18"/>
  <c r="D58" i="18"/>
  <c r="E58" i="18"/>
  <c r="F58" i="18"/>
  <c r="G58" i="18"/>
  <c r="H58" i="18"/>
  <c r="I58" i="18"/>
  <c r="B59" i="18"/>
  <c r="C59" i="18"/>
  <c r="D59" i="18"/>
  <c r="E59" i="18"/>
  <c r="F59" i="18"/>
  <c r="G59" i="18"/>
  <c r="H59" i="18"/>
  <c r="I59" i="18"/>
  <c r="B60" i="18"/>
  <c r="C60" i="18"/>
  <c r="D60" i="18"/>
  <c r="E60" i="18"/>
  <c r="F60" i="18"/>
  <c r="G60" i="18"/>
  <c r="H60" i="18"/>
  <c r="I60" i="18"/>
  <c r="B61" i="18"/>
  <c r="C61" i="18"/>
  <c r="D61" i="18"/>
  <c r="E61" i="18"/>
  <c r="F61" i="18"/>
  <c r="G61" i="18"/>
  <c r="H61" i="18"/>
  <c r="I61" i="18"/>
  <c r="B3" i="18"/>
  <c r="C3" i="18"/>
  <c r="D3" i="18"/>
  <c r="E3" i="18"/>
  <c r="F3" i="18"/>
  <c r="G3" i="18"/>
  <c r="H3" i="18"/>
  <c r="I3" i="18"/>
  <c r="B4" i="18"/>
  <c r="C4" i="18"/>
  <c r="D4" i="18"/>
  <c r="E4" i="18"/>
  <c r="F4" i="18"/>
  <c r="G4" i="18"/>
  <c r="H4" i="18"/>
  <c r="I4" i="18"/>
  <c r="B5" i="18"/>
  <c r="C5" i="18"/>
  <c r="D5" i="18"/>
  <c r="E5" i="18"/>
  <c r="F5" i="18"/>
  <c r="G5" i="18"/>
  <c r="H5" i="18"/>
  <c r="I5" i="18"/>
  <c r="B6" i="18"/>
  <c r="C6" i="18"/>
  <c r="D6" i="18"/>
  <c r="E6" i="18"/>
  <c r="F6" i="18"/>
  <c r="G6" i="18"/>
  <c r="H6" i="18"/>
  <c r="I6" i="18"/>
  <c r="B7" i="18"/>
  <c r="C7" i="18"/>
  <c r="D7" i="18"/>
  <c r="E7" i="18"/>
  <c r="F7" i="18"/>
  <c r="G7" i="18"/>
  <c r="H7" i="18"/>
  <c r="I7" i="18"/>
  <c r="B8" i="18"/>
  <c r="C8" i="18"/>
  <c r="D8" i="18"/>
  <c r="E8" i="18"/>
  <c r="F8" i="18"/>
  <c r="G8" i="18"/>
  <c r="H8" i="18"/>
  <c r="I8" i="18"/>
  <c r="B9" i="18"/>
  <c r="C9" i="18"/>
  <c r="D9" i="18"/>
  <c r="E9" i="18"/>
  <c r="F9" i="18"/>
  <c r="G9" i="18"/>
  <c r="H9" i="18"/>
  <c r="I9" i="18"/>
  <c r="B10" i="18"/>
  <c r="C10" i="18"/>
  <c r="D10" i="18"/>
  <c r="E10" i="18"/>
  <c r="F10" i="18"/>
  <c r="G10" i="18"/>
  <c r="H10" i="18"/>
  <c r="I10" i="18"/>
  <c r="B11" i="18"/>
  <c r="C11" i="18"/>
  <c r="D11" i="18"/>
  <c r="E11" i="18"/>
  <c r="F11" i="18"/>
  <c r="G11" i="18"/>
  <c r="H11" i="18"/>
  <c r="I11" i="18"/>
  <c r="B12" i="18"/>
  <c r="C12" i="18"/>
  <c r="D12" i="18"/>
  <c r="E12" i="18"/>
  <c r="F12" i="18"/>
  <c r="G12" i="18"/>
  <c r="H12" i="18"/>
  <c r="I12" i="18"/>
  <c r="B13" i="18"/>
  <c r="C13" i="18"/>
  <c r="D13" i="18"/>
  <c r="E13" i="18"/>
  <c r="F13" i="18"/>
  <c r="G13" i="18"/>
  <c r="H13" i="18"/>
  <c r="I13" i="18"/>
  <c r="B14" i="18"/>
  <c r="C14" i="18"/>
  <c r="D14" i="18"/>
  <c r="E14" i="18"/>
  <c r="F14" i="18"/>
  <c r="G14" i="18"/>
  <c r="H14" i="18"/>
  <c r="I14" i="18"/>
  <c r="B15" i="18"/>
  <c r="C15" i="18"/>
  <c r="D15" i="18"/>
  <c r="E15" i="18"/>
  <c r="F15" i="18"/>
  <c r="G15" i="18"/>
  <c r="H15" i="18"/>
  <c r="I15" i="18"/>
  <c r="B16" i="18"/>
  <c r="C16" i="18"/>
  <c r="D16" i="18"/>
  <c r="E16" i="18"/>
  <c r="F16" i="18"/>
  <c r="G16" i="18"/>
  <c r="H16" i="18"/>
  <c r="I16" i="18"/>
  <c r="B17" i="18"/>
  <c r="C17" i="18"/>
  <c r="D17" i="18"/>
  <c r="E17" i="18"/>
  <c r="F17" i="18"/>
  <c r="G17" i="18"/>
  <c r="H17" i="18"/>
  <c r="I17" i="18"/>
  <c r="B18" i="18"/>
  <c r="C18" i="18"/>
  <c r="D18" i="18"/>
  <c r="E18" i="18"/>
  <c r="F18" i="18"/>
  <c r="G18" i="18"/>
  <c r="H18" i="18"/>
  <c r="I18" i="18"/>
  <c r="B19" i="18"/>
  <c r="C19" i="18"/>
  <c r="D19" i="18"/>
  <c r="E19" i="18"/>
  <c r="F19" i="18"/>
  <c r="G19" i="18"/>
  <c r="H19" i="18"/>
  <c r="I19" i="18"/>
  <c r="B20" i="18"/>
  <c r="C20" i="18"/>
  <c r="D20" i="18"/>
  <c r="E20" i="18"/>
  <c r="F20" i="18"/>
  <c r="G20" i="18"/>
  <c r="H20" i="18"/>
  <c r="I20" i="18"/>
  <c r="B21" i="18"/>
  <c r="C21" i="18"/>
  <c r="D21" i="18"/>
  <c r="E21" i="18"/>
  <c r="F21" i="18"/>
  <c r="G21" i="18"/>
  <c r="H21" i="18"/>
  <c r="I21" i="18"/>
  <c r="V17" i="17" l="1"/>
  <c r="A17" i="18" s="1"/>
  <c r="V18" i="17"/>
  <c r="A18" i="18" s="1"/>
  <c r="V19" i="17"/>
  <c r="A19" i="18" s="1"/>
  <c r="V20" i="17"/>
  <c r="A20" i="18" s="1"/>
  <c r="V21" i="17"/>
  <c r="A21" i="18" s="1"/>
  <c r="V22" i="17"/>
  <c r="A22" i="18" s="1"/>
  <c r="V23" i="17"/>
  <c r="A23" i="18" s="1"/>
  <c r="V24" i="17"/>
  <c r="A24" i="18" s="1"/>
  <c r="V25" i="17"/>
  <c r="A25" i="18" s="1"/>
  <c r="V26" i="17"/>
  <c r="A26" i="18" s="1"/>
  <c r="V27" i="17"/>
  <c r="A27" i="18" s="1"/>
  <c r="V28" i="17"/>
  <c r="A28" i="18" s="1"/>
  <c r="V29" i="17"/>
  <c r="A29" i="18" s="1"/>
  <c r="V30" i="17"/>
  <c r="A30" i="18" s="1"/>
  <c r="V31" i="17"/>
  <c r="A31" i="18" s="1"/>
  <c r="V32" i="17"/>
  <c r="A32" i="18" s="1"/>
  <c r="V33" i="17"/>
  <c r="A33" i="18" s="1"/>
  <c r="V34" i="17"/>
  <c r="A34" i="18" s="1"/>
  <c r="V35" i="17"/>
  <c r="A35" i="18" s="1"/>
  <c r="V36" i="17"/>
  <c r="A36" i="18" s="1"/>
  <c r="V37" i="17"/>
  <c r="A37" i="18" s="1"/>
  <c r="V38" i="17"/>
  <c r="A38" i="18" s="1"/>
  <c r="V39" i="17"/>
  <c r="A39" i="18" s="1"/>
  <c r="V40" i="17"/>
  <c r="A40" i="18" s="1"/>
  <c r="V3" i="17"/>
  <c r="A3" i="18" s="1"/>
  <c r="V4" i="17"/>
  <c r="A4" i="18" s="1"/>
  <c r="V5" i="17"/>
  <c r="A5" i="18" s="1"/>
  <c r="V41" i="17"/>
  <c r="A41" i="18" s="1"/>
  <c r="V42" i="17"/>
  <c r="A42" i="18" s="1"/>
  <c r="V43" i="17"/>
  <c r="A43" i="18" s="1"/>
  <c r="V44" i="17"/>
  <c r="A44" i="18" s="1"/>
  <c r="V45" i="17"/>
  <c r="A45" i="18" s="1"/>
  <c r="V6" i="17"/>
  <c r="A6" i="18" s="1"/>
  <c r="V46" i="17"/>
  <c r="A46" i="18" s="1"/>
  <c r="V47" i="17"/>
  <c r="A47" i="18" s="1"/>
  <c r="V48" i="17"/>
  <c r="A48" i="18" s="1"/>
  <c r="V49" i="17"/>
  <c r="A49" i="18" s="1"/>
  <c r="V7" i="17"/>
  <c r="A7" i="18" s="1"/>
  <c r="V50" i="17"/>
  <c r="A50" i="18" s="1"/>
  <c r="V8" i="17"/>
  <c r="A8" i="18" s="1"/>
  <c r="V9" i="17"/>
  <c r="A9" i="18" s="1"/>
  <c r="V51" i="17"/>
  <c r="A51" i="18" s="1"/>
  <c r="V52" i="17"/>
  <c r="A52" i="18" s="1"/>
  <c r="V53" i="17"/>
  <c r="A53" i="18" s="1"/>
  <c r="V54" i="17"/>
  <c r="A54" i="18" s="1"/>
  <c r="V55" i="17"/>
  <c r="A55" i="18" s="1"/>
  <c r="V56" i="17"/>
  <c r="A56" i="18" s="1"/>
  <c r="V57" i="17"/>
  <c r="A57" i="18" s="1"/>
  <c r="V58" i="17"/>
  <c r="A58" i="18" s="1"/>
  <c r="V10" i="17"/>
  <c r="A10" i="18" s="1"/>
  <c r="V59" i="17"/>
  <c r="A59" i="18" s="1"/>
  <c r="V60" i="17"/>
  <c r="A60" i="18" s="1"/>
  <c r="V11" i="17"/>
  <c r="A11" i="18" s="1"/>
  <c r="V12" i="17"/>
  <c r="A12" i="18" s="1"/>
  <c r="V61" i="17"/>
  <c r="A61" i="18" s="1"/>
  <c r="V13" i="17"/>
  <c r="A13" i="18" s="1"/>
  <c r="V14" i="17"/>
  <c r="A14" i="18" s="1"/>
  <c r="V2" i="17"/>
  <c r="A2" i="18" s="1"/>
  <c r="V15" i="17"/>
  <c r="A15" i="18" s="1"/>
  <c r="B2" i="22"/>
  <c r="V16" i="17"/>
  <c r="A16" i="18" s="1"/>
  <c r="A2" i="22" l="1"/>
  <c r="A14" i="23"/>
  <c r="B14" i="23"/>
  <c r="C14" i="23"/>
  <c r="D14" i="23"/>
  <c r="E14" i="23"/>
  <c r="F14" i="23"/>
  <c r="G14" i="23"/>
  <c r="H14" i="23"/>
  <c r="I14" i="23"/>
  <c r="C2" i="22"/>
  <c r="D2" i="22"/>
  <c r="E2" i="22"/>
  <c r="F2" i="22"/>
  <c r="G2" i="22"/>
  <c r="H2" i="22"/>
  <c r="I2" i="22"/>
  <c r="B2" i="18" l="1"/>
  <c r="C2" i="18"/>
  <c r="D2" i="18"/>
  <c r="E2" i="18"/>
  <c r="F2" i="18"/>
  <c r="G2" i="18"/>
  <c r="H2" i="18"/>
  <c r="I2" i="18"/>
  <c r="O7" i="18" l="1"/>
  <c r="O10" i="18" s="1"/>
  <c r="R5" i="23"/>
  <c r="Q5" i="23"/>
  <c r="P5" i="23"/>
  <c r="O5" i="23"/>
  <c r="N5" i="23"/>
  <c r="R5" i="22"/>
  <c r="Q5" i="22"/>
  <c r="P5" i="22"/>
  <c r="O5" i="22"/>
  <c r="N5" i="22"/>
  <c r="O5" i="18"/>
  <c r="O8" i="18" s="1"/>
  <c r="O11" i="18" s="1"/>
  <c r="P5" i="18"/>
  <c r="Q5" i="18"/>
  <c r="R5" i="18"/>
  <c r="N5" i="18"/>
  <c r="O12" i="22" l="1"/>
  <c r="Q11" i="23"/>
  <c r="P11" i="23"/>
  <c r="Q6" i="23"/>
  <c r="P10" i="23"/>
  <c r="R9" i="23"/>
  <c r="O8" i="23"/>
  <c r="O10" i="23"/>
  <c r="Q7" i="23"/>
  <c r="O12" i="23"/>
  <c r="Q11" i="22"/>
  <c r="P11" i="22"/>
  <c r="O6" i="22"/>
  <c r="P7" i="23"/>
  <c r="Q7" i="22"/>
  <c r="O6" i="23"/>
  <c r="R9" i="22"/>
  <c r="O8" i="22"/>
  <c r="P6" i="22"/>
  <c r="P10" i="22"/>
  <c r="P7" i="22"/>
  <c r="Q9" i="22"/>
  <c r="O10" i="22"/>
  <c r="P9" i="22"/>
  <c r="Q9" i="23"/>
  <c r="R7" i="23"/>
  <c r="P8" i="23"/>
  <c r="N9" i="23"/>
  <c r="R11" i="23"/>
  <c r="O7" i="23"/>
  <c r="Q10" i="23"/>
  <c r="Q12" i="23"/>
  <c r="R6" i="23"/>
  <c r="N8" i="23"/>
  <c r="N10" i="23"/>
  <c r="N12" i="23"/>
  <c r="P6" i="23"/>
  <c r="N7" i="23"/>
  <c r="N11" i="23"/>
  <c r="P12" i="23"/>
  <c r="Q8" i="23"/>
  <c r="O9" i="23"/>
  <c r="O11" i="23"/>
  <c r="N6" i="23"/>
  <c r="R8" i="23"/>
  <c r="P9" i="23"/>
  <c r="R10" i="23"/>
  <c r="R12" i="23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N6" i="18" l="1"/>
  <c r="G5" i="21"/>
  <c r="O6" i="18"/>
  <c r="O9" i="18" s="1"/>
  <c r="O12" i="18" s="1"/>
  <c r="N12" i="18"/>
  <c r="N11" i="18"/>
  <c r="N7" i="18"/>
  <c r="N8" i="18"/>
  <c r="P10" i="18"/>
  <c r="Q6" i="18"/>
  <c r="Q12" i="18"/>
  <c r="R10" i="18"/>
  <c r="Q8" i="18"/>
  <c r="N10" i="18"/>
  <c r="Q11" i="18"/>
  <c r="P9" i="18"/>
  <c r="N9" i="18"/>
  <c r="R6" i="18"/>
  <c r="R12" i="18"/>
  <c r="R8" i="18"/>
  <c r="Q10" i="18"/>
  <c r="P12" i="18"/>
  <c r="P8" i="18"/>
  <c r="P6" i="18"/>
  <c r="R9" i="18"/>
  <c r="Q7" i="18"/>
  <c r="R11" i="18"/>
  <c r="R7" i="18"/>
  <c r="Q9" i="18"/>
  <c r="P11" i="18"/>
  <c r="P7" i="18"/>
  <c r="H57" i="21" l="1"/>
  <c r="H58" i="21"/>
  <c r="H65" i="21" s="1"/>
  <c r="G73" i="21" s="1"/>
  <c r="S6" i="21"/>
  <c r="G57" i="21"/>
  <c r="G58" i="21"/>
  <c r="G65" i="21" s="1"/>
  <c r="G72" i="21" s="1"/>
  <c r="I5" i="21"/>
  <c r="G64" i="21" l="1"/>
  <c r="F72" i="21" s="1"/>
  <c r="G60" i="21"/>
  <c r="H64" i="21"/>
  <c r="F73" i="21" s="1"/>
  <c r="H60" i="21"/>
  <c r="S5" i="21"/>
  <c r="I58" i="21"/>
  <c r="I57" i="21"/>
  <c r="K62" i="21" s="1"/>
  <c r="L62" i="21" l="1"/>
  <c r="I65" i="21"/>
  <c r="S58" i="21"/>
  <c r="I64" i="21"/>
  <c r="S57" i="21"/>
  <c r="M62" i="21"/>
  <c r="I60" i="21"/>
</calcChain>
</file>

<file path=xl/sharedStrings.xml><?xml version="1.0" encoding="utf-8"?>
<sst xmlns="http://schemas.openxmlformats.org/spreadsheetml/2006/main" count="2702" uniqueCount="757">
  <si>
    <t>Carimbo de data/hora</t>
  </si>
  <si>
    <t>Comentários e/ou Sugestões: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</si>
  <si>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</si>
  <si>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</si>
  <si>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</si>
  <si>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</si>
  <si>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</si>
  <si>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</si>
  <si>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</si>
  <si>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Nome Completo:</t>
  </si>
  <si>
    <t>CPF</t>
  </si>
  <si>
    <t>e-mail</t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</si>
  <si>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</si>
  <si>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</si>
  <si>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</si>
  <si>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</si>
  <si>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</si>
  <si>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</si>
  <si>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</si>
  <si>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</si>
  <si>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</si>
  <si>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</si>
  <si>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</si>
  <si>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</si>
  <si>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</si>
  <si>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t>CACS-FUNDEB</t>
  </si>
  <si>
    <t>Conselheira (o) do CACS/Fundeb</t>
  </si>
  <si>
    <t>Gestão municipal</t>
  </si>
  <si>
    <t>Secretaria Municipal de Educação;</t>
  </si>
  <si>
    <t>E-mail encaminhado pelo CECATE/CO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</si>
  <si>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</si>
  <si>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</si>
  <si>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</si>
  <si>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</si>
  <si>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</si>
  <si>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</si>
  <si>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</si>
  <si>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</si>
  <si>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</si>
  <si>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</si>
  <si>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</si>
  <si>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</si>
  <si>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</si>
  <si>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</si>
  <si>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</si>
  <si>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</si>
  <si>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</si>
  <si>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</si>
  <si>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</si>
  <si>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</si>
  <si>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</si>
  <si>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</si>
  <si>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</si>
  <si>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</si>
  <si>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E-mail encaminhado pelo CECATE/CO, Oficio de convocação feito pelo FNDE</t>
  </si>
  <si>
    <t>Código IBGE</t>
  </si>
  <si>
    <t>Tudo</t>
  </si>
  <si>
    <t>Telefone (XX)XXXXX-XXXX</t>
  </si>
  <si>
    <t xml:space="preserve">Sugestão de temas para futuras capacitações 
(Webinar, vídeos de Youtube, postagens de Instagram, etc.) </t>
  </si>
  <si>
    <t>Youtube</t>
  </si>
  <si>
    <t>ALTA FLORESTA</t>
  </si>
  <si>
    <t>APIACÁS</t>
  </si>
  <si>
    <t>Webinar</t>
  </si>
  <si>
    <t>CARLINDA</t>
  </si>
  <si>
    <t>Não</t>
  </si>
  <si>
    <t>Marilaine Batista de Oliveira</t>
  </si>
  <si>
    <t>945.864.621-91</t>
  </si>
  <si>
    <t>marilaineoliveira4@gmail.com</t>
  </si>
  <si>
    <t>(64)99965-1691</t>
  </si>
  <si>
    <t>SERRANÓPOLIS</t>
  </si>
  <si>
    <t>Organização e gestão do tempo</t>
  </si>
  <si>
    <t>Não tem.</t>
  </si>
  <si>
    <t>Jefferson Douglas Pascoaloto</t>
  </si>
  <si>
    <t>511.497.531-53</t>
  </si>
  <si>
    <t>jeffersonpascoaloto@gmail.com</t>
  </si>
  <si>
    <t>(67)99992-1112</t>
  </si>
  <si>
    <t>PARANAÍBA</t>
  </si>
  <si>
    <t>Bom nível dos formadores</t>
  </si>
  <si>
    <t>Ser por estado</t>
  </si>
  <si>
    <t>Fabíola dos Santos Cardoso</t>
  </si>
  <si>
    <t>898.195.191-87</t>
  </si>
  <si>
    <t>fabiola1cardoso@yahoo.com.br</t>
  </si>
  <si>
    <t>(64)99255-7083</t>
  </si>
  <si>
    <t>PALESTINA DE GOIÁS</t>
  </si>
  <si>
    <t>Dinâmica adotada foi boa.</t>
  </si>
  <si>
    <t>Pela primeira vez participando gostei bastante.</t>
  </si>
  <si>
    <t>Rodrigo Franco</t>
  </si>
  <si>
    <t>412.635.701-78</t>
  </si>
  <si>
    <t>rodrigofcar@hotmail.com</t>
  </si>
  <si>
    <t>(64)99626-4267</t>
  </si>
  <si>
    <t>JATAÍ</t>
  </si>
  <si>
    <t>Conhecimento e informações</t>
  </si>
  <si>
    <t>Nenhum</t>
  </si>
  <si>
    <t>Webimar</t>
  </si>
  <si>
    <t>Gostei muito</t>
  </si>
  <si>
    <t>Vera Lúcia Gonçalves de Amaro</t>
  </si>
  <si>
    <t>215.765.991-91</t>
  </si>
  <si>
    <t>veramaro.pl@gmail.com</t>
  </si>
  <si>
    <t>(62)99178-2063</t>
  </si>
  <si>
    <t>Sete</t>
  </si>
  <si>
    <t>mais dinâmica</t>
  </si>
  <si>
    <t>Eugênia Pereira Dos santos Souza</t>
  </si>
  <si>
    <t>877.708.651-15</t>
  </si>
  <si>
    <t>eugeniapereira845@gmail.com</t>
  </si>
  <si>
    <t>(64)99320-5025</t>
  </si>
  <si>
    <t>PEROLÂNDIA</t>
  </si>
  <si>
    <t>exatamente</t>
  </si>
  <si>
    <t>não tenho</t>
  </si>
  <si>
    <t>sim</t>
  </si>
  <si>
    <t>Márcia Cândido Dourado</t>
  </si>
  <si>
    <t>597.758.231-53</t>
  </si>
  <si>
    <t>marciadourado2019@gmail.com</t>
  </si>
  <si>
    <t>(64)99607-9709</t>
  </si>
  <si>
    <t>A plataforma do Sete.</t>
  </si>
  <si>
    <t>Não observei nada. Foi perfeito.</t>
  </si>
  <si>
    <t>Capacitar novos concelheiros.</t>
  </si>
  <si>
    <t>Gostei muito da formação e das dinâmicas.</t>
  </si>
  <si>
    <t>Ana Cristina Rodrigues Vieira</t>
  </si>
  <si>
    <t>038.224.521-06</t>
  </si>
  <si>
    <t>Danilolealtheo@gmail.com</t>
  </si>
  <si>
    <t>(64)99952-6229</t>
  </si>
  <si>
    <t>RIBEIRÃOZINHO</t>
  </si>
  <si>
    <t>Formadores e abordagem</t>
  </si>
  <si>
    <t>O tempo que é pouco para aprender.</t>
  </si>
  <si>
    <t>Capacitação presencial com maior tempo, sobre o app SETE.</t>
  </si>
  <si>
    <t>Claudionor Arante Figueiredo</t>
  </si>
  <si>
    <t>781.534.411-91</t>
  </si>
  <si>
    <t>claudionoruniao@hotmail.com</t>
  </si>
  <si>
    <t>(66)99962-1112</t>
  </si>
  <si>
    <t>Aprendizado, experiência</t>
  </si>
  <si>
    <t>Gostei bastante, nunca tinha participado</t>
  </si>
  <si>
    <t>Delmair Rosa de Lima</t>
  </si>
  <si>
    <t>007.130.321-97</t>
  </si>
  <si>
    <t>delmairlima07@gmail.com</t>
  </si>
  <si>
    <t>(64)99627-7794</t>
  </si>
  <si>
    <t>Os formadores são responsáveis e entendem dos assuntos trabalhados!</t>
  </si>
  <si>
    <t>A climatização do ambiente</t>
  </si>
  <si>
    <t>Ana Paula Ferreira da Silva Rodrigues</t>
  </si>
  <si>
    <t>712.853.541-17</t>
  </si>
  <si>
    <t>anapfsrvenancio@gmail.com</t>
  </si>
  <si>
    <t>(64)98420-1516</t>
  </si>
  <si>
    <t>RIO VERDE</t>
  </si>
  <si>
    <t>Palestra</t>
  </si>
  <si>
    <t>João Guilherme Fernandes de Souza</t>
  </si>
  <si>
    <t>063.467.131-67</t>
  </si>
  <si>
    <t>fernandesdesouzajoaoguilherme@gmail.com</t>
  </si>
  <si>
    <t>(67)98434-4615</t>
  </si>
  <si>
    <t>material interessante e ajuda pratica</t>
  </si>
  <si>
    <t>horario da formação e os dias</t>
  </si>
  <si>
    <t>videos de Youtube</t>
  </si>
  <si>
    <t>Carlos Cesar dos Reis</t>
  </si>
  <si>
    <t>529.797.411-91</t>
  </si>
  <si>
    <t>carlos_cesar_reis@hotmail.com</t>
  </si>
  <si>
    <t>(64)99242-0051</t>
  </si>
  <si>
    <t>SANTA HELENA DE GOIÁS</t>
  </si>
  <si>
    <t>Explicação e localização</t>
  </si>
  <si>
    <t>Prefeitura;</t>
  </si>
  <si>
    <t>Tudo ótimo</t>
  </si>
  <si>
    <t>Keroleny de Paula Vieira</t>
  </si>
  <si>
    <t>053.494.421-39</t>
  </si>
  <si>
    <t>karolinadepaula64@gmail.com</t>
  </si>
  <si>
    <t>(64)99219-4889</t>
  </si>
  <si>
    <t>MAURILÂNDIA</t>
  </si>
  <si>
    <t>Os professores e as atenção com todos</t>
  </si>
  <si>
    <t>Nada a declarar</t>
  </si>
  <si>
    <t>Vídeos</t>
  </si>
  <si>
    <t>Simão Marcos Magalhães Tavares</t>
  </si>
  <si>
    <t>038.970.461-05</t>
  </si>
  <si>
    <t>marcosuchiha51@gmail.com</t>
  </si>
  <si>
    <t>(62)99105-2432</t>
  </si>
  <si>
    <t>TURVELÂNDIA</t>
  </si>
  <si>
    <t>A aplicação é a forma do conteúdo</t>
  </si>
  <si>
    <t>Tempo e dinâmica</t>
  </si>
  <si>
    <t>Vídeos no YouTube</t>
  </si>
  <si>
    <t>Dagmara Medeiros</t>
  </si>
  <si>
    <t>349.727.237-82</t>
  </si>
  <si>
    <t>maramedeiros01@hotamil.com</t>
  </si>
  <si>
    <t>(18)99751-0547</t>
  </si>
  <si>
    <t>Do primeiro horário a dinâmica como foi desenvolvido o assunto e gostei da prática sobre alimentar o programa e os vídeos.</t>
  </si>
  <si>
    <t>Poderia ser mais rápido o período da tarde e ter uma dinâmica melhor .</t>
  </si>
  <si>
    <t>Webinar é videos de YouTube</t>
  </si>
  <si>
    <t>Maria Lúcia Pereira dos Santos</t>
  </si>
  <si>
    <t>712.177.031-87</t>
  </si>
  <si>
    <t>m.lucia34@hotmail.com</t>
  </si>
  <si>
    <t>(64)99318-3209</t>
  </si>
  <si>
    <t>São instrutores muito calmos e procuraram sanar as dúvidas de todos, estão de parabéns!</t>
  </si>
  <si>
    <t>O local e o tempo</t>
  </si>
  <si>
    <t>Isso tudo acima sitado</t>
  </si>
  <si>
    <t>Auro Bernardino de Paula Junior</t>
  </si>
  <si>
    <t>068.834.161-61</t>
  </si>
  <si>
    <t>aurobernardinodepaula@gmail.com</t>
  </si>
  <si>
    <t>(67)99992-0544</t>
  </si>
  <si>
    <t>Todos os tópicos</t>
  </si>
  <si>
    <t>.</t>
  </si>
  <si>
    <t>Nataniel Marcario Fernandes</t>
  </si>
  <si>
    <t>057.458.231-27</t>
  </si>
  <si>
    <t>contatonmarcario@gmail.com</t>
  </si>
  <si>
    <t>(64)99282-9618</t>
  </si>
  <si>
    <t>Local e a formação em geral</t>
  </si>
  <si>
    <t>Horário, um pouco puxado das 08:00 às 18:00</t>
  </si>
  <si>
    <t>Treinamento de motorista e monitoras do transporte escolar</t>
  </si>
  <si>
    <t>Agradeço pelos ensinamentos e compartilhamentos de gestores que vivenciam de fato oque é o transporte.</t>
  </si>
  <si>
    <t>Patrícia de Sousa Guerreiro</t>
  </si>
  <si>
    <t>928.754.321-68</t>
  </si>
  <si>
    <t>patysousaguerreiro@hotmail.com</t>
  </si>
  <si>
    <t>(62)98603-4910</t>
  </si>
  <si>
    <t>SÃO SIMÃO</t>
  </si>
  <si>
    <t>Tempo do curso</t>
  </si>
  <si>
    <t>Gabriel Frutuoso Assis Moraes</t>
  </si>
  <si>
    <t>039.855.261-41</t>
  </si>
  <si>
    <t>gabrielassisfrutuoso@gmail.com</t>
  </si>
  <si>
    <t>(64)99937-6474</t>
  </si>
  <si>
    <t>Os formadores e pela propriedade do assunto</t>
  </si>
  <si>
    <t>Climatização</t>
  </si>
  <si>
    <t>Tânia Aparecida Nascimento Pelisari</t>
  </si>
  <si>
    <t>037.474.671-05</t>
  </si>
  <si>
    <t>aparecidat197@gmail.com</t>
  </si>
  <si>
    <t>(66)99982-0064</t>
  </si>
  <si>
    <t>SANTA RITA DO ARAGUAIA</t>
  </si>
  <si>
    <t>A Didática dos professores.</t>
  </si>
  <si>
    <t>A formação foi muito boa, mas o tempo foi pouco deveria ser no mínimo uns dois dias. Porque senti que no final na apresentação do sete foi muito corrido</t>
  </si>
  <si>
    <t>Lazara Anaciberte da Silva Passos</t>
  </si>
  <si>
    <t>431.272.661-20</t>
  </si>
  <si>
    <t>lazarasilvapassos@gmail.com</t>
  </si>
  <si>
    <t>(64)99323-4916</t>
  </si>
  <si>
    <t>Apresentação e e assessoria para entendimento do cursista</t>
  </si>
  <si>
    <t>Profissionais excelente</t>
  </si>
  <si>
    <t>Rogério Gomes Martins</t>
  </si>
  <si>
    <t>024.398.821-43</t>
  </si>
  <si>
    <t>rogergmartins@hotmail.com</t>
  </si>
  <si>
    <t>(64)97400-8118</t>
  </si>
  <si>
    <t>APORÉ</t>
  </si>
  <si>
    <t>Ambiente e paciência dos Instrutores</t>
  </si>
  <si>
    <t>Nada a acrescentar</t>
  </si>
  <si>
    <t>Jairo Antônio Ribeiro Júnior</t>
  </si>
  <si>
    <t>024.415.541-07</t>
  </si>
  <si>
    <t>seduc.coordtranspescolar@mineiros.go.gov.br</t>
  </si>
  <si>
    <t>(64)99228-3848</t>
  </si>
  <si>
    <t>MINEIROS</t>
  </si>
  <si>
    <t>Troca de experiências</t>
  </si>
  <si>
    <t>Lyniker Nunes Martins</t>
  </si>
  <si>
    <t>022.869.991-63</t>
  </si>
  <si>
    <t>lynikernunes07@gmail.com</t>
  </si>
  <si>
    <t>(64)99949-7533</t>
  </si>
  <si>
    <t>Transparência e o SETA</t>
  </si>
  <si>
    <t>Microfone para ouvir melhor</t>
  </si>
  <si>
    <t>Videos</t>
  </si>
  <si>
    <t>Gabriela Gouveia Gonçalves</t>
  </si>
  <si>
    <t>032.749.621-55</t>
  </si>
  <si>
    <t>Gabyamg89@icloud.com</t>
  </si>
  <si>
    <t>(64)99224-6940</t>
  </si>
  <si>
    <t>A praticidade no cadastro</t>
  </si>
  <si>
    <t>Sem</t>
  </si>
  <si>
    <t>You tube</t>
  </si>
  <si>
    <t>Elisangela Santana Cabral</t>
  </si>
  <si>
    <t>010.908.131-55</t>
  </si>
  <si>
    <t>elisangela.sc2@gmail.com</t>
  </si>
  <si>
    <t>(63)99241-0537</t>
  </si>
  <si>
    <t>Conhecimento e entendimento de muita coisa que estava em dúvidas. E professores atenciosos e objetivos.</t>
  </si>
  <si>
    <t>Como sou nova no setor d e transporte, para mim quase tudo e novidade, senti a necessidade de mais tempo de formação.</t>
  </si>
  <si>
    <t>LETICIA MARQUES AZEVEDO</t>
  </si>
  <si>
    <t>001.957.831-82</t>
  </si>
  <si>
    <t>leticiazvdo@hotmail.com</t>
  </si>
  <si>
    <t>(64)99217-9257</t>
  </si>
  <si>
    <t>clareza e conteúdo</t>
  </si>
  <si>
    <t>redução de tempo, intercalar com intervalos para ir ao banheiro/tomar água</t>
  </si>
  <si>
    <t>postagens de Instagram</t>
  </si>
  <si>
    <t>Paulo Gomes Silva</t>
  </si>
  <si>
    <t>037.728.231-65</t>
  </si>
  <si>
    <t>Pg2636236@gmail.com</t>
  </si>
  <si>
    <t>(64)99326-4112</t>
  </si>
  <si>
    <t>Todos</t>
  </si>
  <si>
    <t>Tá ótimo</t>
  </si>
  <si>
    <t>Maryele Nunes Menezes</t>
  </si>
  <si>
    <t>033.475.211-61</t>
  </si>
  <si>
    <t>maryelenunes@gmail.com</t>
  </si>
  <si>
    <t>(64)98448-2648</t>
  </si>
  <si>
    <t>QUIRINÓPOLIS</t>
  </si>
  <si>
    <t>Abordagem e didática</t>
  </si>
  <si>
    <t xml:space="preserve">Celeridade 
</t>
  </si>
  <si>
    <t>Parabéns aos profissionais envolvidos, toda equipe que esteve presente no dia 29/04. Obrigada!</t>
  </si>
  <si>
    <t>Maria eduarda de Sales Gouveia Dantas</t>
  </si>
  <si>
    <t>088.166.151-17</t>
  </si>
  <si>
    <t>salesduda369@gmail.com</t>
  </si>
  <si>
    <t>(64)99968-6217</t>
  </si>
  <si>
    <t>MONTIVIDIU</t>
  </si>
  <si>
    <t>A parte da manhã</t>
  </si>
  <si>
    <t>A explicação no pedido da tarde atrasos</t>
  </si>
  <si>
    <t>Neuma Andrade Dos Santos Souza</t>
  </si>
  <si>
    <t>001.370.251-30</t>
  </si>
  <si>
    <t>neuma_mtv@hotmail.com</t>
  </si>
  <si>
    <t>(64)99932-4754</t>
  </si>
  <si>
    <t>Clareza dos formadores e espaço físico</t>
  </si>
  <si>
    <t>Acontecer com mais frequência</t>
  </si>
  <si>
    <t>Distância e tempo para as rotas</t>
  </si>
  <si>
    <t>Sebastião Pereira França</t>
  </si>
  <si>
    <t>213.586.301-78</t>
  </si>
  <si>
    <t>spfranca1@hotmail.com</t>
  </si>
  <si>
    <t>(64)99644-4983</t>
  </si>
  <si>
    <t>Informações sem complicar</t>
  </si>
  <si>
    <t>Material didático impresso</t>
  </si>
  <si>
    <t>Leomar Inácio da Silva</t>
  </si>
  <si>
    <t>698.382.671-04</t>
  </si>
  <si>
    <t>leomarinacio22@hotmail.com</t>
  </si>
  <si>
    <t>(66)99622-5784</t>
  </si>
  <si>
    <t>Sobre sete</t>
  </si>
  <si>
    <t>Mais tempo pra falar sobre sete</t>
  </si>
  <si>
    <t>Lilia Martins dos Anjos Goulart</t>
  </si>
  <si>
    <t>908.818.771-15</t>
  </si>
  <si>
    <t>liliaeeliomar@gmail.com</t>
  </si>
  <si>
    <t>(64)98432-9430</t>
  </si>
  <si>
    <t>AMORINÓPOLIS</t>
  </si>
  <si>
    <t>Boas explicações</t>
  </si>
  <si>
    <t>Menor tempo</t>
  </si>
  <si>
    <t>Elissandra Rodrigues da Silva</t>
  </si>
  <si>
    <t>862.933.541-68</t>
  </si>
  <si>
    <t>elissandrarsm78@gmail.com</t>
  </si>
  <si>
    <t>(64)98421-5787</t>
  </si>
  <si>
    <t>capacitação</t>
  </si>
  <si>
    <t>tempo de duração da capacitação</t>
  </si>
  <si>
    <t>SELMA HELENA MESSIAS SILVA</t>
  </si>
  <si>
    <t>591.051.271-49</t>
  </si>
  <si>
    <t>messiasselmahelena@gmail.com</t>
  </si>
  <si>
    <t>(64)98431-3368</t>
  </si>
  <si>
    <t>CAPACITAÇÃO EM GERAL</t>
  </si>
  <si>
    <t>MAIS INFORMAÇOES</t>
  </si>
  <si>
    <t>Karyne Lourraine Almeida Pádua</t>
  </si>
  <si>
    <t>051.206.131-95</t>
  </si>
  <si>
    <t>karyne.semedcr@gmail.com</t>
  </si>
  <si>
    <t>(67)98220-8179</t>
  </si>
  <si>
    <t>COSTA RICA</t>
  </si>
  <si>
    <t>Didática e conhecimento</t>
  </si>
  <si>
    <t>A forma da aplicação na prática, e informação de melhorias</t>
  </si>
  <si>
    <t>E-mail encaminhado pelo CECATE/CO, Oficio de convocação feito pelo FNDE, Grupos de WhatsApp, Instagram</t>
  </si>
  <si>
    <t>Keily Junior Almeida Nunes</t>
  </si>
  <si>
    <t>977.467.621-15</t>
  </si>
  <si>
    <t>Keily_nunes@hotmail.com</t>
  </si>
  <si>
    <t>(67)99603-1501</t>
  </si>
  <si>
    <t>Teoria e prática</t>
  </si>
  <si>
    <t>Muito boa</t>
  </si>
  <si>
    <t>Vídeos e postagens</t>
  </si>
  <si>
    <t>Parabéns</t>
  </si>
  <si>
    <t>Rosa Hérica Rodrigues Gomes</t>
  </si>
  <si>
    <t>950.481.201-59</t>
  </si>
  <si>
    <t>rosahericarg@hotmail.com</t>
  </si>
  <si>
    <t>(64)99253-8339</t>
  </si>
  <si>
    <t>CASTELÂNDIA</t>
  </si>
  <si>
    <t>Tudo Tudo</t>
  </si>
  <si>
    <t>Nada Nada</t>
  </si>
  <si>
    <t>Rosângela Carvalho de Oliveira Santos</t>
  </si>
  <si>
    <t>089.354.908-81</t>
  </si>
  <si>
    <t>rosangelacarolisa@hotmail.com</t>
  </si>
  <si>
    <t>(66)99903-2946</t>
  </si>
  <si>
    <t>ALTO TAQUARI</t>
  </si>
  <si>
    <t>Da apresentação do sistema SETE e das informações gerais</t>
  </si>
  <si>
    <t>Ter mais momentos presenciais para tirar dúvidas</t>
  </si>
  <si>
    <t>Vídeos de Youtube</t>
  </si>
  <si>
    <t>Ótima capacitação</t>
  </si>
  <si>
    <t>Ricardo Ramire Gonçalves</t>
  </si>
  <si>
    <t>253.826.638-20</t>
  </si>
  <si>
    <t>ricardo49aline43@gmail.com</t>
  </si>
  <si>
    <t>(64)99610-0243</t>
  </si>
  <si>
    <t>ITAJÁ</t>
  </si>
  <si>
    <t>Material audiovisual e metodologia.</t>
  </si>
  <si>
    <t>Local e custeio.</t>
  </si>
  <si>
    <t>Iraneide Maria de Morais Silveira</t>
  </si>
  <si>
    <t>597.611.801-15</t>
  </si>
  <si>
    <t>Iraneidemms@outlook.com</t>
  </si>
  <si>
    <t>(64)99976-5379</t>
  </si>
  <si>
    <t>CACHOEIRA ALTA</t>
  </si>
  <si>
    <t>Sete e cacs/Fundeb</t>
  </si>
  <si>
    <t>Local</t>
  </si>
  <si>
    <t>VANEA Martins de Carvalho</t>
  </si>
  <si>
    <t>409.576.161-04</t>
  </si>
  <si>
    <t>seceducacaoriodoce@hotmail.com</t>
  </si>
  <si>
    <t>(64)99259-8515</t>
  </si>
  <si>
    <t>APARECIDA DO RIO DOCE</t>
  </si>
  <si>
    <t>Prática</t>
  </si>
  <si>
    <t>Reunião online</t>
  </si>
  <si>
    <t>Meire Helrigle Goulart e Carvalho</t>
  </si>
  <si>
    <t>347.109.141-68</t>
  </si>
  <si>
    <t>helrigle@gmail.com</t>
  </si>
  <si>
    <t>(64)99626-7735</t>
  </si>
  <si>
    <t>CAIAPÔNIA</t>
  </si>
  <si>
    <t>Clareza nas informações e oportunidades de perguntas e ter as respostas satisfatórias</t>
  </si>
  <si>
    <t>Nada a reclamar 
Pois, local confortável professores abertos ao diálogo</t>
  </si>
  <si>
    <t>Vídeos YouTube</t>
  </si>
  <si>
    <t>Oferecer mais capacitação via on-line</t>
  </si>
  <si>
    <t>Estudo do SETE</t>
  </si>
  <si>
    <t>Mais capacitação</t>
  </si>
  <si>
    <t>Luiz Henrique de Barros</t>
  </si>
  <si>
    <t>305.957.329-01</t>
  </si>
  <si>
    <t>luizcfn@hotmail.com</t>
  </si>
  <si>
    <t>(64)99211-5833</t>
  </si>
  <si>
    <t>ITARUMÃ</t>
  </si>
  <si>
    <t>Dinâmica, Objetiva</t>
  </si>
  <si>
    <t>Frequência,</t>
  </si>
  <si>
    <t>Webina</t>
  </si>
  <si>
    <t>Façam formações todo ano assim como o Cecane faz</t>
  </si>
  <si>
    <t>Thaissa Oliveira Pereira</t>
  </si>
  <si>
    <t>005.670.581-66</t>
  </si>
  <si>
    <t>thaissa012@gmail.com</t>
  </si>
  <si>
    <t>(64)99205-5234</t>
  </si>
  <si>
    <t>Boa explicação e assuntos importantes</t>
  </si>
  <si>
    <t>Horário</t>
  </si>
  <si>
    <t>Matheus Vinícius Vieira Santos</t>
  </si>
  <si>
    <t>041.321.081-20</t>
  </si>
  <si>
    <t>matheusviniciusvieira@hotmail.com</t>
  </si>
  <si>
    <t>(64)98133-1281</t>
  </si>
  <si>
    <t>As orientações repassadas</t>
  </si>
  <si>
    <t>No momento não vejo, pois, os professores orientaram muito bem</t>
  </si>
  <si>
    <t>Maria Heloiza da Silva</t>
  </si>
  <si>
    <t>514.927.171-34</t>
  </si>
  <si>
    <t>helo.i.s@hotmail.com</t>
  </si>
  <si>
    <t>(64)99298-9945</t>
  </si>
  <si>
    <t>INACIOLÂNDIA</t>
  </si>
  <si>
    <t>Conteúdo e esplanacao</t>
  </si>
  <si>
    <t>Mas tempo</t>
  </si>
  <si>
    <t>FRANZ WILLIANS COIMBRA MARTINS</t>
  </si>
  <si>
    <t>851.073.361-91</t>
  </si>
  <si>
    <t>franzwillians@gmail.com</t>
  </si>
  <si>
    <t>(67)99337-0272</t>
  </si>
  <si>
    <t>CASSILÂNDIA</t>
  </si>
  <si>
    <t>Clareza nas informações e detalhamento de como proceder com a inserção das informações no SETE.</t>
  </si>
  <si>
    <t>Exportar dados com o programa do nosso estado MS.(NEXXUS)</t>
  </si>
  <si>
    <t>Dorvalino Ferreira Barros</t>
  </si>
  <si>
    <t>016.281.851-39</t>
  </si>
  <si>
    <t>dorvalino1987@hotmail.com</t>
  </si>
  <si>
    <t>(64)99907-0479</t>
  </si>
  <si>
    <t>Sistema sete</t>
  </si>
  <si>
    <t>Maria Auxiliadora Nascimento Vilas Boas</t>
  </si>
  <si>
    <t>004.541.661-33</t>
  </si>
  <si>
    <t>auxmary@hotmail.com</t>
  </si>
  <si>
    <t>(64)99966-2829</t>
  </si>
  <si>
    <t>clareza do assunto</t>
  </si>
  <si>
    <t>parte teórica e parte prática no mesmo dia.</t>
  </si>
  <si>
    <t>Webinar, devido a dificuldade de deslocamento</t>
  </si>
  <si>
    <t>Dispinibilizar mais capacitações online para atender espeficidades de cada município ou região.</t>
  </si>
  <si>
    <t>Maria Solange De Moura Leite Juvencio</t>
  </si>
  <si>
    <t>395.189.906-97</t>
  </si>
  <si>
    <t>educacao@castelandia.go.gov.br</t>
  </si>
  <si>
    <t>(64)99259-5961</t>
  </si>
  <si>
    <t>Informações prestação contas, plataforma Sete</t>
  </si>
  <si>
    <t>Foi bom</t>
  </si>
  <si>
    <t>Maicon de Souza</t>
  </si>
  <si>
    <t>010.830.360-84</t>
  </si>
  <si>
    <t>maicon.chakal@hotmail.com</t>
  </si>
  <si>
    <t>(64)99676-3941</t>
  </si>
  <si>
    <t>CHAPADÃO DO CÉU</t>
  </si>
  <si>
    <t xml:space="preserve">Muito bom dinâmico e esclarecedor 
</t>
  </si>
  <si>
    <t>Na minha opinião tá ótimo da forma que tá</t>
  </si>
  <si>
    <t>Romeu Goulart da Silva</t>
  </si>
  <si>
    <t>312.097.501-04</t>
  </si>
  <si>
    <t>romeugoulart@gmail.com</t>
  </si>
  <si>
    <t>(67)98129-2310</t>
  </si>
  <si>
    <t>Professores com boa oratório e discernimento sobre o tema.</t>
  </si>
  <si>
    <t>Não consta</t>
  </si>
  <si>
    <t>E-mail encaminhado pelo CECATE/CO, Grupos de WhatsApp</t>
  </si>
  <si>
    <t>Ok</t>
  </si>
  <si>
    <t>Samoel Márcio da Silva</t>
  </si>
  <si>
    <t>011.951.141-09</t>
  </si>
  <si>
    <t>samoelmarcio211@gmail.com</t>
  </si>
  <si>
    <t>(62)98138-2651</t>
  </si>
  <si>
    <t>Duração e local</t>
  </si>
  <si>
    <t>Certificado bem detalhado sobre os assuntos abordados</t>
  </si>
  <si>
    <t>Secretaria Estadual de Educação;</t>
  </si>
  <si>
    <t>Ótimo</t>
  </si>
  <si>
    <t>RONAN MORAIS DA SILVA</t>
  </si>
  <si>
    <t>307.952.491-87</t>
  </si>
  <si>
    <t>morais_125@hotmail.com</t>
  </si>
  <si>
    <t>(64)99623-3400</t>
  </si>
  <si>
    <t>Clareza nas exposições e divisão nas apresentações</t>
  </si>
  <si>
    <t>ajuda nos preenchimentos do programa senti</t>
  </si>
  <si>
    <t>Enivaldo Alves da Silva</t>
  </si>
  <si>
    <t>547.129.201-49</t>
  </si>
  <si>
    <t>sulabiologo@hotmail.com</t>
  </si>
  <si>
    <t>(62)99613-9086</t>
  </si>
  <si>
    <t>1. A RECEPÇÃO 2. O DOMÍNIO DOS PALESTRANTES</t>
  </si>
  <si>
    <t>1. A PARTE PRÁTICA/OPERACIONALIZAÇÃO DO SISTEMA '</t>
  </si>
  <si>
    <t>SEM SUGESTÕES NO MOMENTO</t>
  </si>
  <si>
    <t>SEM COMENTÁRIOS</t>
  </si>
  <si>
    <t>Rogerio Pereira da Silva</t>
  </si>
  <si>
    <t>815.001.301-68</t>
  </si>
  <si>
    <t>roger.2128@hotmail.com</t>
  </si>
  <si>
    <t>(64)99324-9010</t>
  </si>
  <si>
    <t>GOUVELÂNDIA</t>
  </si>
  <si>
    <t>Os formadores e horários</t>
  </si>
  <si>
    <t>Colocar nas portas as informaçao dos cursos,</t>
  </si>
  <si>
    <t>CECATE (Nordeste, Sudeste ou Centro-Oeste)</t>
  </si>
  <si>
    <t>Estado</t>
  </si>
  <si>
    <t>Polo de Formação</t>
  </si>
  <si>
    <t>Data da formação</t>
  </si>
  <si>
    <t>Ano</t>
  </si>
  <si>
    <t>Participou (Sim ou Não)</t>
  </si>
  <si>
    <t>Nome do participante</t>
  </si>
  <si>
    <t>CPF (XXX.XXX.XXX-XX)</t>
  </si>
  <si>
    <t>E-mail</t>
  </si>
  <si>
    <t>Telefone (XX - XXXXX XXXX)</t>
  </si>
  <si>
    <t>Cargo (CACS, gestor ou outro)</t>
  </si>
  <si>
    <t>Centro Oeste</t>
  </si>
  <si>
    <t>GO</t>
  </si>
  <si>
    <t>SIM</t>
  </si>
  <si>
    <t>NEUMA ANDRADE DOS SANTOS SOUZA</t>
  </si>
  <si>
    <t>MARIA AUXILIADORA NASCIMENTO VILAS BOAS</t>
  </si>
  <si>
    <t>THAISSA OLIVEIRA PEREIRA</t>
  </si>
  <si>
    <t>(65)99205-5234</t>
  </si>
  <si>
    <t>DELMAIR ROSA DE LIMA</t>
  </si>
  <si>
    <t>MAICON DE SOUZA</t>
  </si>
  <si>
    <t>ELISÂNGELA SANTANA CABRAL</t>
  </si>
  <si>
    <t>SAMOEL MÁRCIO DA SILVA</t>
  </si>
  <si>
    <t>DORVALINO FERREIRA BARROS</t>
  </si>
  <si>
    <t>LYNIKER NUNES MARTINS</t>
  </si>
  <si>
    <t>ROGÉRIO GOMES MARTINS</t>
  </si>
  <si>
    <t>JAIRO ANTÔNIO RIBEIRO JÚNIOR</t>
  </si>
  <si>
    <t>MS</t>
  </si>
  <si>
    <t>ALCINÓPOLIS</t>
  </si>
  <si>
    <t>THIERRY FRANÇA PORATO</t>
  </si>
  <si>
    <t>026.709.111-70</t>
  </si>
  <si>
    <t>poratofranca@gmail.com</t>
  </si>
  <si>
    <t>(67)98406-6019</t>
  </si>
  <si>
    <t>GABRIELA GOUVEIA GONÇALVES</t>
  </si>
  <si>
    <t>Gabyamg@icloud.com</t>
  </si>
  <si>
    <t>MARYELE NUNES MENEZES</t>
  </si>
  <si>
    <t>JULIANO APARECIDO PEREIRA DE LIMA</t>
  </si>
  <si>
    <t>035.637.031-32</t>
  </si>
  <si>
    <t>julianouniver1251@hotmail.com</t>
  </si>
  <si>
    <t>(64)99929-0695</t>
  </si>
  <si>
    <t>TÂNIA APARECIDA NASCIMENTO PELISARI</t>
  </si>
  <si>
    <t>PAULO GOMES SILVA</t>
  </si>
  <si>
    <t>pg2636236@gmail.com</t>
  </si>
  <si>
    <t>MT</t>
  </si>
  <si>
    <t>ANA CRISTINA RODRIGUES VIEIRA</t>
  </si>
  <si>
    <t>SIMÃO MARCOS MAGALHÃES TAVARES</t>
  </si>
  <si>
    <t>GABRIEL FRUTUOSO ASSIS MORAES</t>
  </si>
  <si>
    <t>MATHEUS VINÍCIUS VIEIRA SANTOS</t>
  </si>
  <si>
    <t>transporteescolar@cachoeiraalta.go.gov.br</t>
  </si>
  <si>
    <t>KARYNE LOURRAINE ALMEIDA PÁDUA</t>
  </si>
  <si>
    <t>KEROLENY DE PAULA VIEIRA</t>
  </si>
  <si>
    <t>(64)99219-4888</t>
  </si>
  <si>
    <t>NATANIEL MARCARIO FERNANDES</t>
  </si>
  <si>
    <t>JOÃO GUILHERME FERNANDES DE SOUZA</t>
  </si>
  <si>
    <t>ALTO ARAGUAIA</t>
  </si>
  <si>
    <t>THALYA APARECIDA VIANA DA SILVA</t>
  </si>
  <si>
    <t>066.707.531-36</t>
  </si>
  <si>
    <t>Keiko0cmbr@gmail.com</t>
  </si>
  <si>
    <t>(66)99928-8083</t>
  </si>
  <si>
    <t>SANTO ANTÔNIO DA BARRA</t>
  </si>
  <si>
    <t>MATHEUS MELLO</t>
  </si>
  <si>
    <t>067.414.661-18</t>
  </si>
  <si>
    <t>matheusmellopf@gmail.com</t>
  </si>
  <si>
    <t>(64)99322-6749</t>
  </si>
  <si>
    <t>AURO BERNARDINO DE PAULA JUNIOR</t>
  </si>
  <si>
    <t>LAGOA SANTA</t>
  </si>
  <si>
    <t>EDGAR VENUTE MIRANDA</t>
  </si>
  <si>
    <t>070.599.438-46</t>
  </si>
  <si>
    <t>edgarvmiranda49@gmail.com</t>
  </si>
  <si>
    <t>(64)99906-3687</t>
  </si>
  <si>
    <t>MARIA EDUARDA DE SALES GOUVEIA DANTAS</t>
  </si>
  <si>
    <t>(64)99996-6217</t>
  </si>
  <si>
    <t>ROSÂNGELA CARVALHO DE OLIVEIRA SANTOS</t>
  </si>
  <si>
    <t>SEBASTIÃO PEREIRA FRANÇA</t>
  </si>
  <si>
    <t>VERA LÚCIA GONÇALVES DE AMARO</t>
  </si>
  <si>
    <t>RICARDO RAMIRE GONÇALVES</t>
  </si>
  <si>
    <t>253.726.638-20</t>
  </si>
  <si>
    <t>(64)90610-0273</t>
  </si>
  <si>
    <t>LUIZ HENRIQUE DE BARROS</t>
  </si>
  <si>
    <t>305.957.328-01</t>
  </si>
  <si>
    <t>morais _125@hotmail.com</t>
  </si>
  <si>
    <t>ROMEU GOULART DA SILVA</t>
  </si>
  <si>
    <t>MEIRE HELRIGLE GOULART E CARVALHO</t>
  </si>
  <si>
    <t>DAGMARA APARECIDA DOS SANTOS MEDEIROS</t>
  </si>
  <si>
    <t>349.727.238-82</t>
  </si>
  <si>
    <t>maramedeiros01@hotmail.com</t>
  </si>
  <si>
    <t>MARIA SOLANGE DE MOURA LEITE JUVENCIO</t>
  </si>
  <si>
    <t>VANEA MARTINS DE CARVALHO</t>
  </si>
  <si>
    <t>RODRIGO FRANCO</t>
  </si>
  <si>
    <t>BOM JESUS DE GOIÁS</t>
  </si>
  <si>
    <t>CACILDA HELENA BORGES</t>
  </si>
  <si>
    <t>418.241.301-63</t>
  </si>
  <si>
    <t>cacildahborges@hotmail.com</t>
  </si>
  <si>
    <t>(64)99931-2442</t>
  </si>
  <si>
    <t>LÁZARA ANACIBERTE DA SILVA PASSOS</t>
  </si>
  <si>
    <t>JOAO DIAS DE FREITAS</t>
  </si>
  <si>
    <t>437.518.811-15</t>
  </si>
  <si>
    <t>Joaodias.dsm@gmail.com</t>
  </si>
  <si>
    <t>(66)99986-8259</t>
  </si>
  <si>
    <t>CARLOS FERNANDO ARAÚJO SOUZA</t>
  </si>
  <si>
    <t>439.909.166-53</t>
  </si>
  <si>
    <t>cf7719941@gmail.com</t>
  </si>
  <si>
    <t>(64)99260-5507</t>
  </si>
  <si>
    <t>ALTO GARÇAS</t>
  </si>
  <si>
    <t>ROSILENE CEZAR L'ASTORINA</t>
  </si>
  <si>
    <t>458.386.741-72</t>
  </si>
  <si>
    <t>Rosilene_sme@outlook.com</t>
  </si>
  <si>
    <t>(66)99214-1717</t>
  </si>
  <si>
    <t>MARIA DE LOURDES SILVA</t>
  </si>
  <si>
    <t>510.305.351-91</t>
  </si>
  <si>
    <t>mariatt2silva@gmail.com</t>
  </si>
  <si>
    <t>(64)98406-3686</t>
  </si>
  <si>
    <t>JEFFERSON DOUGLAS PASCOALOTO</t>
  </si>
  <si>
    <t>MARIA HELOIZA DA SILVA</t>
  </si>
  <si>
    <t>(64)99298-9045</t>
  </si>
  <si>
    <t>CARLOS CESAR DOS REIS</t>
  </si>
  <si>
    <t>SÃO MIGUEL DO ARAGUAIA</t>
  </si>
  <si>
    <t>ENIVALDO ALVES DA SILVA</t>
  </si>
  <si>
    <t>sulabiologa@hotmail.com</t>
  </si>
  <si>
    <t>(62)99613-9096</t>
  </si>
  <si>
    <t>IRACILDA MARIA NUNES VELUTA ALVES</t>
  </si>
  <si>
    <t>576.372.531-04</t>
  </si>
  <si>
    <t>Iracildaalves@yahoo.com.br</t>
  </si>
  <si>
    <t>(64)98167-9305</t>
  </si>
  <si>
    <t>ALESSANDRA QUEIROZ BARROS FUNES</t>
  </si>
  <si>
    <t>580.756.401-44</t>
  </si>
  <si>
    <t>alesangil@hotmail.com</t>
  </si>
  <si>
    <t>(66)99603-4149</t>
  </si>
  <si>
    <t>messiasselmahelena@hotmail.com</t>
  </si>
  <si>
    <t>MÁRCIA CÂNDIDO DOURADO</t>
  </si>
  <si>
    <t>EDILSON DA SILVA ALARCÃO</t>
  </si>
  <si>
    <t>617.753.201-20</t>
  </si>
  <si>
    <t>billtransporte2025@hotmail.com</t>
  </si>
  <si>
    <t>(64)99947-2552</t>
  </si>
  <si>
    <t>KRISTIANO FREIRE SOBRINHO</t>
  </si>
  <si>
    <t>639.143.011-04</t>
  </si>
  <si>
    <t>kristiano639@gmail.com</t>
  </si>
  <si>
    <t>(64)99986-6359</t>
  </si>
  <si>
    <t>LEOMAR INÁCIO DA SILVA</t>
  </si>
  <si>
    <t>DANIEL DOS SANTOS ANDRADE</t>
  </si>
  <si>
    <t>705.675.331-07</t>
  </si>
  <si>
    <t>danielandrade2699@gmail.com</t>
  </si>
  <si>
    <t>(62)98468-6197</t>
  </si>
  <si>
    <t>MARIA LÚCIA PEREIRA DOS SANTOS</t>
  </si>
  <si>
    <t>ANA PAULA FERREIRA DA SILVA RODRIGUES</t>
  </si>
  <si>
    <t>CLAUDIONOR ARANTE FIGUEIREDO</t>
  </si>
  <si>
    <t>ROSA MARIA DA SILVA PAIÃO</t>
  </si>
  <si>
    <t>806.600.291-20</t>
  </si>
  <si>
    <t>rosinhaeducalg_2015@hotmail.com</t>
  </si>
  <si>
    <t>(64)99969-7159</t>
  </si>
  <si>
    <t>ROGERIO PEREIRA DA SILVA</t>
  </si>
  <si>
    <t>ZILMAR PEREIRA DE OLIVEIRA</t>
  </si>
  <si>
    <t>845.274.551-68</t>
  </si>
  <si>
    <t>zilmarpereira660@gmail.com</t>
  </si>
  <si>
    <t>(62)99683-2085</t>
  </si>
  <si>
    <t>PAULO SÉRGIO BRASIL</t>
  </si>
  <si>
    <t>861.116.989-15</t>
  </si>
  <si>
    <t>paulo_sergio.brasil@hotmail.com</t>
  </si>
  <si>
    <t>(64)99924-8149</t>
  </si>
  <si>
    <t>ELISSANDRA RODRIGUES DA SILVA</t>
  </si>
  <si>
    <t>elissandrarsm@gmail.com</t>
  </si>
  <si>
    <t>EUGÊNIA PEREIRA DOS SANTOS SOUZA</t>
  </si>
  <si>
    <t>ANA LÚCIA PEREIRA MACEDO OLIVEIRA</t>
  </si>
  <si>
    <t>884.849.711-04</t>
  </si>
  <si>
    <t>analuciaamorinopolis@gmail.com</t>
  </si>
  <si>
    <t>(64)98405-5668</t>
  </si>
  <si>
    <t>FABÍOLA DOS SANTOS CARDOSO</t>
  </si>
  <si>
    <t>LILIA MARTINS DOS ANJOS GOULART</t>
  </si>
  <si>
    <t>PATRÍCIA DE SOUSA GUERREIRO</t>
  </si>
  <si>
    <t>MARILAINE BATISTA DE OLIVEIRA</t>
  </si>
  <si>
    <t>ROSA HÉRICA RODRIGUES GOMES</t>
  </si>
  <si>
    <t>gomesrosaherica@gmail.com</t>
  </si>
  <si>
    <t>(64)99252-8339</t>
  </si>
  <si>
    <t>KEILY JUNIOR ALMEIDA NUNES</t>
  </si>
  <si>
    <t>SANDRA RODRIGUES VENANCIO</t>
  </si>
  <si>
    <t>980.610.201-06</t>
  </si>
  <si>
    <t>sandrarodriguesvenancio2013@gmail.com</t>
  </si>
  <si>
    <t>(64)99213-8328</t>
  </si>
  <si>
    <t>APARECIDA DO TABOADO</t>
  </si>
  <si>
    <t>NÃO</t>
  </si>
  <si>
    <t>-</t>
  </si>
  <si>
    <t>ARAGUAINHA</t>
  </si>
  <si>
    <t>ARENÓPOLIS</t>
  </si>
  <si>
    <t>CAÇU</t>
  </si>
  <si>
    <t>CHAPADÃO DO SUL</t>
  </si>
  <si>
    <t>DIORAMA</t>
  </si>
  <si>
    <t>DOVERLÂNDIA</t>
  </si>
  <si>
    <t>IPORÁ</t>
  </si>
  <si>
    <t>PARAÍSO DAS ÁGUAS</t>
  </si>
  <si>
    <t>PARANAIGUARA</t>
  </si>
  <si>
    <t>PIRANHAS</t>
  </si>
  <si>
    <t>PONTE BRANCA</t>
  </si>
  <si>
    <t>PORTEIRÃO</t>
  </si>
  <si>
    <t>PORTELÂNDIA</t>
  </si>
  <si>
    <t>SELVÍRIA</t>
  </si>
  <si>
    <t>TORIXORÉU</t>
  </si>
  <si>
    <t>IRANEIDE MARIA DE MORAIS SILVEIRA</t>
  </si>
  <si>
    <t>Alcinópolis</t>
  </si>
  <si>
    <t>Alto Araguaia</t>
  </si>
  <si>
    <t>Alto Garças</t>
  </si>
  <si>
    <t>Alto Taquari</t>
  </si>
  <si>
    <t>Amorinópolis</t>
  </si>
  <si>
    <t>Aparecida do Rio Doce</t>
  </si>
  <si>
    <t>Aparecida do Taboado</t>
  </si>
  <si>
    <t>Aporé</t>
  </si>
  <si>
    <t>Araguainha</t>
  </si>
  <si>
    <t>Arenópolis</t>
  </si>
  <si>
    <t>Bom Jesus de Goiás</t>
  </si>
  <si>
    <t>Cachoeira Alta</t>
  </si>
  <si>
    <t>Caçu</t>
  </si>
  <si>
    <t>Caiapônia</t>
  </si>
  <si>
    <t>Cassilândia</t>
  </si>
  <si>
    <t>Castelândia</t>
  </si>
  <si>
    <t>Chapadão do Céu</t>
  </si>
  <si>
    <t>Chapadão do Sul</t>
  </si>
  <si>
    <t>Costa Rica</t>
  </si>
  <si>
    <t>Diorama</t>
  </si>
  <si>
    <t>Doverlândia</t>
  </si>
  <si>
    <t>Gouvelândia</t>
  </si>
  <si>
    <t>Inaciolândia</t>
  </si>
  <si>
    <t>Iporá</t>
  </si>
  <si>
    <t>Itajá</t>
  </si>
  <si>
    <t>Itarumã</t>
  </si>
  <si>
    <t>Jataí</t>
  </si>
  <si>
    <t>Lagoa Santa</t>
  </si>
  <si>
    <t>Maurilândia</t>
  </si>
  <si>
    <t>Mineiros</t>
  </si>
  <si>
    <t>Montividiu</t>
  </si>
  <si>
    <t>Palestina de Goiás</t>
  </si>
  <si>
    <t>Paraíso das Águas</t>
  </si>
  <si>
    <t>Paranaíba</t>
  </si>
  <si>
    <t>Paranaiguara</t>
  </si>
  <si>
    <t>Perolândia</t>
  </si>
  <si>
    <t>Piranhas</t>
  </si>
  <si>
    <t>Ponte Branca</t>
  </si>
  <si>
    <t>Porteirão</t>
  </si>
  <si>
    <t>Portelândia</t>
  </si>
  <si>
    <t>Quirinópolis</t>
  </si>
  <si>
    <t>Ribeirãozinho</t>
  </si>
  <si>
    <t>Rio Verde</t>
  </si>
  <si>
    <t>Santa Helena de Goiás</t>
  </si>
  <si>
    <t>Santa Rita do Araguaia</t>
  </si>
  <si>
    <t>Santo Antônio da Barra</t>
  </si>
  <si>
    <t>São Miguel do Araguaia</t>
  </si>
  <si>
    <t>São Simão</t>
  </si>
  <si>
    <t>Selvíria</t>
  </si>
  <si>
    <t>Serranópolis</t>
  </si>
  <si>
    <t>Torixoréu</t>
  </si>
  <si>
    <t>Turvelândia</t>
  </si>
  <si>
    <t>mesmo dia.</t>
  </si>
  <si>
    <t>ajuda programa</t>
  </si>
  <si>
    <t>OPERACIONALIZAÇÃO DO SISTEMA</t>
  </si>
  <si>
    <t>perfeito</t>
  </si>
  <si>
    <t>gostei</t>
  </si>
  <si>
    <t>Nada</t>
  </si>
  <si>
    <t xml:space="preserve"> frequência</t>
  </si>
  <si>
    <t>Tempo, Intervalos</t>
  </si>
  <si>
    <t>ótimo</t>
  </si>
  <si>
    <t>mais tempo</t>
  </si>
  <si>
    <t>Detalhes</t>
  </si>
  <si>
    <t>Microfone</t>
  </si>
  <si>
    <t>nada</t>
  </si>
  <si>
    <t>dinâmica</t>
  </si>
  <si>
    <t>Tempo, dinâmica</t>
  </si>
  <si>
    <t>prática</t>
  </si>
  <si>
    <t>Atrasos</t>
  </si>
  <si>
    <t>Mais momentos</t>
  </si>
  <si>
    <t>Material Impresso</t>
  </si>
  <si>
    <t>Bom</t>
  </si>
  <si>
    <t>On-line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</si>
</sst>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  <diagonal/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442F6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442F65"/>
      </left>
      <right style="medium">
        <color rgb="FFF8F9FA"/>
      </right>
      <top/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/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/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7" fillId="0" borderId="9" xfId="0" applyFont="1" applyBorder="1" applyAlignment="1">
      <alignment wrapText="1"/>
    </xf>
    <xf numFmtId="0" fontId="4" fillId="3" borderId="4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4" fillId="7" borderId="16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9" fontId="7" fillId="0" borderId="0" xfId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center"/>
    </xf>
    <xf numFmtId="0" fontId="16" fillId="9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left" vertical="center" indent="1"/>
    </xf>
    <xf numFmtId="0" fontId="7" fillId="0" borderId="7" xfId="0" applyFont="1" applyBorder="1" applyAlignment="1">
      <alignment wrapText="1"/>
    </xf>
    <xf numFmtId="0" fontId="6" fillId="3" borderId="4" xfId="0" applyFont="1" applyFill="1" applyBorder="1" applyAlignment="1">
      <alignment vertical="center" wrapText="1"/>
    </xf>
    <xf numFmtId="22" fontId="8" fillId="0" borderId="10" xfId="0" applyNumberFormat="1" applyFont="1" applyBorder="1" applyAlignment="1">
      <alignment horizontal="center" vertical="center" wrapText="1"/>
    </xf>
    <xf numFmtId="0" fontId="8" fillId="0" borderId="11" xfId="0" applyFont="1" applyBorder="1" applyAlignment="1">
      <alignment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right" vertical="center" wrapText="1"/>
    </xf>
    <xf numFmtId="0" fontId="7" fillId="0" borderId="11" xfId="0" applyFont="1" applyBorder="1" applyAlignment="1">
      <alignment vertical="center" wrapText="1"/>
    </xf>
    <xf numFmtId="0" fontId="7" fillId="0" borderId="8" xfId="0" applyFont="1" applyBorder="1" applyAlignment="1">
      <alignment vertical="center" wrapText="1"/>
    </xf>
    <xf numFmtId="22" fontId="8" fillId="0" borderId="6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right" vertical="center" wrapText="1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22" fontId="8" fillId="0" borderId="12" xfId="0" applyNumberFormat="1" applyFont="1" applyBorder="1" applyAlignment="1">
      <alignment horizontal="center" vertical="center" wrapText="1"/>
    </xf>
    <xf numFmtId="0" fontId="8" fillId="0" borderId="13" xfId="0" applyFont="1" applyBorder="1" applyAlignment="1">
      <alignment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right" vertical="center" wrapText="1"/>
    </xf>
    <xf numFmtId="0" fontId="7" fillId="0" borderId="13" xfId="0" applyFont="1" applyBorder="1" applyAlignment="1">
      <alignment vertical="center" wrapText="1"/>
    </xf>
    <xf numFmtId="0" fontId="7" fillId="0" borderId="14" xfId="0" applyFont="1" applyBorder="1" applyAlignment="1">
      <alignment vertical="center" wrapText="1"/>
    </xf>
    <xf numFmtId="0" fontId="7" fillId="0" borderId="9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7" fillId="2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0" fillId="0" borderId="0" xfId="0" applyAlignment="1"/>
    <xf numFmtId="22" fontId="0" fillId="0" borderId="0" xfId="0" applyNumberFormat="1" applyAlignment="1"/>
    <xf numFmtId="22" fontId="8" fillId="0" borderId="10" xfId="0" applyNumberFormat="1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right" vertical="center" wrapText="1"/>
    </xf>
    <xf numFmtId="0" fontId="7" fillId="0" borderId="11" xfId="0" applyFont="1" applyFill="1" applyBorder="1" applyAlignment="1">
      <alignment vertical="center" wrapText="1"/>
    </xf>
    <xf numFmtId="0" fontId="7" fillId="0" borderId="8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wrapText="1"/>
    </xf>
    <xf numFmtId="22" fontId="8" fillId="0" borderId="6" xfId="0" applyNumberFormat="1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right" vertical="center" wrapText="1"/>
    </xf>
    <xf numFmtId="0" fontId="7" fillId="0" borderId="7" xfId="0" applyFont="1" applyFill="1" applyBorder="1" applyAlignment="1">
      <alignment vertical="center" wrapText="1"/>
    </xf>
    <xf numFmtId="0" fontId="8" fillId="0" borderId="8" xfId="0" applyFont="1" applyFill="1" applyBorder="1" applyAlignment="1">
      <alignment vertical="center" wrapText="1"/>
    </xf>
    <xf numFmtId="22" fontId="8" fillId="0" borderId="17" xfId="0" applyNumberFormat="1" applyFont="1" applyBorder="1" applyAlignment="1">
      <alignment horizontal="center" vertical="center" wrapText="1"/>
    </xf>
    <xf numFmtId="0" fontId="8" fillId="0" borderId="18" xfId="0" applyFont="1" applyBorder="1" applyAlignment="1">
      <alignment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right" vertical="center" wrapText="1"/>
    </xf>
    <xf numFmtId="0" fontId="7" fillId="0" borderId="18" xfId="0" applyFont="1" applyBorder="1" applyAlignment="1">
      <alignment vertical="center" wrapText="1"/>
    </xf>
    <xf numFmtId="0" fontId="7" fillId="0" borderId="19" xfId="0" applyFont="1" applyBorder="1" applyAlignment="1">
      <alignment vertical="center" wrapText="1"/>
    </xf>
    <xf numFmtId="0" fontId="7" fillId="0" borderId="20" xfId="0" applyFont="1" applyBorder="1" applyAlignment="1">
      <alignment wrapText="1"/>
    </xf>
    <xf numFmtId="22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right"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wrapText="1"/>
    </xf>
    <xf numFmtId="22" fontId="8" fillId="0" borderId="0" xfId="0" applyNumberFormat="1" applyFont="1" applyBorder="1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right" vertical="center" wrapText="1"/>
    </xf>
    <xf numFmtId="0" fontId="7" fillId="0" borderId="0" xfId="0" applyFont="1" applyBorder="1" applyAlignment="1">
      <alignment vertical="center" wrapText="1"/>
    </xf>
    <xf numFmtId="0" fontId="7" fillId="0" borderId="11" xfId="0" applyFont="1" applyFill="1" applyBorder="1" applyAlignment="1">
      <alignment wrapText="1"/>
    </xf>
    <xf numFmtId="0" fontId="7" fillId="0" borderId="7" xfId="0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8" fillId="0" borderId="9" xfId="0" applyFont="1" applyBorder="1" applyAlignment="1">
      <alignment vertical="center" wrapText="1"/>
    </xf>
    <xf numFmtId="0" fontId="7" fillId="0" borderId="8" xfId="0" applyFont="1" applyFill="1" applyBorder="1" applyAlignment="1">
      <alignment wrapText="1"/>
    </xf>
    <xf numFmtId="0" fontId="7" fillId="0" borderId="9" xfId="0" applyFont="1" applyBorder="1" applyAlignment="1">
      <alignment vertical="center" wrapText="1"/>
    </xf>
    <xf numFmtId="0" fontId="7" fillId="0" borderId="8" xfId="0" applyFont="1" applyBorder="1" applyAlignment="1">
      <alignment wrapText="1"/>
    </xf>
    <xf numFmtId="0" fontId="14" fillId="11" borderId="2" xfId="0" applyFont="1" applyFill="1" applyBorder="1" applyAlignment="1">
      <alignment horizontal="center" vertical="center"/>
    </xf>
    <xf numFmtId="0" fontId="14" fillId="11" borderId="2" xfId="0" applyFont="1" applyFill="1" applyBorder="1" applyAlignment="1">
      <alignment horizontal="left" vertical="center" indent="1"/>
    </xf>
    <xf numFmtId="0" fontId="2" fillId="11" borderId="2" xfId="0" applyFont="1" applyFill="1" applyBorder="1" applyAlignment="1">
      <alignment vertical="center" wrapText="1"/>
    </xf>
    <xf numFmtId="9" fontId="7" fillId="2" borderId="0" xfId="1" applyFont="1" applyFill="1" applyAlignment="1">
      <alignment horizontal="center"/>
    </xf>
    <xf numFmtId="164" fontId="7" fillId="2" borderId="0" xfId="1" applyNumberFormat="1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1.6666666666666666E-2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510-8F42-35154F25B43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510-8F42-35154F25B43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0</c:v>
                </c:pt>
                <c:pt idx="1">
                  <c:v>6.6666666666666666E-2</c:v>
                </c:pt>
                <c:pt idx="2">
                  <c:v>6.6666666666666666E-2</c:v>
                </c:pt>
                <c:pt idx="3">
                  <c:v>6.6666666666666666E-2</c:v>
                </c:pt>
                <c:pt idx="4">
                  <c:v>3.3333333333333333E-2</c:v>
                </c:pt>
                <c:pt idx="5">
                  <c:v>8.3333333333333329E-2</c:v>
                </c:pt>
                <c:pt idx="6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510-8F42-35154F25B43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0.23333333333333334</c:v>
                </c:pt>
                <c:pt idx="1">
                  <c:v>0.26666666666666666</c:v>
                </c:pt>
                <c:pt idx="2">
                  <c:v>0.15</c:v>
                </c:pt>
                <c:pt idx="3">
                  <c:v>0.25</c:v>
                </c:pt>
                <c:pt idx="4">
                  <c:v>0.3</c:v>
                </c:pt>
                <c:pt idx="5">
                  <c:v>0.26666666666666666</c:v>
                </c:pt>
                <c:pt idx="6">
                  <c:v>0.18333333333333332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510-8F42-35154F25B43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0.76666666666666672</c:v>
                </c:pt>
                <c:pt idx="1">
                  <c:v>0.65</c:v>
                </c:pt>
                <c:pt idx="2">
                  <c:v>0.78333333333333333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0.6166666666666667</c:v>
                </c:pt>
                <c:pt idx="6">
                  <c:v>0.78333333333333333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510-8F42-35154F2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0</c:v>
                </c:pt>
                <c:pt idx="1">
                  <c:v>9.0909090909090912E-2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0.18181818181818182</c:v>
                </c:pt>
                <c:pt idx="1">
                  <c:v>0.27272727272727271</c:v>
                </c:pt>
                <c:pt idx="2">
                  <c:v>0.27272727272727271</c:v>
                </c:pt>
                <c:pt idx="3">
                  <c:v>0.18181818181818182</c:v>
                </c:pt>
                <c:pt idx="4">
                  <c:v>0.27272727272727271</c:v>
                </c:pt>
                <c:pt idx="5">
                  <c:v>0.27272727272727271</c:v>
                </c:pt>
                <c:pt idx="6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0.81818181818181823</c:v>
                </c:pt>
                <c:pt idx="1">
                  <c:v>0.63636363636363635</c:v>
                </c:pt>
                <c:pt idx="2">
                  <c:v>0.72727272727272729</c:v>
                </c:pt>
                <c:pt idx="3">
                  <c:v>0.81818181818181823</c:v>
                </c:pt>
                <c:pt idx="4">
                  <c:v>0.72727272727272729</c:v>
                </c:pt>
                <c:pt idx="5">
                  <c:v>0.72727272727272729</c:v>
                </c:pt>
                <c:pt idx="6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2.3255813953488372E-2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6-4242-BC4D-4640E2418CAA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2.3255813953488372E-2</c:v>
                </c:pt>
                <c:pt idx="2">
                  <c:v>0</c:v>
                </c:pt>
                <c:pt idx="3">
                  <c:v>2.3255813953488372E-2</c:v>
                </c:pt>
                <c:pt idx="4">
                  <c:v>0</c:v>
                </c:pt>
                <c:pt idx="5">
                  <c:v>2.3255813953488372E-2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6-4242-BC4D-4640E2418CAA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0</c:v>
                </c:pt>
                <c:pt idx="1">
                  <c:v>6.9767441860465115E-2</c:v>
                </c:pt>
                <c:pt idx="2">
                  <c:v>9.3023255813953487E-2</c:v>
                </c:pt>
                <c:pt idx="3">
                  <c:v>9.3023255813953487E-2</c:v>
                </c:pt>
                <c:pt idx="4">
                  <c:v>4.6511627906976744E-2</c:v>
                </c:pt>
                <c:pt idx="5">
                  <c:v>0.11627906976744186</c:v>
                </c:pt>
                <c:pt idx="6">
                  <c:v>4.6511627906976744E-2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16-4242-BC4D-4640E2418CAA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0.2558139534883721</c:v>
                </c:pt>
                <c:pt idx="1">
                  <c:v>0.27906976744186046</c:v>
                </c:pt>
                <c:pt idx="2">
                  <c:v>0.11627906976744186</c:v>
                </c:pt>
                <c:pt idx="3">
                  <c:v>0.2558139534883721</c:v>
                </c:pt>
                <c:pt idx="4">
                  <c:v>0.32558139534883723</c:v>
                </c:pt>
                <c:pt idx="5">
                  <c:v>0.2558139534883721</c:v>
                </c:pt>
                <c:pt idx="6">
                  <c:v>0.20930232558139536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16-4242-BC4D-4640E2418CAA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0.7441860465116279</c:v>
                </c:pt>
                <c:pt idx="1">
                  <c:v>0.62790697674418605</c:v>
                </c:pt>
                <c:pt idx="2">
                  <c:v>0.79069767441860461</c:v>
                </c:pt>
                <c:pt idx="3">
                  <c:v>0.62790697674418605</c:v>
                </c:pt>
                <c:pt idx="4">
                  <c:v>0.62790697674418605</c:v>
                </c:pt>
                <c:pt idx="5">
                  <c:v>0.58139534883720934</c:v>
                </c:pt>
                <c:pt idx="6">
                  <c:v>0.7441860465116279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16-4242-BC4D-4640E241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'!$F$71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'!$E$72:$E$73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'!$F$72:$F$73</c:f>
              <c:numCache>
                <c:formatCode>General</c:formatCode>
                <c:ptCount val="2"/>
                <c:pt idx="0">
                  <c:v>11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'!$G$63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'!$E$72:$E$73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'!$G$64:$G$65</c:f>
              <c:numCache>
                <c:formatCode>General</c:formatCode>
                <c:ptCount val="2"/>
                <c:pt idx="0">
                  <c:v>11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0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219940</xdr:colOff>
      <xdr:row>2</xdr:row>
      <xdr:rowOff>9525</xdr:rowOff>
    </xdr:from>
    <xdr:to>
      <xdr:col>30</xdr:col>
      <xdr:colOff>120360</xdr:colOff>
      <xdr:row>13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195C50-D8D4-336A-2C67-3F3ACACA2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14</xdr:row>
      <xdr:rowOff>0</xdr:rowOff>
    </xdr:from>
    <xdr:to>
      <xdr:col>18</xdr:col>
      <xdr:colOff>575829</xdr:colOff>
      <xdr:row>25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77BFC5-3938-468A-84DF-53DFED50E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68</xdr:row>
      <xdr:rowOff>23812</xdr:rowOff>
    </xdr:from>
    <xdr:to>
      <xdr:col>12</xdr:col>
      <xdr:colOff>590550</xdr:colOff>
      <xdr:row>78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7DF-EF9E-4858-AD71-0FCD3EC5D8E6}">
  <dimension ref="A1:U62"/>
  <sheetViews>
    <sheetView topLeftCell="H43" workbookViewId="0">
      <selection activeCell="A2" sqref="A2:U62"/>
    </sheetView>
  </sheetViews>
  <sheetFormatPr defaultRowHeight="19.5" x14ac:dyDescent="0.4"/>
  <cols>
    <col min="1" max="1" width="19" style="75" bestFit="1" customWidth="1"/>
    <col min="2" max="2" width="36" style="75" bestFit="1" customWidth="1"/>
    <col min="3" max="3" width="13.625" style="75" bestFit="1" customWidth="1"/>
    <col min="4" max="4" width="39.875" style="75" bestFit="1" customWidth="1"/>
    <col min="5" max="5" width="26.25" style="75" bestFit="1" customWidth="1"/>
    <col min="6" max="6" width="27" style="75" bestFit="1" customWidth="1"/>
    <col min="7" max="7" width="15.875" style="75" bestFit="1" customWidth="1"/>
    <col min="8" max="8" width="59.25" style="75" bestFit="1" customWidth="1"/>
    <col min="9" max="9" width="61" style="75" bestFit="1" customWidth="1"/>
    <col min="10" max="10" width="67.125" style="75" bestFit="1" customWidth="1"/>
    <col min="11" max="11" width="69.875" style="75" bestFit="1" customWidth="1"/>
    <col min="12" max="12" width="67.625" style="75" bestFit="1" customWidth="1"/>
    <col min="13" max="13" width="70.25" style="75" bestFit="1" customWidth="1"/>
    <col min="14" max="14" width="77" style="75" bestFit="1" customWidth="1"/>
    <col min="15" max="15" width="105.375" style="75" bestFit="1" customWidth="1"/>
    <col min="16" max="16" width="130.5" style="75" bestFit="1" customWidth="1"/>
    <col min="17" max="17" width="29" style="75" bestFit="1" customWidth="1"/>
    <col min="18" max="18" width="28.375" style="75" bestFit="1" customWidth="1"/>
    <col min="19" max="19" width="88.375" style="75" bestFit="1" customWidth="1"/>
    <col min="20" max="20" width="95.75" style="75" bestFit="1" customWidth="1"/>
    <col min="21" max="21" width="90.5" style="75" bestFit="1" customWidth="1"/>
    <col min="22" max="16384" width="9" style="75"/>
  </cols>
  <sheetData>
    <row r="1" spans="1:21" x14ac:dyDescent="0.4">
      <c r="A1" s="75" t="s">
        <v>0</v>
      </c>
      <c r="B1" s="75" t="s">
        <v>9</v>
      </c>
      <c r="C1" s="75" t="s">
        <v>10</v>
      </c>
      <c r="D1" s="75" t="s">
        <v>11</v>
      </c>
      <c r="E1" s="75" t="s">
        <v>57</v>
      </c>
      <c r="F1" s="75" t="s">
        <v>12</v>
      </c>
      <c r="G1" s="75" t="s">
        <v>13</v>
      </c>
      <c r="H1" s="75" t="s">
        <v>14</v>
      </c>
      <c r="I1" s="75" t="s">
        <v>15</v>
      </c>
      <c r="J1" s="75" t="s">
        <v>16</v>
      </c>
      <c r="K1" s="75" t="s">
        <v>17</v>
      </c>
      <c r="L1" s="75" t="s">
        <v>18</v>
      </c>
      <c r="M1" s="75" t="s">
        <v>19</v>
      </c>
      <c r="N1" s="75" t="s">
        <v>20</v>
      </c>
      <c r="O1" s="75" t="s">
        <v>21</v>
      </c>
      <c r="P1" s="75" t="s">
        <v>22</v>
      </c>
      <c r="Q1" s="75" t="s">
        <v>23</v>
      </c>
      <c r="R1" s="75" t="s">
        <v>24</v>
      </c>
      <c r="S1" s="75" t="s">
        <v>58</v>
      </c>
      <c r="T1" s="75" t="s">
        <v>5</v>
      </c>
      <c r="U1" s="75" t="s">
        <v>1</v>
      </c>
    </row>
    <row r="2" spans="1:21" x14ac:dyDescent="0.4">
      <c r="A2" s="76">
        <v>46141.680798611109</v>
      </c>
      <c r="B2" s="75" t="s">
        <v>65</v>
      </c>
      <c r="C2" s="75" t="s">
        <v>66</v>
      </c>
      <c r="D2" s="75" t="s">
        <v>67</v>
      </c>
      <c r="E2" s="75" t="s">
        <v>68</v>
      </c>
      <c r="F2" s="75" t="s">
        <v>69</v>
      </c>
      <c r="G2" s="75" t="s">
        <v>25</v>
      </c>
      <c r="H2" s="75">
        <v>5</v>
      </c>
      <c r="I2" s="75">
        <v>5</v>
      </c>
      <c r="J2" s="75">
        <v>5</v>
      </c>
      <c r="K2" s="75">
        <v>5</v>
      </c>
      <c r="L2" s="75">
        <v>5</v>
      </c>
      <c r="M2" s="75">
        <v>5</v>
      </c>
      <c r="N2" s="75">
        <v>5</v>
      </c>
      <c r="O2" s="75" t="s">
        <v>70</v>
      </c>
      <c r="P2" s="75" t="s">
        <v>71</v>
      </c>
      <c r="Q2" s="75" t="s">
        <v>26</v>
      </c>
      <c r="T2" s="75" t="s">
        <v>29</v>
      </c>
    </row>
    <row r="3" spans="1:21" x14ac:dyDescent="0.4">
      <c r="A3" s="76">
        <v>46141.68141203704</v>
      </c>
      <c r="B3" s="75" t="s">
        <v>72</v>
      </c>
      <c r="C3" s="75" t="s">
        <v>73</v>
      </c>
      <c r="D3" s="75" t="s">
        <v>74</v>
      </c>
      <c r="E3" s="75" t="s">
        <v>75</v>
      </c>
      <c r="F3" s="75" t="s">
        <v>76</v>
      </c>
      <c r="G3" s="75" t="s">
        <v>27</v>
      </c>
      <c r="H3" s="75">
        <v>5</v>
      </c>
      <c r="I3" s="75">
        <v>5</v>
      </c>
      <c r="J3" s="75">
        <v>5</v>
      </c>
      <c r="K3" s="75">
        <v>5</v>
      </c>
      <c r="L3" s="75">
        <v>5</v>
      </c>
      <c r="M3" s="75">
        <v>5</v>
      </c>
      <c r="N3" s="75">
        <v>5</v>
      </c>
      <c r="O3" s="75" t="s">
        <v>77</v>
      </c>
      <c r="P3" s="75" t="s">
        <v>78</v>
      </c>
      <c r="Q3" s="75" t="s">
        <v>28</v>
      </c>
      <c r="T3" s="75" t="s">
        <v>54</v>
      </c>
    </row>
    <row r="4" spans="1:21" x14ac:dyDescent="0.4">
      <c r="A4" s="76">
        <v>46141.682037037041</v>
      </c>
      <c r="B4" s="75" t="s">
        <v>79</v>
      </c>
      <c r="C4" s="75" t="s">
        <v>80</v>
      </c>
      <c r="D4" s="75" t="s">
        <v>81</v>
      </c>
      <c r="E4" s="75" t="s">
        <v>82</v>
      </c>
      <c r="F4" s="75" t="s">
        <v>83</v>
      </c>
      <c r="G4" s="75" t="s">
        <v>25</v>
      </c>
      <c r="H4" s="75">
        <v>4</v>
      </c>
      <c r="I4" s="75">
        <v>4</v>
      </c>
      <c r="J4" s="75">
        <v>4</v>
      </c>
      <c r="K4" s="75">
        <v>4</v>
      </c>
      <c r="L4" s="75">
        <v>4</v>
      </c>
      <c r="M4" s="75">
        <v>4</v>
      </c>
      <c r="N4" s="75">
        <v>4</v>
      </c>
      <c r="O4" s="75" t="s">
        <v>84</v>
      </c>
      <c r="P4" s="75" t="s">
        <v>85</v>
      </c>
      <c r="Q4" s="75" t="s">
        <v>26</v>
      </c>
      <c r="T4" s="75" t="s">
        <v>29</v>
      </c>
    </row>
    <row r="5" spans="1:21" x14ac:dyDescent="0.4">
      <c r="A5" s="76">
        <v>46141.682152777779</v>
      </c>
      <c r="B5" s="75" t="s">
        <v>86</v>
      </c>
      <c r="C5" s="75" t="s">
        <v>87</v>
      </c>
      <c r="D5" s="75" t="s">
        <v>88</v>
      </c>
      <c r="E5" s="75" t="s">
        <v>89</v>
      </c>
      <c r="F5" s="75" t="s">
        <v>90</v>
      </c>
      <c r="G5" s="75" t="s">
        <v>25</v>
      </c>
      <c r="H5" s="75">
        <v>5</v>
      </c>
      <c r="I5" s="75">
        <v>5</v>
      </c>
      <c r="J5" s="75">
        <v>5</v>
      </c>
      <c r="K5" s="75">
        <v>5</v>
      </c>
      <c r="L5" s="75">
        <v>5</v>
      </c>
      <c r="M5" s="75">
        <v>5</v>
      </c>
      <c r="N5" s="75">
        <v>5</v>
      </c>
      <c r="O5" s="75" t="s">
        <v>91</v>
      </c>
      <c r="P5" s="75" t="s">
        <v>92</v>
      </c>
      <c r="Q5" s="75" t="s">
        <v>28</v>
      </c>
      <c r="S5" s="75" t="s">
        <v>93</v>
      </c>
      <c r="T5" s="75" t="s">
        <v>7</v>
      </c>
      <c r="U5" s="75" t="s">
        <v>94</v>
      </c>
    </row>
    <row r="6" spans="1:21" x14ac:dyDescent="0.4">
      <c r="A6" s="76">
        <v>46141.682256944441</v>
      </c>
      <c r="B6" s="75" t="s">
        <v>95</v>
      </c>
      <c r="C6" s="75" t="s">
        <v>96</v>
      </c>
      <c r="D6" s="75" t="s">
        <v>97</v>
      </c>
      <c r="E6" s="75" t="s">
        <v>98</v>
      </c>
      <c r="F6" s="75" t="s">
        <v>83</v>
      </c>
      <c r="G6" s="75" t="s">
        <v>27</v>
      </c>
      <c r="H6" s="75">
        <v>4</v>
      </c>
      <c r="I6" s="75">
        <v>3</v>
      </c>
      <c r="J6" s="75">
        <v>5</v>
      </c>
      <c r="K6" s="75">
        <v>5</v>
      </c>
      <c r="L6" s="75">
        <v>4</v>
      </c>
      <c r="M6" s="75">
        <v>5</v>
      </c>
      <c r="N6" s="75">
        <v>5</v>
      </c>
      <c r="O6" s="75" t="s">
        <v>99</v>
      </c>
      <c r="P6" s="75" t="s">
        <v>100</v>
      </c>
      <c r="Q6" s="75" t="s">
        <v>28</v>
      </c>
      <c r="T6" s="75" t="s">
        <v>29</v>
      </c>
    </row>
    <row r="7" spans="1:21" x14ac:dyDescent="0.4">
      <c r="A7" s="76">
        <v>46141.683055555557</v>
      </c>
      <c r="B7" s="75" t="s">
        <v>101</v>
      </c>
      <c r="C7" s="75" t="s">
        <v>102</v>
      </c>
      <c r="D7" s="75" t="s">
        <v>103</v>
      </c>
      <c r="E7" s="75" t="s">
        <v>104</v>
      </c>
      <c r="F7" s="75" t="s">
        <v>105</v>
      </c>
      <c r="G7" s="75" t="s">
        <v>27</v>
      </c>
      <c r="H7" s="75">
        <v>5</v>
      </c>
      <c r="I7" s="75">
        <v>5</v>
      </c>
      <c r="J7" s="75">
        <v>5</v>
      </c>
      <c r="K7" s="75">
        <v>5</v>
      </c>
      <c r="L7" s="75">
        <v>5</v>
      </c>
      <c r="M7" s="75">
        <v>5</v>
      </c>
      <c r="N7" s="75">
        <v>5</v>
      </c>
      <c r="O7" s="75" t="s">
        <v>106</v>
      </c>
      <c r="P7" s="75" t="s">
        <v>107</v>
      </c>
      <c r="Q7" s="75" t="s">
        <v>28</v>
      </c>
      <c r="S7" s="75" t="s">
        <v>108</v>
      </c>
      <c r="T7" s="75" t="s">
        <v>29</v>
      </c>
    </row>
    <row r="8" spans="1:21" x14ac:dyDescent="0.4">
      <c r="A8" s="76">
        <v>46141.683263888888</v>
      </c>
      <c r="B8" s="75" t="s">
        <v>109</v>
      </c>
      <c r="C8" s="75" t="s">
        <v>110</v>
      </c>
      <c r="D8" s="75" t="s">
        <v>111</v>
      </c>
      <c r="E8" s="75" t="s">
        <v>112</v>
      </c>
      <c r="F8" s="75" t="s">
        <v>69</v>
      </c>
      <c r="G8" s="75" t="s">
        <v>25</v>
      </c>
      <c r="H8" s="75">
        <v>5</v>
      </c>
      <c r="I8" s="75">
        <v>5</v>
      </c>
      <c r="J8" s="75">
        <v>5</v>
      </c>
      <c r="K8" s="75">
        <v>5</v>
      </c>
      <c r="L8" s="75">
        <v>5</v>
      </c>
      <c r="M8" s="75">
        <v>5</v>
      </c>
      <c r="N8" s="75">
        <v>5</v>
      </c>
      <c r="O8" s="75" t="s">
        <v>113</v>
      </c>
      <c r="P8" s="75" t="s">
        <v>114</v>
      </c>
      <c r="Q8" s="75" t="s">
        <v>26</v>
      </c>
      <c r="S8" s="75" t="s">
        <v>115</v>
      </c>
      <c r="T8" s="75" t="s">
        <v>29</v>
      </c>
      <c r="U8" s="75" t="s">
        <v>116</v>
      </c>
    </row>
    <row r="9" spans="1:21" x14ac:dyDescent="0.4">
      <c r="A9" s="76">
        <v>46141.695219907408</v>
      </c>
      <c r="B9" s="75" t="s">
        <v>117</v>
      </c>
      <c r="C9" s="75" t="s">
        <v>118</v>
      </c>
      <c r="D9" s="75" t="s">
        <v>119</v>
      </c>
      <c r="E9" s="75" t="s">
        <v>120</v>
      </c>
      <c r="F9" s="75" t="s">
        <v>121</v>
      </c>
      <c r="G9" s="75" t="s">
        <v>27</v>
      </c>
      <c r="H9" s="75">
        <v>5</v>
      </c>
      <c r="I9" s="75">
        <v>4</v>
      </c>
      <c r="J9" s="75">
        <v>3</v>
      </c>
      <c r="K9" s="75">
        <v>4</v>
      </c>
      <c r="L9" s="75">
        <v>5</v>
      </c>
      <c r="M9" s="75">
        <v>4</v>
      </c>
      <c r="N9" s="75">
        <v>5</v>
      </c>
      <c r="O9" s="75" t="s">
        <v>122</v>
      </c>
      <c r="P9" s="75" t="s">
        <v>123</v>
      </c>
      <c r="Q9" s="75" t="s">
        <v>28</v>
      </c>
      <c r="S9" s="75" t="s">
        <v>124</v>
      </c>
      <c r="T9" s="75" t="s">
        <v>29</v>
      </c>
    </row>
    <row r="10" spans="1:21" x14ac:dyDescent="0.4">
      <c r="A10" s="76">
        <v>46141.695555555554</v>
      </c>
      <c r="B10" s="75" t="s">
        <v>125</v>
      </c>
      <c r="C10" s="75" t="s">
        <v>126</v>
      </c>
      <c r="D10" s="75" t="s">
        <v>127</v>
      </c>
      <c r="E10" s="75" t="s">
        <v>128</v>
      </c>
      <c r="F10" s="75" t="s">
        <v>121</v>
      </c>
      <c r="G10" s="75" t="s">
        <v>27</v>
      </c>
      <c r="H10" s="75">
        <v>5</v>
      </c>
      <c r="I10" s="75">
        <v>5</v>
      </c>
      <c r="J10" s="75">
        <v>5</v>
      </c>
      <c r="K10" s="75">
        <v>5</v>
      </c>
      <c r="L10" s="75">
        <v>5</v>
      </c>
      <c r="M10" s="75">
        <v>5</v>
      </c>
      <c r="N10" s="75">
        <v>5</v>
      </c>
      <c r="O10" s="75" t="s">
        <v>129</v>
      </c>
      <c r="P10" s="75" t="s">
        <v>130</v>
      </c>
      <c r="Q10" s="75" t="s">
        <v>28</v>
      </c>
      <c r="T10" s="75" t="s">
        <v>29</v>
      </c>
    </row>
    <row r="11" spans="1:21" x14ac:dyDescent="0.4">
      <c r="A11" s="76">
        <v>46141.696562500001</v>
      </c>
      <c r="B11" s="75" t="s">
        <v>131</v>
      </c>
      <c r="C11" s="75" t="s">
        <v>132</v>
      </c>
      <c r="D11" s="75" t="s">
        <v>133</v>
      </c>
      <c r="E11" s="75" t="s">
        <v>134</v>
      </c>
      <c r="F11" s="75" t="s">
        <v>69</v>
      </c>
      <c r="G11" s="75" t="s">
        <v>27</v>
      </c>
      <c r="H11" s="75">
        <v>4</v>
      </c>
      <c r="I11" s="75">
        <v>4</v>
      </c>
      <c r="J11" s="75">
        <v>5</v>
      </c>
      <c r="K11" s="75">
        <v>5</v>
      </c>
      <c r="L11" s="75">
        <v>3</v>
      </c>
      <c r="M11" s="75">
        <v>4</v>
      </c>
      <c r="N11" s="75">
        <v>4</v>
      </c>
      <c r="O11" s="75" t="s">
        <v>135</v>
      </c>
      <c r="P11" s="75" t="s">
        <v>136</v>
      </c>
      <c r="Q11" s="75" t="s">
        <v>28</v>
      </c>
      <c r="T11" s="75" t="s">
        <v>54</v>
      </c>
    </row>
    <row r="12" spans="1:21" x14ac:dyDescent="0.4">
      <c r="A12" s="76">
        <v>46141.696932870371</v>
      </c>
      <c r="B12" s="75" t="s">
        <v>137</v>
      </c>
      <c r="C12" s="75" t="s">
        <v>138</v>
      </c>
      <c r="D12" s="75" t="s">
        <v>139</v>
      </c>
      <c r="E12" s="75" t="s">
        <v>140</v>
      </c>
      <c r="F12" s="75" t="s">
        <v>141</v>
      </c>
      <c r="G12" s="75" t="s">
        <v>27</v>
      </c>
      <c r="H12" s="75">
        <v>5</v>
      </c>
      <c r="I12" s="75">
        <v>5</v>
      </c>
      <c r="J12" s="75">
        <v>5</v>
      </c>
      <c r="K12" s="75">
        <v>5</v>
      </c>
      <c r="L12" s="75">
        <v>5</v>
      </c>
      <c r="M12" s="75">
        <v>3</v>
      </c>
      <c r="N12" s="75">
        <v>5</v>
      </c>
      <c r="O12" s="75" t="s">
        <v>142</v>
      </c>
      <c r="P12" s="75" t="s">
        <v>92</v>
      </c>
      <c r="Q12" s="75" t="s">
        <v>28</v>
      </c>
      <c r="T12" s="75" t="s">
        <v>7</v>
      </c>
    </row>
    <row r="13" spans="1:21" x14ac:dyDescent="0.4">
      <c r="A13" s="76">
        <v>46141.697199074071</v>
      </c>
      <c r="B13" s="75" t="s">
        <v>143</v>
      </c>
      <c r="C13" s="75" t="s">
        <v>144</v>
      </c>
      <c r="D13" s="75" t="s">
        <v>145</v>
      </c>
      <c r="E13" s="75" t="s">
        <v>146</v>
      </c>
      <c r="F13" s="75" t="s">
        <v>76</v>
      </c>
      <c r="G13" s="75" t="s">
        <v>27</v>
      </c>
      <c r="H13" s="75">
        <v>5</v>
      </c>
      <c r="I13" s="75">
        <v>3</v>
      </c>
      <c r="J13" s="75">
        <v>3</v>
      </c>
      <c r="K13" s="75">
        <v>2</v>
      </c>
      <c r="L13" s="75">
        <v>5</v>
      </c>
      <c r="M13" s="75">
        <v>3</v>
      </c>
      <c r="N13" s="75">
        <v>3</v>
      </c>
      <c r="O13" s="75" t="s">
        <v>147</v>
      </c>
      <c r="P13" s="75" t="s">
        <v>148</v>
      </c>
      <c r="Q13" s="75" t="s">
        <v>28</v>
      </c>
      <c r="S13" s="75" t="s">
        <v>149</v>
      </c>
      <c r="T13" s="75" t="s">
        <v>7</v>
      </c>
    </row>
    <row r="14" spans="1:21" x14ac:dyDescent="0.4">
      <c r="A14" s="76">
        <v>46141.697314814817</v>
      </c>
      <c r="B14" s="75" t="s">
        <v>150</v>
      </c>
      <c r="C14" s="75" t="s">
        <v>151</v>
      </c>
      <c r="D14" s="75" t="s">
        <v>152</v>
      </c>
      <c r="E14" s="75" t="s">
        <v>153</v>
      </c>
      <c r="F14" s="75" t="s">
        <v>154</v>
      </c>
      <c r="G14" s="75" t="s">
        <v>27</v>
      </c>
      <c r="H14" s="75">
        <v>5</v>
      </c>
      <c r="I14" s="75">
        <v>5</v>
      </c>
      <c r="J14" s="75">
        <v>5</v>
      </c>
      <c r="K14" s="75">
        <v>5</v>
      </c>
      <c r="L14" s="75">
        <v>5</v>
      </c>
      <c r="M14" s="75">
        <v>5</v>
      </c>
      <c r="N14" s="75">
        <v>5</v>
      </c>
      <c r="O14" s="75" t="s">
        <v>155</v>
      </c>
      <c r="P14" s="75" t="s">
        <v>92</v>
      </c>
      <c r="Q14" s="75" t="s">
        <v>156</v>
      </c>
      <c r="S14" s="75" t="s">
        <v>59</v>
      </c>
      <c r="T14" s="75" t="s">
        <v>8</v>
      </c>
      <c r="U14" s="75" t="s">
        <v>157</v>
      </c>
    </row>
    <row r="15" spans="1:21" x14ac:dyDescent="0.4">
      <c r="A15" s="76">
        <v>46141.69740740741</v>
      </c>
      <c r="B15" s="75" t="s">
        <v>158</v>
      </c>
      <c r="C15" s="75" t="s">
        <v>159</v>
      </c>
      <c r="D15" s="75" t="s">
        <v>160</v>
      </c>
      <c r="E15" s="75" t="s">
        <v>161</v>
      </c>
      <c r="F15" s="75" t="s">
        <v>162</v>
      </c>
      <c r="G15" s="75" t="s">
        <v>27</v>
      </c>
      <c r="H15" s="75">
        <v>5</v>
      </c>
      <c r="I15" s="75">
        <v>5</v>
      </c>
      <c r="J15" s="75">
        <v>5</v>
      </c>
      <c r="K15" s="75">
        <v>5</v>
      </c>
      <c r="L15" s="75">
        <v>5</v>
      </c>
      <c r="M15" s="75">
        <v>5</v>
      </c>
      <c r="N15" s="75">
        <v>5</v>
      </c>
      <c r="O15" s="75" t="s">
        <v>163</v>
      </c>
      <c r="P15" s="75" t="s">
        <v>164</v>
      </c>
      <c r="Q15" s="75" t="s">
        <v>28</v>
      </c>
      <c r="S15" s="75" t="s">
        <v>165</v>
      </c>
      <c r="T15" s="75" t="s">
        <v>29</v>
      </c>
      <c r="U15" s="75" t="s">
        <v>164</v>
      </c>
    </row>
    <row r="16" spans="1:21" x14ac:dyDescent="0.4">
      <c r="A16" s="76">
        <v>46141.697511574072</v>
      </c>
      <c r="B16" s="75" t="s">
        <v>166</v>
      </c>
      <c r="C16" s="75" t="s">
        <v>167</v>
      </c>
      <c r="D16" s="75" t="s">
        <v>168</v>
      </c>
      <c r="E16" s="75" t="s">
        <v>169</v>
      </c>
      <c r="F16" s="75" t="s">
        <v>170</v>
      </c>
      <c r="G16" s="75" t="s">
        <v>27</v>
      </c>
      <c r="H16" s="75">
        <v>5</v>
      </c>
      <c r="I16" s="75">
        <v>5</v>
      </c>
      <c r="J16" s="75">
        <v>5</v>
      </c>
      <c r="K16" s="75">
        <v>4</v>
      </c>
      <c r="L16" s="75">
        <v>5</v>
      </c>
      <c r="M16" s="75">
        <v>4</v>
      </c>
      <c r="N16" s="75">
        <v>5</v>
      </c>
      <c r="O16" s="75" t="s">
        <v>171</v>
      </c>
      <c r="P16" s="75" t="s">
        <v>172</v>
      </c>
      <c r="Q16" s="75" t="s">
        <v>28</v>
      </c>
      <c r="S16" s="75" t="s">
        <v>173</v>
      </c>
      <c r="T16" s="75" t="s">
        <v>8</v>
      </c>
    </row>
    <row r="17" spans="1:21" x14ac:dyDescent="0.4">
      <c r="A17" s="76">
        <v>46141.697685185187</v>
      </c>
      <c r="B17" s="75" t="s">
        <v>174</v>
      </c>
      <c r="C17" s="75" t="s">
        <v>175</v>
      </c>
      <c r="D17" s="75" t="s">
        <v>176</v>
      </c>
      <c r="E17" s="75" t="s">
        <v>177</v>
      </c>
      <c r="F17" s="75" t="s">
        <v>105</v>
      </c>
      <c r="G17" s="75" t="s">
        <v>27</v>
      </c>
      <c r="H17" s="75">
        <v>5</v>
      </c>
      <c r="I17" s="75">
        <v>5</v>
      </c>
      <c r="J17" s="75">
        <v>5</v>
      </c>
      <c r="K17" s="75">
        <v>5</v>
      </c>
      <c r="L17" s="75">
        <v>5</v>
      </c>
      <c r="M17" s="75">
        <v>5</v>
      </c>
      <c r="N17" s="75">
        <v>5</v>
      </c>
      <c r="O17" s="75" t="s">
        <v>178</v>
      </c>
      <c r="P17" s="75" t="s">
        <v>179</v>
      </c>
      <c r="Q17" s="75" t="s">
        <v>28</v>
      </c>
      <c r="S17" s="75" t="s">
        <v>180</v>
      </c>
      <c r="T17" s="75" t="s">
        <v>29</v>
      </c>
    </row>
    <row r="18" spans="1:21" x14ac:dyDescent="0.4">
      <c r="A18" s="76">
        <v>46141.697847222225</v>
      </c>
      <c r="B18" s="75" t="s">
        <v>181</v>
      </c>
      <c r="C18" s="75" t="s">
        <v>182</v>
      </c>
      <c r="D18" s="75" t="s">
        <v>183</v>
      </c>
      <c r="E18" s="75" t="s">
        <v>184</v>
      </c>
      <c r="F18" s="75" t="s">
        <v>105</v>
      </c>
      <c r="G18" s="75" t="s">
        <v>27</v>
      </c>
      <c r="H18" s="75">
        <v>5</v>
      </c>
      <c r="I18" s="75">
        <v>5</v>
      </c>
      <c r="J18" s="75">
        <v>5</v>
      </c>
      <c r="K18" s="75">
        <v>4</v>
      </c>
      <c r="L18" s="75">
        <v>4</v>
      </c>
      <c r="M18" s="75">
        <v>5</v>
      </c>
      <c r="N18" s="75">
        <v>5</v>
      </c>
      <c r="O18" s="75" t="s">
        <v>185</v>
      </c>
      <c r="P18" s="75" t="s">
        <v>186</v>
      </c>
      <c r="Q18" s="75" t="s">
        <v>28</v>
      </c>
      <c r="S18" s="75" t="s">
        <v>187</v>
      </c>
      <c r="T18" s="75" t="s">
        <v>29</v>
      </c>
    </row>
    <row r="19" spans="1:21" x14ac:dyDescent="0.4">
      <c r="A19" s="76">
        <v>46141.697916666664</v>
      </c>
      <c r="B19" s="75" t="s">
        <v>188</v>
      </c>
      <c r="C19" s="75" t="s">
        <v>189</v>
      </c>
      <c r="D19" s="75" t="s">
        <v>190</v>
      </c>
      <c r="E19" s="75" t="s">
        <v>191</v>
      </c>
      <c r="F19" s="75" t="s">
        <v>76</v>
      </c>
      <c r="G19" s="75" t="s">
        <v>27</v>
      </c>
      <c r="H19" s="75">
        <v>5</v>
      </c>
      <c r="I19" s="75">
        <v>5</v>
      </c>
      <c r="J19" s="75">
        <v>5</v>
      </c>
      <c r="K19" s="75">
        <v>5</v>
      </c>
      <c r="L19" s="75">
        <v>5</v>
      </c>
      <c r="M19" s="75">
        <v>5</v>
      </c>
      <c r="N19" s="75">
        <v>5</v>
      </c>
      <c r="O19" s="75" t="s">
        <v>192</v>
      </c>
      <c r="P19" s="75" t="s">
        <v>193</v>
      </c>
      <c r="Q19" s="75" t="s">
        <v>28</v>
      </c>
      <c r="T19" s="75" t="s">
        <v>7</v>
      </c>
      <c r="U19" s="75" t="s">
        <v>193</v>
      </c>
    </row>
    <row r="20" spans="1:21" x14ac:dyDescent="0.4">
      <c r="A20" s="76">
        <v>46141.697962962964</v>
      </c>
      <c r="B20" s="75" t="s">
        <v>194</v>
      </c>
      <c r="C20" s="75" t="s">
        <v>195</v>
      </c>
      <c r="D20" s="75" t="s">
        <v>196</v>
      </c>
      <c r="E20" s="75" t="s">
        <v>197</v>
      </c>
      <c r="F20" s="75" t="s">
        <v>154</v>
      </c>
      <c r="G20" s="75" t="s">
        <v>27</v>
      </c>
      <c r="H20" s="75">
        <v>5</v>
      </c>
      <c r="I20" s="75">
        <v>5</v>
      </c>
      <c r="J20" s="75">
        <v>5</v>
      </c>
      <c r="K20" s="75">
        <v>4</v>
      </c>
      <c r="L20" s="75">
        <v>5</v>
      </c>
      <c r="M20" s="75">
        <v>4</v>
      </c>
      <c r="N20" s="75">
        <v>5</v>
      </c>
      <c r="O20" s="75" t="s">
        <v>198</v>
      </c>
      <c r="P20" s="75" t="s">
        <v>199</v>
      </c>
      <c r="Q20" s="75" t="s">
        <v>28</v>
      </c>
      <c r="S20" s="75" t="s">
        <v>200</v>
      </c>
      <c r="T20" s="75" t="s">
        <v>7</v>
      </c>
      <c r="U20" s="75" t="s">
        <v>201</v>
      </c>
    </row>
    <row r="21" spans="1:21" x14ac:dyDescent="0.4">
      <c r="A21" s="76">
        <v>46141.698298611111</v>
      </c>
      <c r="B21" s="75" t="s">
        <v>202</v>
      </c>
      <c r="C21" s="75" t="s">
        <v>203</v>
      </c>
      <c r="D21" s="75" t="s">
        <v>204</v>
      </c>
      <c r="E21" s="75" t="s">
        <v>205</v>
      </c>
      <c r="F21" s="75" t="s">
        <v>206</v>
      </c>
      <c r="G21" s="75" t="s">
        <v>27</v>
      </c>
      <c r="H21" s="75">
        <v>4</v>
      </c>
      <c r="I21" s="75">
        <v>4</v>
      </c>
      <c r="J21" s="75">
        <v>4</v>
      </c>
      <c r="K21" s="75">
        <v>4</v>
      </c>
      <c r="L21" s="75">
        <v>4</v>
      </c>
      <c r="M21" s="75">
        <v>4</v>
      </c>
      <c r="N21" s="75">
        <v>5</v>
      </c>
      <c r="O21" s="75" t="s">
        <v>56</v>
      </c>
      <c r="P21" s="75" t="s">
        <v>207</v>
      </c>
      <c r="Q21" s="75" t="s">
        <v>28</v>
      </c>
      <c r="S21" s="75" t="s">
        <v>62</v>
      </c>
      <c r="T21" s="75" t="s">
        <v>29</v>
      </c>
    </row>
    <row r="22" spans="1:21" x14ac:dyDescent="0.4">
      <c r="A22" s="76">
        <v>46141.698321759257</v>
      </c>
      <c r="B22" s="75" t="s">
        <v>208</v>
      </c>
      <c r="C22" s="75" t="s">
        <v>209</v>
      </c>
      <c r="D22" s="75" t="s">
        <v>210</v>
      </c>
      <c r="E22" s="75" t="s">
        <v>211</v>
      </c>
      <c r="F22" s="75" t="s">
        <v>69</v>
      </c>
      <c r="G22" s="75" t="s">
        <v>27</v>
      </c>
      <c r="H22" s="75">
        <v>5</v>
      </c>
      <c r="I22" s="75">
        <v>4</v>
      </c>
      <c r="J22" s="75">
        <v>5</v>
      </c>
      <c r="K22" s="75">
        <v>4</v>
      </c>
      <c r="L22" s="75">
        <v>4</v>
      </c>
      <c r="M22" s="75">
        <v>4</v>
      </c>
      <c r="N22" s="75">
        <v>5</v>
      </c>
      <c r="O22" s="75" t="s">
        <v>212</v>
      </c>
      <c r="P22" s="75" t="s">
        <v>213</v>
      </c>
      <c r="Q22" s="75" t="s">
        <v>28</v>
      </c>
      <c r="T22" s="75" t="s">
        <v>8</v>
      </c>
    </row>
    <row r="23" spans="1:21" x14ac:dyDescent="0.4">
      <c r="A23" s="76">
        <v>46141.698506944442</v>
      </c>
      <c r="B23" s="75" t="s">
        <v>214</v>
      </c>
      <c r="C23" s="75" t="s">
        <v>215</v>
      </c>
      <c r="D23" s="75" t="s">
        <v>216</v>
      </c>
      <c r="E23" s="75" t="s">
        <v>217</v>
      </c>
      <c r="F23" s="75" t="s">
        <v>218</v>
      </c>
      <c r="G23" s="75" t="s">
        <v>27</v>
      </c>
      <c r="H23" s="75">
        <v>4</v>
      </c>
      <c r="I23" s="75">
        <v>4</v>
      </c>
      <c r="J23" s="75">
        <v>4</v>
      </c>
      <c r="K23" s="75">
        <v>3</v>
      </c>
      <c r="L23" s="75">
        <v>4</v>
      </c>
      <c r="M23" s="75">
        <v>1</v>
      </c>
      <c r="N23" s="75">
        <v>3</v>
      </c>
      <c r="O23" s="75" t="s">
        <v>219</v>
      </c>
      <c r="P23" s="75" t="s">
        <v>220</v>
      </c>
      <c r="Q23" s="75" t="s">
        <v>28</v>
      </c>
      <c r="T23" s="75" t="s">
        <v>54</v>
      </c>
    </row>
    <row r="24" spans="1:21" x14ac:dyDescent="0.4">
      <c r="A24" s="76">
        <v>46141.698645833334</v>
      </c>
      <c r="B24" s="75" t="s">
        <v>221</v>
      </c>
      <c r="C24" s="75" t="s">
        <v>222</v>
      </c>
      <c r="D24" s="75" t="s">
        <v>223</v>
      </c>
      <c r="E24" s="75" t="s">
        <v>224</v>
      </c>
      <c r="F24" s="75" t="s">
        <v>83</v>
      </c>
      <c r="G24" s="75" t="s">
        <v>27</v>
      </c>
      <c r="H24" s="75">
        <v>5</v>
      </c>
      <c r="I24" s="75">
        <v>5</v>
      </c>
      <c r="J24" s="75">
        <v>5</v>
      </c>
      <c r="K24" s="75">
        <v>5</v>
      </c>
      <c r="L24" s="75">
        <v>5</v>
      </c>
      <c r="M24" s="75">
        <v>5</v>
      </c>
      <c r="N24" s="75">
        <v>5</v>
      </c>
      <c r="O24" s="75" t="s">
        <v>225</v>
      </c>
      <c r="P24" s="75" t="s">
        <v>92</v>
      </c>
      <c r="Q24" s="75" t="s">
        <v>28</v>
      </c>
      <c r="T24" s="75" t="s">
        <v>29</v>
      </c>
      <c r="U24" s="75" t="s">
        <v>226</v>
      </c>
    </row>
    <row r="25" spans="1:21" x14ac:dyDescent="0.4">
      <c r="A25" s="76">
        <v>46141.698738425926</v>
      </c>
      <c r="B25" s="75" t="s">
        <v>227</v>
      </c>
      <c r="C25" s="75" t="s">
        <v>228</v>
      </c>
      <c r="D25" s="75" t="s">
        <v>229</v>
      </c>
      <c r="E25" s="75" t="s">
        <v>230</v>
      </c>
      <c r="F25" s="75" t="s">
        <v>231</v>
      </c>
      <c r="G25" s="75" t="s">
        <v>27</v>
      </c>
      <c r="H25" s="75">
        <v>5</v>
      </c>
      <c r="I25" s="75">
        <v>5</v>
      </c>
      <c r="J25" s="75">
        <v>5</v>
      </c>
      <c r="K25" s="75">
        <v>5</v>
      </c>
      <c r="L25" s="75">
        <v>5</v>
      </c>
      <c r="M25" s="75">
        <v>5</v>
      </c>
      <c r="N25" s="75">
        <v>5</v>
      </c>
      <c r="O25" s="75" t="s">
        <v>232</v>
      </c>
      <c r="P25" s="75" t="s">
        <v>233</v>
      </c>
      <c r="Q25" s="75" t="s">
        <v>28</v>
      </c>
      <c r="T25" s="75" t="s">
        <v>54</v>
      </c>
    </row>
    <row r="26" spans="1:21" x14ac:dyDescent="0.4">
      <c r="A26" s="76">
        <v>46141.698750000003</v>
      </c>
      <c r="B26" s="75" t="s">
        <v>234</v>
      </c>
      <c r="C26" s="75" t="s">
        <v>235</v>
      </c>
      <c r="D26" s="75" t="s">
        <v>236</v>
      </c>
      <c r="E26" s="75" t="s">
        <v>237</v>
      </c>
      <c r="F26" s="75" t="s">
        <v>238</v>
      </c>
      <c r="G26" s="75" t="s">
        <v>27</v>
      </c>
      <c r="H26" s="75">
        <v>4</v>
      </c>
      <c r="I26" s="75">
        <v>4</v>
      </c>
      <c r="J26" s="75">
        <v>4</v>
      </c>
      <c r="K26" s="75">
        <v>4</v>
      </c>
      <c r="L26" s="75">
        <v>4</v>
      </c>
      <c r="M26" s="75">
        <v>4</v>
      </c>
      <c r="N26" s="75">
        <v>4</v>
      </c>
      <c r="O26" s="75" t="s">
        <v>239</v>
      </c>
      <c r="P26" s="75" t="s">
        <v>193</v>
      </c>
      <c r="Q26" s="75" t="s">
        <v>28</v>
      </c>
      <c r="T26" s="75" t="s">
        <v>29</v>
      </c>
    </row>
    <row r="27" spans="1:21" x14ac:dyDescent="0.4">
      <c r="A27" s="76">
        <v>46141.698912037034</v>
      </c>
      <c r="B27" s="75" t="s">
        <v>240</v>
      </c>
      <c r="C27" s="75" t="s">
        <v>241</v>
      </c>
      <c r="D27" s="75" t="s">
        <v>242</v>
      </c>
      <c r="E27" s="75" t="s">
        <v>243</v>
      </c>
      <c r="F27" s="75" t="s">
        <v>238</v>
      </c>
      <c r="G27" s="75" t="s">
        <v>27</v>
      </c>
      <c r="H27" s="75">
        <v>4</v>
      </c>
      <c r="I27" s="75">
        <v>4</v>
      </c>
      <c r="J27" s="75">
        <v>4</v>
      </c>
      <c r="K27" s="75">
        <v>4</v>
      </c>
      <c r="L27" s="75">
        <v>5</v>
      </c>
      <c r="M27" s="75">
        <v>5</v>
      </c>
      <c r="N27" s="75">
        <v>5</v>
      </c>
      <c r="O27" s="75" t="s">
        <v>244</v>
      </c>
      <c r="P27" s="75" t="s">
        <v>245</v>
      </c>
      <c r="Q27" s="75" t="s">
        <v>28</v>
      </c>
      <c r="S27" s="75" t="s">
        <v>246</v>
      </c>
      <c r="T27" s="75" t="s">
        <v>8</v>
      </c>
    </row>
    <row r="28" spans="1:21" x14ac:dyDescent="0.4">
      <c r="A28" s="76">
        <v>46141.699062500003</v>
      </c>
      <c r="B28" s="75" t="s">
        <v>247</v>
      </c>
      <c r="C28" s="75" t="s">
        <v>248</v>
      </c>
      <c r="D28" s="75" t="s">
        <v>249</v>
      </c>
      <c r="E28" s="75" t="s">
        <v>250</v>
      </c>
      <c r="F28" s="75" t="s">
        <v>141</v>
      </c>
      <c r="G28" s="75" t="s">
        <v>27</v>
      </c>
      <c r="H28" s="75">
        <v>4</v>
      </c>
      <c r="I28" s="75">
        <v>4</v>
      </c>
      <c r="J28" s="75">
        <v>5</v>
      </c>
      <c r="K28" s="75">
        <v>5</v>
      </c>
      <c r="L28" s="75">
        <v>4</v>
      </c>
      <c r="M28" s="75">
        <v>3</v>
      </c>
      <c r="N28" s="75">
        <v>4</v>
      </c>
      <c r="O28" s="75" t="s">
        <v>251</v>
      </c>
      <c r="P28" s="75" t="s">
        <v>252</v>
      </c>
      <c r="Q28" s="75" t="s">
        <v>28</v>
      </c>
      <c r="S28" s="75" t="s">
        <v>253</v>
      </c>
      <c r="T28" s="75" t="s">
        <v>7</v>
      </c>
    </row>
    <row r="29" spans="1:21" x14ac:dyDescent="0.4">
      <c r="A29" s="76">
        <v>46141.699178240742</v>
      </c>
      <c r="B29" s="75" t="s">
        <v>254</v>
      </c>
      <c r="C29" s="75" t="s">
        <v>255</v>
      </c>
      <c r="D29" s="75" t="s">
        <v>256</v>
      </c>
      <c r="E29" s="75" t="s">
        <v>257</v>
      </c>
      <c r="F29" s="75" t="s">
        <v>90</v>
      </c>
      <c r="G29" s="75" t="s">
        <v>27</v>
      </c>
      <c r="H29" s="75">
        <v>4</v>
      </c>
      <c r="I29" s="75">
        <v>2</v>
      </c>
      <c r="J29" s="75">
        <v>3</v>
      </c>
      <c r="K29" s="75">
        <v>3</v>
      </c>
      <c r="L29" s="75">
        <v>4</v>
      </c>
      <c r="M29" s="75">
        <v>2</v>
      </c>
      <c r="N29" s="75">
        <v>4</v>
      </c>
      <c r="O29" s="75" t="s">
        <v>258</v>
      </c>
      <c r="P29" s="75" t="s">
        <v>259</v>
      </c>
      <c r="Q29" s="75" t="s">
        <v>28</v>
      </c>
      <c r="T29" s="75" t="s">
        <v>29</v>
      </c>
    </row>
    <row r="30" spans="1:21" x14ac:dyDescent="0.4">
      <c r="A30" s="76">
        <v>46141.699444444443</v>
      </c>
      <c r="B30" s="75" t="s">
        <v>260</v>
      </c>
      <c r="C30" s="75" t="s">
        <v>261</v>
      </c>
      <c r="D30" s="75" t="s">
        <v>262</v>
      </c>
      <c r="E30" s="75" t="s">
        <v>263</v>
      </c>
      <c r="F30" s="75" t="s">
        <v>141</v>
      </c>
      <c r="G30" s="75" t="s">
        <v>27</v>
      </c>
      <c r="H30" s="75">
        <v>4</v>
      </c>
      <c r="I30" s="75">
        <v>4</v>
      </c>
      <c r="J30" s="75">
        <v>5</v>
      </c>
      <c r="K30" s="75">
        <v>5</v>
      </c>
      <c r="L30" s="75">
        <v>4</v>
      </c>
      <c r="M30" s="75">
        <v>3</v>
      </c>
      <c r="N30" s="75">
        <v>4</v>
      </c>
      <c r="O30" s="75" t="s">
        <v>264</v>
      </c>
      <c r="P30" s="75" t="s">
        <v>265</v>
      </c>
      <c r="Q30" s="75" t="s">
        <v>156</v>
      </c>
      <c r="S30" s="75" t="s">
        <v>266</v>
      </c>
      <c r="T30" s="75" t="s">
        <v>7</v>
      </c>
    </row>
    <row r="31" spans="1:21" x14ac:dyDescent="0.4">
      <c r="A31" s="76">
        <v>46141.699479166666</v>
      </c>
      <c r="B31" s="75" t="s">
        <v>267</v>
      </c>
      <c r="C31" s="75" t="s">
        <v>268</v>
      </c>
      <c r="D31" s="75" t="s">
        <v>269</v>
      </c>
      <c r="E31" s="75" t="s">
        <v>270</v>
      </c>
      <c r="F31" s="75" t="s">
        <v>231</v>
      </c>
      <c r="G31" s="75" t="s">
        <v>27</v>
      </c>
      <c r="H31" s="75">
        <v>5</v>
      </c>
      <c r="I31" s="75">
        <v>4</v>
      </c>
      <c r="J31" s="75">
        <v>5</v>
      </c>
      <c r="K31" s="75">
        <v>4</v>
      </c>
      <c r="L31" s="75">
        <v>4</v>
      </c>
      <c r="M31" s="75">
        <v>5</v>
      </c>
      <c r="N31" s="75">
        <v>5</v>
      </c>
      <c r="O31" s="75" t="s">
        <v>271</v>
      </c>
      <c r="P31" s="75" t="s">
        <v>272</v>
      </c>
      <c r="Q31" s="75" t="s">
        <v>28</v>
      </c>
      <c r="S31" s="75" t="s">
        <v>64</v>
      </c>
      <c r="T31" s="75" t="s">
        <v>54</v>
      </c>
    </row>
    <row r="32" spans="1:21" x14ac:dyDescent="0.4">
      <c r="A32" s="76">
        <v>46141.699895833335</v>
      </c>
      <c r="B32" s="75" t="s">
        <v>273</v>
      </c>
      <c r="C32" s="75" t="s">
        <v>274</v>
      </c>
      <c r="D32" s="75" t="s">
        <v>275</v>
      </c>
      <c r="E32" s="75" t="s">
        <v>276</v>
      </c>
      <c r="F32" s="75" t="s">
        <v>277</v>
      </c>
      <c r="G32" s="75" t="s">
        <v>27</v>
      </c>
      <c r="H32" s="75">
        <v>4</v>
      </c>
      <c r="I32" s="75">
        <v>3</v>
      </c>
      <c r="J32" s="75">
        <v>3</v>
      </c>
      <c r="K32" s="75">
        <v>3</v>
      </c>
      <c r="L32" s="75">
        <v>3</v>
      </c>
      <c r="M32" s="75">
        <v>3</v>
      </c>
      <c r="N32" s="75">
        <v>4</v>
      </c>
      <c r="O32" s="75" t="s">
        <v>278</v>
      </c>
      <c r="P32" s="75" t="s">
        <v>279</v>
      </c>
      <c r="Q32" s="75" t="s">
        <v>28</v>
      </c>
      <c r="T32" s="75" t="s">
        <v>7</v>
      </c>
      <c r="U32" s="75" t="s">
        <v>280</v>
      </c>
    </row>
    <row r="33" spans="1:21" x14ac:dyDescent="0.4">
      <c r="A33" s="76">
        <v>46141.702002314814</v>
      </c>
      <c r="B33" s="75" t="s">
        <v>281</v>
      </c>
      <c r="C33" s="75" t="s">
        <v>282</v>
      </c>
      <c r="D33" s="75" t="s">
        <v>283</v>
      </c>
      <c r="E33" s="75" t="s">
        <v>284</v>
      </c>
      <c r="F33" s="75" t="s">
        <v>285</v>
      </c>
      <c r="G33" s="75" t="s">
        <v>27</v>
      </c>
      <c r="H33" s="75">
        <v>5</v>
      </c>
      <c r="I33" s="75">
        <v>5</v>
      </c>
      <c r="J33" s="75">
        <v>5</v>
      </c>
      <c r="K33" s="75">
        <v>5</v>
      </c>
      <c r="L33" s="75">
        <v>4</v>
      </c>
      <c r="M33" s="75">
        <v>4</v>
      </c>
      <c r="N33" s="75">
        <v>5</v>
      </c>
      <c r="O33" s="75" t="s">
        <v>286</v>
      </c>
      <c r="P33" s="75" t="s">
        <v>287</v>
      </c>
      <c r="Q33" s="75" t="s">
        <v>28</v>
      </c>
      <c r="T33" s="75" t="s">
        <v>7</v>
      </c>
    </row>
    <row r="34" spans="1:21" x14ac:dyDescent="0.4">
      <c r="A34" s="76">
        <v>46141.70212962963</v>
      </c>
      <c r="B34" s="75" t="s">
        <v>288</v>
      </c>
      <c r="C34" s="75" t="s">
        <v>289</v>
      </c>
      <c r="D34" s="75" t="s">
        <v>290</v>
      </c>
      <c r="E34" s="75" t="s">
        <v>291</v>
      </c>
      <c r="F34" s="75" t="s">
        <v>285</v>
      </c>
      <c r="G34" s="75" t="s">
        <v>27</v>
      </c>
      <c r="H34" s="75">
        <v>5</v>
      </c>
      <c r="I34" s="75">
        <v>5</v>
      </c>
      <c r="J34" s="75">
        <v>5</v>
      </c>
      <c r="K34" s="75">
        <v>5</v>
      </c>
      <c r="L34" s="75">
        <v>5</v>
      </c>
      <c r="M34" s="75">
        <v>5</v>
      </c>
      <c r="N34" s="75">
        <v>5</v>
      </c>
      <c r="O34" s="75" t="s">
        <v>292</v>
      </c>
      <c r="P34" s="75" t="s">
        <v>293</v>
      </c>
      <c r="Q34" s="75" t="s">
        <v>28</v>
      </c>
      <c r="S34" s="75" t="s">
        <v>294</v>
      </c>
      <c r="T34" s="75" t="s">
        <v>8</v>
      </c>
    </row>
    <row r="35" spans="1:21" x14ac:dyDescent="0.4">
      <c r="A35" s="76">
        <v>46141.7031712963</v>
      </c>
      <c r="B35" s="75" t="s">
        <v>295</v>
      </c>
      <c r="C35" s="75" t="s">
        <v>296</v>
      </c>
      <c r="D35" s="75" t="s">
        <v>297</v>
      </c>
      <c r="E35" s="75" t="s">
        <v>298</v>
      </c>
      <c r="F35" s="75" t="s">
        <v>90</v>
      </c>
      <c r="G35" s="75" t="s">
        <v>27</v>
      </c>
      <c r="H35" s="75">
        <v>5</v>
      </c>
      <c r="I35" s="75">
        <v>4</v>
      </c>
      <c r="J35" s="75">
        <v>5</v>
      </c>
      <c r="K35" s="75">
        <v>5</v>
      </c>
      <c r="L35" s="75">
        <v>5</v>
      </c>
      <c r="M35" s="75">
        <v>5</v>
      </c>
      <c r="N35" s="75">
        <v>5</v>
      </c>
      <c r="O35" s="75" t="s">
        <v>299</v>
      </c>
      <c r="P35" s="75" t="s">
        <v>300</v>
      </c>
      <c r="Q35" s="75" t="s">
        <v>28</v>
      </c>
      <c r="T35" s="75" t="s">
        <v>7</v>
      </c>
    </row>
    <row r="36" spans="1:21" x14ac:dyDescent="0.4">
      <c r="A36" s="76">
        <v>46141.890833333331</v>
      </c>
      <c r="B36" s="75" t="s">
        <v>301</v>
      </c>
      <c r="C36" s="75" t="s">
        <v>302</v>
      </c>
      <c r="D36" s="75" t="s">
        <v>303</v>
      </c>
      <c r="E36" s="75" t="s">
        <v>304</v>
      </c>
      <c r="F36" s="75" t="s">
        <v>218</v>
      </c>
      <c r="G36" s="75" t="s">
        <v>27</v>
      </c>
      <c r="H36" s="75">
        <v>5</v>
      </c>
      <c r="I36" s="75">
        <v>5</v>
      </c>
      <c r="J36" s="75">
        <v>5</v>
      </c>
      <c r="K36" s="75">
        <v>5</v>
      </c>
      <c r="L36" s="75">
        <v>5</v>
      </c>
      <c r="M36" s="75">
        <v>5</v>
      </c>
      <c r="N36" s="75">
        <v>5</v>
      </c>
      <c r="O36" s="75" t="s">
        <v>305</v>
      </c>
      <c r="P36" s="75" t="s">
        <v>306</v>
      </c>
      <c r="Q36" s="75" t="s">
        <v>156</v>
      </c>
      <c r="T36" s="75" t="s">
        <v>7</v>
      </c>
    </row>
    <row r="37" spans="1:21" x14ac:dyDescent="0.4">
      <c r="A37" s="76">
        <v>46142.662048611113</v>
      </c>
      <c r="B37" s="75" t="s">
        <v>307</v>
      </c>
      <c r="C37" s="75" t="s">
        <v>308</v>
      </c>
      <c r="D37" s="75" t="s">
        <v>309</v>
      </c>
      <c r="E37" s="75" t="s">
        <v>310</v>
      </c>
      <c r="F37" s="75" t="s">
        <v>311</v>
      </c>
      <c r="G37" s="75" t="s">
        <v>27</v>
      </c>
      <c r="H37" s="75">
        <v>5</v>
      </c>
      <c r="I37" s="75">
        <v>5</v>
      </c>
      <c r="J37" s="75">
        <v>5</v>
      </c>
      <c r="K37" s="75">
        <v>5</v>
      </c>
      <c r="L37" s="75">
        <v>5</v>
      </c>
      <c r="M37" s="75">
        <v>4</v>
      </c>
      <c r="N37" s="75">
        <v>5</v>
      </c>
      <c r="O37" s="75" t="s">
        <v>312</v>
      </c>
      <c r="P37" s="75" t="s">
        <v>313</v>
      </c>
      <c r="Q37" s="75" t="s">
        <v>28</v>
      </c>
      <c r="T37" s="75" t="s">
        <v>8</v>
      </c>
    </row>
    <row r="38" spans="1:21" x14ac:dyDescent="0.4">
      <c r="A38" s="76">
        <v>46142.66878472222</v>
      </c>
      <c r="B38" s="75" t="s">
        <v>314</v>
      </c>
      <c r="C38" s="75" t="s">
        <v>315</v>
      </c>
      <c r="D38" s="75" t="s">
        <v>316</v>
      </c>
      <c r="E38" s="75" t="s">
        <v>317</v>
      </c>
      <c r="F38" s="75" t="s">
        <v>311</v>
      </c>
      <c r="G38" s="75" t="s">
        <v>27</v>
      </c>
      <c r="H38" s="75">
        <v>5</v>
      </c>
      <c r="I38" s="75">
        <v>5</v>
      </c>
      <c r="J38" s="75">
        <v>5</v>
      </c>
      <c r="K38" s="75">
        <v>5</v>
      </c>
      <c r="L38" s="75">
        <v>5</v>
      </c>
      <c r="M38" s="75">
        <v>5</v>
      </c>
      <c r="N38" s="75">
        <v>5</v>
      </c>
      <c r="O38" s="75" t="s">
        <v>318</v>
      </c>
      <c r="P38" s="75" t="s">
        <v>319</v>
      </c>
      <c r="Q38" s="75" t="s">
        <v>28</v>
      </c>
      <c r="T38" s="75" t="s">
        <v>29</v>
      </c>
    </row>
    <row r="39" spans="1:21" x14ac:dyDescent="0.4">
      <c r="A39" s="76">
        <v>46142.675868055558</v>
      </c>
      <c r="B39" s="75" t="s">
        <v>320</v>
      </c>
      <c r="C39" s="75" t="s">
        <v>321</v>
      </c>
      <c r="D39" s="75" t="s">
        <v>322</v>
      </c>
      <c r="E39" s="75" t="s">
        <v>323</v>
      </c>
      <c r="F39" s="75" t="s">
        <v>311</v>
      </c>
      <c r="G39" s="75" t="s">
        <v>27</v>
      </c>
      <c r="H39" s="75">
        <v>5</v>
      </c>
      <c r="I39" s="75">
        <v>5</v>
      </c>
      <c r="J39" s="75">
        <v>5</v>
      </c>
      <c r="K39" s="75">
        <v>5</v>
      </c>
      <c r="L39" s="75">
        <v>5</v>
      </c>
      <c r="M39" s="75">
        <v>5</v>
      </c>
      <c r="N39" s="75">
        <v>5</v>
      </c>
      <c r="O39" s="75" t="s">
        <v>324</v>
      </c>
      <c r="P39" s="75" t="s">
        <v>325</v>
      </c>
      <c r="Q39" s="75" t="s">
        <v>28</v>
      </c>
      <c r="T39" s="75" t="s">
        <v>29</v>
      </c>
    </row>
    <row r="40" spans="1:21" x14ac:dyDescent="0.4">
      <c r="A40" s="76">
        <v>46142.68482638889</v>
      </c>
      <c r="B40" s="75" t="s">
        <v>326</v>
      </c>
      <c r="C40" s="75" t="s">
        <v>327</v>
      </c>
      <c r="D40" s="75" t="s">
        <v>328</v>
      </c>
      <c r="E40" s="75" t="s">
        <v>329</v>
      </c>
      <c r="F40" s="75" t="s">
        <v>330</v>
      </c>
      <c r="G40" s="75" t="s">
        <v>27</v>
      </c>
      <c r="H40" s="75">
        <v>5</v>
      </c>
      <c r="I40" s="75">
        <v>5</v>
      </c>
      <c r="J40" s="75">
        <v>5</v>
      </c>
      <c r="K40" s="75">
        <v>4</v>
      </c>
      <c r="L40" s="75">
        <v>4</v>
      </c>
      <c r="M40" s="75">
        <v>4</v>
      </c>
      <c r="N40" s="75">
        <v>5</v>
      </c>
      <c r="O40" s="75" t="s">
        <v>331</v>
      </c>
      <c r="P40" s="75" t="s">
        <v>332</v>
      </c>
      <c r="Q40" s="75" t="s">
        <v>28</v>
      </c>
      <c r="T40" s="75" t="s">
        <v>333</v>
      </c>
    </row>
    <row r="41" spans="1:21" x14ac:dyDescent="0.4">
      <c r="A41" s="76">
        <v>46142.68608796296</v>
      </c>
      <c r="B41" s="75" t="s">
        <v>334</v>
      </c>
      <c r="C41" s="75" t="s">
        <v>335</v>
      </c>
      <c r="D41" s="75" t="s">
        <v>336</v>
      </c>
      <c r="E41" s="75" t="s">
        <v>337</v>
      </c>
      <c r="F41" s="75" t="s">
        <v>330</v>
      </c>
      <c r="G41" s="75" t="s">
        <v>27</v>
      </c>
      <c r="H41" s="75">
        <v>5</v>
      </c>
      <c r="I41" s="75">
        <v>5</v>
      </c>
      <c r="J41" s="75">
        <v>5</v>
      </c>
      <c r="K41" s="75">
        <v>4</v>
      </c>
      <c r="L41" s="75">
        <v>5</v>
      </c>
      <c r="M41" s="75">
        <v>5</v>
      </c>
      <c r="N41" s="75">
        <v>5</v>
      </c>
      <c r="O41" s="75" t="s">
        <v>338</v>
      </c>
      <c r="P41" s="75" t="s">
        <v>339</v>
      </c>
      <c r="Q41" s="75" t="s">
        <v>156</v>
      </c>
      <c r="S41" s="75" t="s">
        <v>340</v>
      </c>
      <c r="T41" s="75" t="s">
        <v>6</v>
      </c>
      <c r="U41" s="75" t="s">
        <v>341</v>
      </c>
    </row>
    <row r="42" spans="1:21" x14ac:dyDescent="0.4">
      <c r="A42" s="76">
        <v>46142.687731481485</v>
      </c>
      <c r="B42" s="75" t="s">
        <v>342</v>
      </c>
      <c r="C42" s="75" t="s">
        <v>343</v>
      </c>
      <c r="D42" s="75" t="s">
        <v>344</v>
      </c>
      <c r="E42" s="75" t="s">
        <v>345</v>
      </c>
      <c r="F42" s="75" t="s">
        <v>346</v>
      </c>
      <c r="G42" s="75" t="s">
        <v>25</v>
      </c>
      <c r="H42" s="75">
        <v>5</v>
      </c>
      <c r="I42" s="75">
        <v>3</v>
      </c>
      <c r="J42" s="75">
        <v>5</v>
      </c>
      <c r="K42" s="75">
        <v>5</v>
      </c>
      <c r="L42" s="75">
        <v>5</v>
      </c>
      <c r="M42" s="75">
        <v>5</v>
      </c>
      <c r="N42" s="75">
        <v>5</v>
      </c>
      <c r="O42" s="75" t="s">
        <v>347</v>
      </c>
      <c r="P42" s="75" t="s">
        <v>348</v>
      </c>
      <c r="Q42" s="75" t="s">
        <v>26</v>
      </c>
      <c r="T42" s="75" t="s">
        <v>7</v>
      </c>
    </row>
    <row r="43" spans="1:21" x14ac:dyDescent="0.4">
      <c r="A43" s="76">
        <v>46142.688506944447</v>
      </c>
      <c r="B43" s="75" t="s">
        <v>349</v>
      </c>
      <c r="C43" s="75" t="s">
        <v>350</v>
      </c>
      <c r="D43" s="75" t="s">
        <v>351</v>
      </c>
      <c r="E43" s="75" t="s">
        <v>352</v>
      </c>
      <c r="F43" s="75" t="s">
        <v>353</v>
      </c>
      <c r="G43" s="75" t="s">
        <v>27</v>
      </c>
      <c r="H43" s="75">
        <v>5</v>
      </c>
      <c r="I43" s="75">
        <v>5</v>
      </c>
      <c r="J43" s="75">
        <v>5</v>
      </c>
      <c r="K43" s="75">
        <v>5</v>
      </c>
      <c r="L43" s="75">
        <v>4</v>
      </c>
      <c r="M43" s="75">
        <v>4</v>
      </c>
      <c r="N43" s="75">
        <v>5</v>
      </c>
      <c r="O43" s="75" t="s">
        <v>354</v>
      </c>
      <c r="P43" s="75" t="s">
        <v>355</v>
      </c>
      <c r="Q43" s="75" t="s">
        <v>28</v>
      </c>
      <c r="S43" s="75" t="s">
        <v>356</v>
      </c>
      <c r="T43" s="75" t="s">
        <v>8</v>
      </c>
      <c r="U43" s="75" t="s">
        <v>357</v>
      </c>
    </row>
    <row r="44" spans="1:21" x14ac:dyDescent="0.4">
      <c r="A44" s="76">
        <v>46142.688530092593</v>
      </c>
      <c r="B44" s="75" t="s">
        <v>358</v>
      </c>
      <c r="C44" s="75" t="s">
        <v>359</v>
      </c>
      <c r="D44" s="75" t="s">
        <v>360</v>
      </c>
      <c r="E44" s="75" t="s">
        <v>361</v>
      </c>
      <c r="F44" s="75" t="s">
        <v>362</v>
      </c>
      <c r="G44" s="75" t="s">
        <v>25</v>
      </c>
      <c r="H44" s="75">
        <v>5</v>
      </c>
      <c r="I44" s="75">
        <v>5</v>
      </c>
      <c r="J44" s="75">
        <v>5</v>
      </c>
      <c r="K44" s="75">
        <v>5</v>
      </c>
      <c r="L44" s="75">
        <v>4</v>
      </c>
      <c r="M44" s="75">
        <v>4</v>
      </c>
      <c r="N44" s="75">
        <v>5</v>
      </c>
      <c r="O44" s="75" t="s">
        <v>363</v>
      </c>
      <c r="P44" s="75" t="s">
        <v>364</v>
      </c>
      <c r="Q44" s="75" t="s">
        <v>28</v>
      </c>
      <c r="T44" s="75" t="s">
        <v>7</v>
      </c>
    </row>
    <row r="45" spans="1:21" x14ac:dyDescent="0.4">
      <c r="A45" s="76">
        <v>46142.688564814816</v>
      </c>
      <c r="B45" s="75" t="s">
        <v>365</v>
      </c>
      <c r="C45" s="75" t="s">
        <v>366</v>
      </c>
      <c r="D45" s="75" t="s">
        <v>367</v>
      </c>
      <c r="E45" s="75" t="s">
        <v>368</v>
      </c>
      <c r="F45" s="75" t="s">
        <v>369</v>
      </c>
      <c r="G45" s="75" t="s">
        <v>25</v>
      </c>
      <c r="H45" s="75">
        <v>5</v>
      </c>
      <c r="I45" s="75">
        <v>5</v>
      </c>
      <c r="J45" s="75">
        <v>5</v>
      </c>
      <c r="K45" s="75">
        <v>5</v>
      </c>
      <c r="L45" s="75">
        <v>5</v>
      </c>
      <c r="M45" s="75">
        <v>5</v>
      </c>
      <c r="N45" s="75">
        <v>5</v>
      </c>
      <c r="O45" s="75" t="s">
        <v>370</v>
      </c>
      <c r="P45" s="75" t="s">
        <v>371</v>
      </c>
      <c r="Q45" s="75" t="s">
        <v>26</v>
      </c>
      <c r="S45" s="75" t="s">
        <v>62</v>
      </c>
      <c r="T45" s="75" t="s">
        <v>29</v>
      </c>
    </row>
    <row r="46" spans="1:21" x14ac:dyDescent="0.4">
      <c r="A46" s="76">
        <v>46142.688564814816</v>
      </c>
      <c r="B46" s="75" t="s">
        <v>372</v>
      </c>
      <c r="C46" s="75" t="s">
        <v>373</v>
      </c>
      <c r="D46" s="75" t="s">
        <v>374</v>
      </c>
      <c r="E46" s="75" t="s">
        <v>375</v>
      </c>
      <c r="F46" s="75" t="s">
        <v>376</v>
      </c>
      <c r="G46" s="75" t="s">
        <v>27</v>
      </c>
      <c r="H46" s="75">
        <v>5</v>
      </c>
      <c r="I46" s="75">
        <v>5</v>
      </c>
      <c r="J46" s="75">
        <v>5</v>
      </c>
      <c r="K46" s="75">
        <v>3</v>
      </c>
      <c r="L46" s="75">
        <v>5</v>
      </c>
      <c r="M46" s="75">
        <v>5</v>
      </c>
      <c r="N46" s="75">
        <v>5</v>
      </c>
      <c r="O46" s="75" t="s">
        <v>377</v>
      </c>
      <c r="P46" s="75" t="s">
        <v>378</v>
      </c>
      <c r="Q46" s="75" t="s">
        <v>28</v>
      </c>
      <c r="T46" s="75" t="s">
        <v>29</v>
      </c>
    </row>
    <row r="47" spans="1:21" x14ac:dyDescent="0.4">
      <c r="A47" s="76">
        <v>46142.688645833332</v>
      </c>
      <c r="B47" s="75" t="s">
        <v>379</v>
      </c>
      <c r="C47" s="75" t="s">
        <v>380</v>
      </c>
      <c r="D47" s="75" t="s">
        <v>381</v>
      </c>
      <c r="E47" s="75" t="s">
        <v>382</v>
      </c>
      <c r="F47" s="75" t="s">
        <v>383</v>
      </c>
      <c r="G47" s="75" t="s">
        <v>27</v>
      </c>
      <c r="H47" s="75">
        <v>5</v>
      </c>
      <c r="I47" s="75">
        <v>5</v>
      </c>
      <c r="J47" s="75">
        <v>5</v>
      </c>
      <c r="K47" s="75">
        <v>5</v>
      </c>
      <c r="L47" s="75">
        <v>5</v>
      </c>
      <c r="M47" s="75">
        <v>5</v>
      </c>
      <c r="N47" s="75">
        <v>5</v>
      </c>
      <c r="O47" s="75" t="s">
        <v>384</v>
      </c>
      <c r="P47" s="75" t="s">
        <v>385</v>
      </c>
      <c r="Q47" s="75" t="s">
        <v>28</v>
      </c>
      <c r="S47" s="75" t="s">
        <v>386</v>
      </c>
      <c r="T47" s="75" t="s">
        <v>29</v>
      </c>
      <c r="U47" s="75" t="s">
        <v>387</v>
      </c>
    </row>
    <row r="48" spans="1:21" x14ac:dyDescent="0.4">
      <c r="A48" s="76">
        <v>46142.689282407409</v>
      </c>
      <c r="B48" s="75" t="s">
        <v>320</v>
      </c>
      <c r="C48" s="75" t="s">
        <v>321</v>
      </c>
      <c r="D48" s="75" t="s">
        <v>322</v>
      </c>
      <c r="E48" s="75" t="s">
        <v>323</v>
      </c>
      <c r="F48" s="75" t="s">
        <v>311</v>
      </c>
      <c r="G48" s="75" t="s">
        <v>27</v>
      </c>
      <c r="H48" s="75">
        <v>5</v>
      </c>
      <c r="I48" s="75">
        <v>5</v>
      </c>
      <c r="J48" s="75">
        <v>5</v>
      </c>
      <c r="K48" s="75">
        <v>5</v>
      </c>
      <c r="L48" s="75">
        <v>5</v>
      </c>
      <c r="M48" s="75">
        <v>5</v>
      </c>
      <c r="N48" s="75">
        <v>5</v>
      </c>
      <c r="O48" s="75" t="s">
        <v>388</v>
      </c>
      <c r="P48" s="75" t="s">
        <v>389</v>
      </c>
      <c r="Q48" s="75" t="s">
        <v>28</v>
      </c>
      <c r="T48" s="75" t="s">
        <v>29</v>
      </c>
    </row>
    <row r="49" spans="1:21" x14ac:dyDescent="0.4">
      <c r="A49" s="76">
        <v>46142.689340277779</v>
      </c>
      <c r="B49" s="75" t="s">
        <v>390</v>
      </c>
      <c r="C49" s="75" t="s">
        <v>391</v>
      </c>
      <c r="D49" s="75" t="s">
        <v>392</v>
      </c>
      <c r="E49" s="75" t="s">
        <v>393</v>
      </c>
      <c r="F49" s="75" t="s">
        <v>394</v>
      </c>
      <c r="G49" s="75" t="s">
        <v>25</v>
      </c>
      <c r="H49" s="75">
        <v>4</v>
      </c>
      <c r="I49" s="75">
        <v>4</v>
      </c>
      <c r="J49" s="75">
        <v>4</v>
      </c>
      <c r="K49" s="75">
        <v>4</v>
      </c>
      <c r="L49" s="75">
        <v>4</v>
      </c>
      <c r="M49" s="75">
        <v>4</v>
      </c>
      <c r="N49" s="75">
        <v>5</v>
      </c>
      <c r="O49" s="75" t="s">
        <v>395</v>
      </c>
      <c r="P49" s="75" t="s">
        <v>396</v>
      </c>
      <c r="Q49" s="75" t="s">
        <v>28</v>
      </c>
      <c r="S49" s="75" t="s">
        <v>397</v>
      </c>
      <c r="T49" s="75" t="s">
        <v>7</v>
      </c>
      <c r="U49" s="75" t="s">
        <v>398</v>
      </c>
    </row>
    <row r="50" spans="1:21" x14ac:dyDescent="0.4">
      <c r="A50" s="76">
        <v>46142.689560185187</v>
      </c>
      <c r="B50" s="75" t="s">
        <v>399</v>
      </c>
      <c r="C50" s="75" t="s">
        <v>400</v>
      </c>
      <c r="D50" s="75" t="s">
        <v>401</v>
      </c>
      <c r="E50" s="75" t="s">
        <v>402</v>
      </c>
      <c r="F50" s="75" t="s">
        <v>346</v>
      </c>
      <c r="G50" s="75" t="s">
        <v>27</v>
      </c>
      <c r="H50" s="75">
        <v>5</v>
      </c>
      <c r="I50" s="75">
        <v>5</v>
      </c>
      <c r="J50" s="75">
        <v>5</v>
      </c>
      <c r="K50" s="75">
        <v>5</v>
      </c>
      <c r="L50" s="75">
        <v>5</v>
      </c>
      <c r="M50" s="75">
        <v>5</v>
      </c>
      <c r="N50" s="75">
        <v>5</v>
      </c>
      <c r="O50" s="75" t="s">
        <v>403</v>
      </c>
      <c r="P50" s="75" t="s">
        <v>404</v>
      </c>
      <c r="Q50" s="75" t="s">
        <v>28</v>
      </c>
      <c r="T50" s="75" t="s">
        <v>29</v>
      </c>
    </row>
    <row r="51" spans="1:21" x14ac:dyDescent="0.4">
      <c r="A51" s="76">
        <v>46142.689618055556</v>
      </c>
      <c r="B51" s="75" t="s">
        <v>405</v>
      </c>
      <c r="C51" s="75" t="s">
        <v>406</v>
      </c>
      <c r="D51" s="75" t="s">
        <v>407</v>
      </c>
      <c r="E51" s="75" t="s">
        <v>408</v>
      </c>
      <c r="F51" s="75" t="s">
        <v>369</v>
      </c>
      <c r="G51" s="75" t="s">
        <v>27</v>
      </c>
      <c r="H51" s="75">
        <v>5</v>
      </c>
      <c r="I51" s="75">
        <v>5</v>
      </c>
      <c r="J51" s="75">
        <v>5</v>
      </c>
      <c r="K51" s="75">
        <v>5</v>
      </c>
      <c r="L51" s="75">
        <v>5</v>
      </c>
      <c r="M51" s="75">
        <v>5</v>
      </c>
      <c r="N51" s="75">
        <v>5</v>
      </c>
      <c r="O51" s="75" t="s">
        <v>409</v>
      </c>
      <c r="P51" s="75" t="s">
        <v>410</v>
      </c>
      <c r="Q51" s="75" t="s">
        <v>28</v>
      </c>
      <c r="T51" s="75" t="s">
        <v>29</v>
      </c>
    </row>
    <row r="52" spans="1:21" x14ac:dyDescent="0.4">
      <c r="A52" s="76">
        <v>46142.689629629633</v>
      </c>
      <c r="B52" s="75" t="s">
        <v>411</v>
      </c>
      <c r="C52" s="75" t="s">
        <v>412</v>
      </c>
      <c r="D52" s="75" t="s">
        <v>413</v>
      </c>
      <c r="E52" s="75" t="s">
        <v>414</v>
      </c>
      <c r="F52" s="75" t="s">
        <v>415</v>
      </c>
      <c r="G52" s="75" t="s">
        <v>27</v>
      </c>
      <c r="H52" s="75">
        <v>4</v>
      </c>
      <c r="I52" s="75">
        <v>4</v>
      </c>
      <c r="J52" s="75">
        <v>4</v>
      </c>
      <c r="K52" s="75">
        <v>4</v>
      </c>
      <c r="L52" s="75">
        <v>4</v>
      </c>
      <c r="M52" s="75">
        <v>4</v>
      </c>
      <c r="N52" s="75">
        <v>4</v>
      </c>
      <c r="O52" s="75" t="s">
        <v>416</v>
      </c>
      <c r="P52" s="75" t="s">
        <v>417</v>
      </c>
      <c r="Q52" s="75" t="s">
        <v>28</v>
      </c>
      <c r="T52" s="75" t="s">
        <v>8</v>
      </c>
    </row>
    <row r="53" spans="1:21" x14ac:dyDescent="0.4">
      <c r="A53" s="76">
        <v>46142.689687500002</v>
      </c>
      <c r="B53" s="75" t="s">
        <v>418</v>
      </c>
      <c r="C53" s="75" t="s">
        <v>419</v>
      </c>
      <c r="D53" s="75" t="s">
        <v>420</v>
      </c>
      <c r="E53" s="75" t="s">
        <v>421</v>
      </c>
      <c r="F53" s="75" t="s">
        <v>422</v>
      </c>
      <c r="G53" s="75" t="s">
        <v>27</v>
      </c>
      <c r="H53" s="75">
        <v>5</v>
      </c>
      <c r="I53" s="75">
        <v>5</v>
      </c>
      <c r="J53" s="75">
        <v>5</v>
      </c>
      <c r="K53" s="75">
        <v>5</v>
      </c>
      <c r="L53" s="75">
        <v>5</v>
      </c>
      <c r="M53" s="75">
        <v>5</v>
      </c>
      <c r="N53" s="75">
        <v>5</v>
      </c>
      <c r="O53" s="75" t="s">
        <v>423</v>
      </c>
      <c r="P53" s="75" t="s">
        <v>424</v>
      </c>
      <c r="Q53" s="75" t="s">
        <v>156</v>
      </c>
      <c r="T53" s="75" t="s">
        <v>6</v>
      </c>
    </row>
    <row r="54" spans="1:21" x14ac:dyDescent="0.4">
      <c r="A54" s="76">
        <v>46142.689849537041</v>
      </c>
      <c r="B54" s="75" t="s">
        <v>425</v>
      </c>
      <c r="C54" s="75" t="s">
        <v>426</v>
      </c>
      <c r="D54" s="75" t="s">
        <v>427</v>
      </c>
      <c r="E54" s="75" t="s">
        <v>428</v>
      </c>
      <c r="F54" s="75" t="s">
        <v>383</v>
      </c>
      <c r="G54" s="75" t="s">
        <v>27</v>
      </c>
      <c r="H54" s="75">
        <v>4</v>
      </c>
      <c r="I54" s="75">
        <v>4</v>
      </c>
      <c r="J54" s="75">
        <v>4</v>
      </c>
      <c r="K54" s="75">
        <v>4</v>
      </c>
      <c r="L54" s="75">
        <v>4</v>
      </c>
      <c r="M54" s="75">
        <v>4</v>
      </c>
      <c r="N54" s="75">
        <v>4</v>
      </c>
      <c r="O54" s="75" t="s">
        <v>429</v>
      </c>
      <c r="P54" s="75" t="s">
        <v>417</v>
      </c>
      <c r="Q54" s="75" t="s">
        <v>156</v>
      </c>
      <c r="T54" s="75" t="s">
        <v>29</v>
      </c>
    </row>
    <row r="55" spans="1:21" x14ac:dyDescent="0.4">
      <c r="A55" s="76">
        <v>46142.690046296295</v>
      </c>
      <c r="B55" s="75" t="s">
        <v>430</v>
      </c>
      <c r="C55" s="75" t="s">
        <v>431</v>
      </c>
      <c r="D55" s="75" t="s">
        <v>432</v>
      </c>
      <c r="E55" s="75" t="s">
        <v>433</v>
      </c>
      <c r="F55" s="75" t="s">
        <v>415</v>
      </c>
      <c r="G55" s="75" t="s">
        <v>25</v>
      </c>
      <c r="H55" s="75">
        <v>5</v>
      </c>
      <c r="I55" s="75">
        <v>5</v>
      </c>
      <c r="J55" s="75">
        <v>4</v>
      </c>
      <c r="K55" s="75">
        <v>5</v>
      </c>
      <c r="L55" s="75">
        <v>5</v>
      </c>
      <c r="M55" s="75">
        <v>5</v>
      </c>
      <c r="N55" s="75">
        <v>4</v>
      </c>
      <c r="O55" s="75" t="s">
        <v>434</v>
      </c>
      <c r="P55" s="75" t="s">
        <v>435</v>
      </c>
      <c r="Q55" s="75" t="s">
        <v>26</v>
      </c>
      <c r="S55" s="75" t="s">
        <v>436</v>
      </c>
      <c r="T55" s="75" t="s">
        <v>54</v>
      </c>
      <c r="U55" s="75" t="s">
        <v>437</v>
      </c>
    </row>
    <row r="56" spans="1:21" x14ac:dyDescent="0.4">
      <c r="A56" s="76">
        <v>46142.690694444442</v>
      </c>
      <c r="B56" s="75" t="s">
        <v>438</v>
      </c>
      <c r="C56" s="75" t="s">
        <v>439</v>
      </c>
      <c r="D56" s="75" t="s">
        <v>440</v>
      </c>
      <c r="E56" s="75" t="s">
        <v>441</v>
      </c>
      <c r="F56" s="75" t="s">
        <v>346</v>
      </c>
      <c r="G56" s="75" t="s">
        <v>27</v>
      </c>
      <c r="H56" s="75">
        <v>5</v>
      </c>
      <c r="I56" s="75">
        <v>5</v>
      </c>
      <c r="J56" s="75">
        <v>5</v>
      </c>
      <c r="K56" s="75">
        <v>5</v>
      </c>
      <c r="L56" s="75">
        <v>5</v>
      </c>
      <c r="M56" s="75">
        <v>5</v>
      </c>
      <c r="N56" s="75">
        <v>5</v>
      </c>
      <c r="O56" s="75" t="s">
        <v>442</v>
      </c>
      <c r="P56" s="75" t="s">
        <v>443</v>
      </c>
      <c r="Q56" s="75" t="s">
        <v>28</v>
      </c>
      <c r="T56" s="75" t="s">
        <v>29</v>
      </c>
    </row>
    <row r="57" spans="1:21" x14ac:dyDescent="0.4">
      <c r="A57" s="76">
        <v>46142.690752314818</v>
      </c>
      <c r="B57" s="75" t="s">
        <v>444</v>
      </c>
      <c r="C57" s="75" t="s">
        <v>445</v>
      </c>
      <c r="D57" s="75" t="s">
        <v>446</v>
      </c>
      <c r="E57" s="75" t="s">
        <v>447</v>
      </c>
      <c r="F57" s="75" t="s">
        <v>448</v>
      </c>
      <c r="G57" s="75" t="s">
        <v>27</v>
      </c>
      <c r="H57" s="75">
        <v>5</v>
      </c>
      <c r="I57" s="75">
        <v>5</v>
      </c>
      <c r="J57" s="75">
        <v>5</v>
      </c>
      <c r="K57" s="75">
        <v>5</v>
      </c>
      <c r="L57" s="75">
        <v>5</v>
      </c>
      <c r="M57" s="75">
        <v>5</v>
      </c>
      <c r="N57" s="75">
        <v>5</v>
      </c>
      <c r="O57" s="75" t="s">
        <v>449</v>
      </c>
      <c r="P57" s="75" t="s">
        <v>450</v>
      </c>
      <c r="Q57" s="75" t="s">
        <v>28</v>
      </c>
      <c r="T57" s="75" t="s">
        <v>29</v>
      </c>
    </row>
    <row r="58" spans="1:21" x14ac:dyDescent="0.4">
      <c r="A58" s="76">
        <v>46142.690763888888</v>
      </c>
      <c r="B58" s="75" t="s">
        <v>451</v>
      </c>
      <c r="C58" s="75" t="s">
        <v>452</v>
      </c>
      <c r="D58" s="75" t="s">
        <v>453</v>
      </c>
      <c r="E58" s="75" t="s">
        <v>454</v>
      </c>
      <c r="F58" s="75" t="s">
        <v>422</v>
      </c>
      <c r="G58" s="75" t="s">
        <v>27</v>
      </c>
      <c r="H58" s="75">
        <v>5</v>
      </c>
      <c r="I58" s="75">
        <v>5</v>
      </c>
      <c r="J58" s="75">
        <v>5</v>
      </c>
      <c r="K58" s="75">
        <v>5</v>
      </c>
      <c r="L58" s="75">
        <v>5</v>
      </c>
      <c r="M58" s="75">
        <v>5</v>
      </c>
      <c r="N58" s="75">
        <v>5</v>
      </c>
      <c r="O58" s="75" t="s">
        <v>455</v>
      </c>
      <c r="P58" s="75" t="s">
        <v>456</v>
      </c>
      <c r="Q58" s="75" t="s">
        <v>28</v>
      </c>
      <c r="T58" s="75" t="s">
        <v>457</v>
      </c>
      <c r="U58" s="75" t="s">
        <v>458</v>
      </c>
    </row>
    <row r="59" spans="1:21" x14ac:dyDescent="0.4">
      <c r="A59" s="76">
        <v>46142.691041666665</v>
      </c>
      <c r="B59" s="75" t="s">
        <v>459</v>
      </c>
      <c r="C59" s="75" t="s">
        <v>460</v>
      </c>
      <c r="D59" s="75" t="s">
        <v>461</v>
      </c>
      <c r="E59" s="75" t="s">
        <v>462</v>
      </c>
      <c r="F59" s="75" t="s">
        <v>346</v>
      </c>
      <c r="G59" s="75" t="s">
        <v>27</v>
      </c>
      <c r="H59" s="75">
        <v>5</v>
      </c>
      <c r="I59" s="75">
        <v>5</v>
      </c>
      <c r="J59" s="75">
        <v>5</v>
      </c>
      <c r="K59" s="75">
        <v>5</v>
      </c>
      <c r="L59" s="75">
        <v>5</v>
      </c>
      <c r="M59" s="75">
        <v>5</v>
      </c>
      <c r="N59" s="75">
        <v>5</v>
      </c>
      <c r="O59" s="75" t="s">
        <v>463</v>
      </c>
      <c r="P59" s="75" t="s">
        <v>464</v>
      </c>
      <c r="Q59" s="75" t="s">
        <v>465</v>
      </c>
      <c r="T59" s="75" t="s">
        <v>7</v>
      </c>
      <c r="U59" s="75" t="s">
        <v>466</v>
      </c>
    </row>
    <row r="60" spans="1:21" x14ac:dyDescent="0.4">
      <c r="A60" s="76">
        <v>46142.691388888888</v>
      </c>
      <c r="B60" s="75" t="s">
        <v>467</v>
      </c>
      <c r="C60" s="75" t="s">
        <v>468</v>
      </c>
      <c r="D60" s="75" t="s">
        <v>469</v>
      </c>
      <c r="E60" s="75" t="s">
        <v>470</v>
      </c>
      <c r="F60" s="75" t="s">
        <v>448</v>
      </c>
      <c r="G60" s="75" t="s">
        <v>25</v>
      </c>
      <c r="H60" s="75">
        <v>5</v>
      </c>
      <c r="I60" s="75">
        <v>5</v>
      </c>
      <c r="J60" s="75">
        <v>5</v>
      </c>
      <c r="K60" s="75">
        <v>5</v>
      </c>
      <c r="L60" s="75">
        <v>5</v>
      </c>
      <c r="M60" s="75">
        <v>5</v>
      </c>
      <c r="N60" s="75">
        <v>5</v>
      </c>
      <c r="O60" s="75" t="s">
        <v>471</v>
      </c>
      <c r="P60" s="75" t="s">
        <v>472</v>
      </c>
      <c r="Q60" s="75" t="s">
        <v>28</v>
      </c>
      <c r="T60" s="75" t="s">
        <v>7</v>
      </c>
    </row>
    <row r="61" spans="1:21" x14ac:dyDescent="0.4">
      <c r="A61" s="76">
        <v>46142.69158564815</v>
      </c>
      <c r="B61" s="75" t="s">
        <v>473</v>
      </c>
      <c r="C61" s="75" t="s">
        <v>474</v>
      </c>
      <c r="D61" s="75" t="s">
        <v>475</v>
      </c>
      <c r="E61" s="75" t="s">
        <v>476</v>
      </c>
      <c r="F61" s="75" t="s">
        <v>206</v>
      </c>
      <c r="G61" s="75" t="s">
        <v>25</v>
      </c>
      <c r="H61" s="75">
        <v>5</v>
      </c>
      <c r="I61" s="75">
        <v>4</v>
      </c>
      <c r="J61" s="75">
        <v>5</v>
      </c>
      <c r="K61" s="75">
        <v>5</v>
      </c>
      <c r="L61" s="75">
        <v>5</v>
      </c>
      <c r="M61" s="75">
        <v>5</v>
      </c>
      <c r="N61" s="75">
        <v>5</v>
      </c>
      <c r="O61" s="75" t="s">
        <v>477</v>
      </c>
      <c r="P61" s="75" t="s">
        <v>478</v>
      </c>
      <c r="Q61" s="75" t="s">
        <v>26</v>
      </c>
      <c r="S61" s="75" t="s">
        <v>479</v>
      </c>
      <c r="T61" s="75" t="s">
        <v>7</v>
      </c>
      <c r="U61" s="75" t="s">
        <v>480</v>
      </c>
    </row>
    <row r="62" spans="1:21" x14ac:dyDescent="0.4">
      <c r="A62" s="76">
        <v>46142.705625000002</v>
      </c>
      <c r="B62" s="75" t="s">
        <v>481</v>
      </c>
      <c r="C62" s="75" t="s">
        <v>482</v>
      </c>
      <c r="D62" s="75" t="s">
        <v>483</v>
      </c>
      <c r="E62" s="75" t="s">
        <v>484</v>
      </c>
      <c r="F62" s="75" t="s">
        <v>485</v>
      </c>
      <c r="G62" s="75" t="s">
        <v>27</v>
      </c>
      <c r="H62" s="75">
        <v>5</v>
      </c>
      <c r="I62" s="75">
        <v>5</v>
      </c>
      <c r="J62" s="75">
        <v>5</v>
      </c>
      <c r="K62" s="75">
        <v>5</v>
      </c>
      <c r="L62" s="75">
        <v>5</v>
      </c>
      <c r="M62" s="75">
        <v>5</v>
      </c>
      <c r="N62" s="75">
        <v>4</v>
      </c>
      <c r="O62" s="75" t="s">
        <v>486</v>
      </c>
      <c r="P62" s="75" t="s">
        <v>487</v>
      </c>
      <c r="Q62" s="75" t="s">
        <v>28</v>
      </c>
      <c r="T62" s="75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2FF3-82BA-4E93-A67E-4CDBB9F87A81}">
  <dimension ref="A1:M97"/>
  <sheetViews>
    <sheetView topLeftCell="G10" workbookViewId="0">
      <selection activeCell="M17" sqref="M17:M18"/>
    </sheetView>
  </sheetViews>
  <sheetFormatPr defaultRowHeight="19.5" x14ac:dyDescent="0.4"/>
  <cols>
    <col min="1" max="1" width="40.625" bestFit="1" customWidth="1"/>
    <col min="2" max="2" width="11.5" bestFit="1" customWidth="1"/>
    <col min="3" max="3" width="6.25" bestFit="1" customWidth="1"/>
    <col min="4" max="4" width="28.5" bestFit="1" customWidth="1"/>
    <col min="5" max="5" width="15.875" bestFit="1" customWidth="1"/>
    <col min="6" max="6" width="15.375" bestFit="1" customWidth="1"/>
    <col min="7" max="7" width="4.875" bestFit="1" customWidth="1"/>
    <col min="8" max="8" width="20.75" bestFit="1" customWidth="1"/>
    <col min="9" max="9" width="46.25" bestFit="1" customWidth="1"/>
    <col min="10" max="10" width="23.125" bestFit="1" customWidth="1"/>
    <col min="11" max="11" width="39.875" bestFit="1" customWidth="1"/>
    <col min="12" max="12" width="27.75" bestFit="1" customWidth="1"/>
    <col min="13" max="13" width="27" bestFit="1" customWidth="1"/>
  </cols>
  <sheetData>
    <row r="1" spans="1:13" x14ac:dyDescent="0.4">
      <c r="A1" t="s">
        <v>488</v>
      </c>
      <c r="B1" t="s">
        <v>55</v>
      </c>
      <c r="C1" t="s">
        <v>489</v>
      </c>
      <c r="D1" t="s">
        <v>30</v>
      </c>
      <c r="E1" t="s">
        <v>490</v>
      </c>
      <c r="F1" t="s">
        <v>491</v>
      </c>
      <c r="G1" t="s">
        <v>492</v>
      </c>
      <c r="H1" t="s">
        <v>493</v>
      </c>
      <c r="I1" t="s">
        <v>494</v>
      </c>
      <c r="J1" t="s">
        <v>495</v>
      </c>
      <c r="K1" t="s">
        <v>496</v>
      </c>
      <c r="L1" t="s">
        <v>497</v>
      </c>
      <c r="M1" t="s">
        <v>498</v>
      </c>
    </row>
    <row r="2" spans="1:13" x14ac:dyDescent="0.4">
      <c r="A2" t="s">
        <v>499</v>
      </c>
      <c r="B2">
        <v>5213756</v>
      </c>
      <c r="C2" t="s">
        <v>500</v>
      </c>
      <c r="D2" t="s">
        <v>285</v>
      </c>
      <c r="E2" t="s">
        <v>90</v>
      </c>
      <c r="F2">
        <v>46141.366354166668</v>
      </c>
      <c r="G2">
        <v>2026</v>
      </c>
      <c r="H2" t="s">
        <v>501</v>
      </c>
      <c r="I2" t="s">
        <v>502</v>
      </c>
      <c r="J2" t="s">
        <v>289</v>
      </c>
      <c r="K2" t="s">
        <v>290</v>
      </c>
      <c r="L2" t="s">
        <v>291</v>
      </c>
      <c r="M2" t="s">
        <v>4</v>
      </c>
    </row>
    <row r="3" spans="1:13" x14ac:dyDescent="0.4">
      <c r="A3" t="s">
        <v>499</v>
      </c>
      <c r="B3">
        <v>5218805</v>
      </c>
      <c r="C3" t="s">
        <v>500</v>
      </c>
      <c r="D3" t="s">
        <v>141</v>
      </c>
      <c r="E3" t="s">
        <v>90</v>
      </c>
      <c r="F3">
        <v>46141.367407407408</v>
      </c>
      <c r="G3">
        <v>2026</v>
      </c>
      <c r="H3" t="s">
        <v>501</v>
      </c>
      <c r="I3" t="s">
        <v>260</v>
      </c>
      <c r="J3" t="s">
        <v>261</v>
      </c>
      <c r="K3" t="s">
        <v>262</v>
      </c>
      <c r="L3" t="s">
        <v>263</v>
      </c>
      <c r="M3" t="s">
        <v>4</v>
      </c>
    </row>
    <row r="4" spans="1:13" x14ac:dyDescent="0.4">
      <c r="A4" t="s">
        <v>499</v>
      </c>
      <c r="B4">
        <v>5209937</v>
      </c>
      <c r="C4" t="s">
        <v>500</v>
      </c>
      <c r="D4" t="s">
        <v>415</v>
      </c>
      <c r="E4" t="s">
        <v>90</v>
      </c>
      <c r="F4">
        <v>46142.358587962961</v>
      </c>
      <c r="G4">
        <v>2026</v>
      </c>
      <c r="H4" t="s">
        <v>501</v>
      </c>
      <c r="I4" t="s">
        <v>503</v>
      </c>
      <c r="J4" t="s">
        <v>431</v>
      </c>
      <c r="K4" t="s">
        <v>432</v>
      </c>
      <c r="L4" t="s">
        <v>433</v>
      </c>
      <c r="M4" t="s">
        <v>3</v>
      </c>
    </row>
    <row r="5" spans="1:13" x14ac:dyDescent="0.4">
      <c r="A5" t="s">
        <v>499</v>
      </c>
      <c r="B5">
        <v>5205059</v>
      </c>
      <c r="C5" t="s">
        <v>500</v>
      </c>
      <c r="D5" t="s">
        <v>346</v>
      </c>
      <c r="E5" t="s">
        <v>90</v>
      </c>
      <c r="F5">
        <v>46142.355486111112</v>
      </c>
      <c r="G5">
        <v>2026</v>
      </c>
      <c r="H5" t="s">
        <v>501</v>
      </c>
      <c r="I5" t="s">
        <v>504</v>
      </c>
      <c r="J5" t="s">
        <v>400</v>
      </c>
      <c r="K5" t="s">
        <v>401</v>
      </c>
      <c r="L5" t="s">
        <v>505</v>
      </c>
      <c r="M5" t="s">
        <v>4</v>
      </c>
    </row>
    <row r="6" spans="1:13" x14ac:dyDescent="0.4">
      <c r="A6" t="s">
        <v>499</v>
      </c>
      <c r="B6">
        <v>5220504</v>
      </c>
      <c r="C6" t="s">
        <v>500</v>
      </c>
      <c r="D6" t="s">
        <v>69</v>
      </c>
      <c r="E6" t="s">
        <v>90</v>
      </c>
      <c r="F6">
        <v>46141.366608796299</v>
      </c>
      <c r="G6">
        <v>2026</v>
      </c>
      <c r="H6" t="s">
        <v>501</v>
      </c>
      <c r="I6" t="s">
        <v>506</v>
      </c>
      <c r="J6" t="s">
        <v>132</v>
      </c>
      <c r="K6" t="s">
        <v>133</v>
      </c>
      <c r="L6" t="s">
        <v>134</v>
      </c>
      <c r="M6" t="s">
        <v>4</v>
      </c>
    </row>
    <row r="7" spans="1:13" x14ac:dyDescent="0.4">
      <c r="A7" t="s">
        <v>499</v>
      </c>
      <c r="B7">
        <v>5205471</v>
      </c>
      <c r="C7" t="s">
        <v>500</v>
      </c>
      <c r="D7" t="s">
        <v>448</v>
      </c>
      <c r="E7" t="s">
        <v>90</v>
      </c>
      <c r="F7">
        <v>46142.333784722221</v>
      </c>
      <c r="G7">
        <v>2026</v>
      </c>
      <c r="H7" t="s">
        <v>501</v>
      </c>
      <c r="I7" t="s">
        <v>507</v>
      </c>
      <c r="J7" t="s">
        <v>445</v>
      </c>
      <c r="K7" t="s">
        <v>446</v>
      </c>
      <c r="L7" t="s">
        <v>447</v>
      </c>
      <c r="M7" t="s">
        <v>4</v>
      </c>
    </row>
    <row r="8" spans="1:13" x14ac:dyDescent="0.4">
      <c r="A8" t="s">
        <v>499</v>
      </c>
      <c r="B8">
        <v>5211909</v>
      </c>
      <c r="C8" t="s">
        <v>500</v>
      </c>
      <c r="D8" t="s">
        <v>90</v>
      </c>
      <c r="E8" t="s">
        <v>90</v>
      </c>
      <c r="F8">
        <v>46141.337627314817</v>
      </c>
      <c r="G8">
        <v>2026</v>
      </c>
      <c r="H8" t="s">
        <v>501</v>
      </c>
      <c r="I8" t="s">
        <v>508</v>
      </c>
      <c r="J8" t="s">
        <v>255</v>
      </c>
      <c r="K8" t="s">
        <v>256</v>
      </c>
      <c r="L8" t="s">
        <v>257</v>
      </c>
      <c r="M8" t="s">
        <v>4</v>
      </c>
    </row>
    <row r="9" spans="1:13" x14ac:dyDescent="0.4">
      <c r="A9" t="s">
        <v>499</v>
      </c>
      <c r="B9">
        <v>5205059</v>
      </c>
      <c r="C9" t="s">
        <v>500</v>
      </c>
      <c r="D9" t="s">
        <v>346</v>
      </c>
      <c r="E9" t="s">
        <v>90</v>
      </c>
      <c r="F9">
        <v>46142.359837962962</v>
      </c>
      <c r="G9">
        <v>2026</v>
      </c>
      <c r="H9" t="s">
        <v>501</v>
      </c>
      <c r="I9" t="s">
        <v>509</v>
      </c>
      <c r="J9" t="s">
        <v>460</v>
      </c>
      <c r="K9" t="s">
        <v>461</v>
      </c>
      <c r="L9" t="s">
        <v>462</v>
      </c>
      <c r="M9" t="s">
        <v>4</v>
      </c>
    </row>
    <row r="10" spans="1:13" x14ac:dyDescent="0.4">
      <c r="A10" t="s">
        <v>499</v>
      </c>
      <c r="B10">
        <v>5204409</v>
      </c>
      <c r="C10" t="s">
        <v>500</v>
      </c>
      <c r="D10" t="s">
        <v>383</v>
      </c>
      <c r="E10" t="s">
        <v>90</v>
      </c>
      <c r="F10">
        <v>46142.343773148146</v>
      </c>
      <c r="G10">
        <v>2026</v>
      </c>
      <c r="H10" t="s">
        <v>501</v>
      </c>
      <c r="I10" t="s">
        <v>510</v>
      </c>
      <c r="J10" t="s">
        <v>426</v>
      </c>
      <c r="K10" t="s">
        <v>427</v>
      </c>
      <c r="L10" t="s">
        <v>428</v>
      </c>
      <c r="M10" t="s">
        <v>4</v>
      </c>
    </row>
    <row r="11" spans="1:13" x14ac:dyDescent="0.4">
      <c r="A11" t="s">
        <v>499</v>
      </c>
      <c r="B11">
        <v>5213103</v>
      </c>
      <c r="C11" t="s">
        <v>500</v>
      </c>
      <c r="D11" t="s">
        <v>238</v>
      </c>
      <c r="E11" t="s">
        <v>90</v>
      </c>
      <c r="F11">
        <v>46141.344317129631</v>
      </c>
      <c r="G11">
        <v>2026</v>
      </c>
      <c r="H11" t="s">
        <v>501</v>
      </c>
      <c r="I11" t="s">
        <v>511</v>
      </c>
      <c r="J11" t="s">
        <v>241</v>
      </c>
      <c r="K11" t="s">
        <v>242</v>
      </c>
      <c r="L11" t="s">
        <v>243</v>
      </c>
      <c r="M11" t="s">
        <v>4</v>
      </c>
    </row>
    <row r="12" spans="1:13" x14ac:dyDescent="0.4">
      <c r="A12" t="s">
        <v>499</v>
      </c>
      <c r="B12">
        <v>5201504</v>
      </c>
      <c r="C12" t="s">
        <v>500</v>
      </c>
      <c r="D12" t="s">
        <v>231</v>
      </c>
      <c r="E12" t="s">
        <v>90</v>
      </c>
      <c r="F12">
        <v>46141.378217592595</v>
      </c>
      <c r="G12">
        <v>2026</v>
      </c>
      <c r="H12" t="s">
        <v>501</v>
      </c>
      <c r="I12" t="s">
        <v>512</v>
      </c>
      <c r="J12" t="s">
        <v>228</v>
      </c>
      <c r="K12" t="s">
        <v>229</v>
      </c>
      <c r="L12" t="s">
        <v>230</v>
      </c>
      <c r="M12" t="s">
        <v>4</v>
      </c>
    </row>
    <row r="13" spans="1:13" x14ac:dyDescent="0.4">
      <c r="A13" t="s">
        <v>499</v>
      </c>
      <c r="B13">
        <v>5213103</v>
      </c>
      <c r="C13" t="s">
        <v>500</v>
      </c>
      <c r="D13" t="s">
        <v>238</v>
      </c>
      <c r="E13" t="s">
        <v>90</v>
      </c>
      <c r="F13">
        <v>46141.353194444448</v>
      </c>
      <c r="G13">
        <v>2026</v>
      </c>
      <c r="H13" t="s">
        <v>501</v>
      </c>
      <c r="I13" t="s">
        <v>513</v>
      </c>
      <c r="J13" t="s">
        <v>235</v>
      </c>
      <c r="K13" t="s">
        <v>236</v>
      </c>
      <c r="L13" t="s">
        <v>237</v>
      </c>
      <c r="M13" t="s">
        <v>4</v>
      </c>
    </row>
    <row r="14" spans="1:13" x14ac:dyDescent="0.4">
      <c r="A14" t="s">
        <v>499</v>
      </c>
      <c r="B14">
        <v>5000252</v>
      </c>
      <c r="C14" t="s">
        <v>514</v>
      </c>
      <c r="D14" t="s">
        <v>515</v>
      </c>
      <c r="E14" t="s">
        <v>90</v>
      </c>
      <c r="F14">
        <v>46142.332002314812</v>
      </c>
      <c r="G14">
        <v>2026</v>
      </c>
      <c r="H14" t="s">
        <v>501</v>
      </c>
      <c r="I14" t="s">
        <v>516</v>
      </c>
      <c r="J14" t="s">
        <v>517</v>
      </c>
      <c r="K14" t="s">
        <v>518</v>
      </c>
      <c r="L14" t="s">
        <v>519</v>
      </c>
      <c r="M14" t="s">
        <v>4</v>
      </c>
    </row>
    <row r="15" spans="1:13" x14ac:dyDescent="0.4">
      <c r="A15" t="s">
        <v>499</v>
      </c>
      <c r="B15">
        <v>5218805</v>
      </c>
      <c r="C15" t="s">
        <v>500</v>
      </c>
      <c r="D15" t="s">
        <v>141</v>
      </c>
      <c r="E15" t="s">
        <v>90</v>
      </c>
      <c r="F15">
        <v>46141.366689814815</v>
      </c>
      <c r="G15">
        <v>2026</v>
      </c>
      <c r="H15" t="s">
        <v>501</v>
      </c>
      <c r="I15" t="s">
        <v>520</v>
      </c>
      <c r="J15" t="s">
        <v>248</v>
      </c>
      <c r="K15" t="s">
        <v>521</v>
      </c>
      <c r="L15" t="s">
        <v>250</v>
      </c>
      <c r="M15" t="s">
        <v>4</v>
      </c>
    </row>
    <row r="16" spans="1:13" x14ac:dyDescent="0.4">
      <c r="A16" t="s">
        <v>499</v>
      </c>
      <c r="B16">
        <v>5218508</v>
      </c>
      <c r="C16" t="s">
        <v>500</v>
      </c>
      <c r="D16" t="s">
        <v>277</v>
      </c>
      <c r="E16" t="s">
        <v>90</v>
      </c>
      <c r="F16">
        <v>46141.342430555553</v>
      </c>
      <c r="G16">
        <v>2026</v>
      </c>
      <c r="H16" t="s">
        <v>501</v>
      </c>
      <c r="I16" t="s">
        <v>522</v>
      </c>
      <c r="J16" t="s">
        <v>274</v>
      </c>
      <c r="K16" t="s">
        <v>275</v>
      </c>
      <c r="L16" t="s">
        <v>276</v>
      </c>
      <c r="M16" t="s">
        <v>4</v>
      </c>
    </row>
    <row r="17" spans="1:13" x14ac:dyDescent="0.4">
      <c r="A17" t="s">
        <v>499</v>
      </c>
      <c r="B17">
        <v>5210802</v>
      </c>
      <c r="C17" t="s">
        <v>500</v>
      </c>
      <c r="D17" t="s">
        <v>362</v>
      </c>
      <c r="E17" t="s">
        <v>90</v>
      </c>
      <c r="F17">
        <v>46142.335682870369</v>
      </c>
      <c r="G17">
        <v>2026</v>
      </c>
      <c r="H17" t="s">
        <v>501</v>
      </c>
      <c r="I17" t="s">
        <v>523</v>
      </c>
      <c r="J17" t="s">
        <v>524</v>
      </c>
      <c r="K17" t="s">
        <v>525</v>
      </c>
      <c r="L17" t="s">
        <v>526</v>
      </c>
      <c r="M17" t="s">
        <v>4</v>
      </c>
    </row>
    <row r="18" spans="1:13" x14ac:dyDescent="0.4">
      <c r="A18" t="s">
        <v>499</v>
      </c>
      <c r="B18">
        <v>5219407</v>
      </c>
      <c r="C18" t="s">
        <v>500</v>
      </c>
      <c r="D18" t="s">
        <v>218</v>
      </c>
      <c r="E18" t="s">
        <v>90</v>
      </c>
      <c r="F18">
        <v>46141.379178240742</v>
      </c>
      <c r="G18">
        <v>2026</v>
      </c>
      <c r="H18" t="s">
        <v>501</v>
      </c>
      <c r="I18" t="s">
        <v>527</v>
      </c>
      <c r="J18" t="s">
        <v>215</v>
      </c>
      <c r="K18" t="s">
        <v>216</v>
      </c>
      <c r="L18" t="s">
        <v>217</v>
      </c>
      <c r="M18" t="s">
        <v>3</v>
      </c>
    </row>
    <row r="19" spans="1:13" x14ac:dyDescent="0.4">
      <c r="A19" t="s">
        <v>499</v>
      </c>
      <c r="B19">
        <v>5201504</v>
      </c>
      <c r="C19" t="s">
        <v>500</v>
      </c>
      <c r="D19" t="s">
        <v>231</v>
      </c>
      <c r="E19" t="s">
        <v>90</v>
      </c>
      <c r="F19">
        <v>46141.380185185182</v>
      </c>
      <c r="G19">
        <v>2026</v>
      </c>
      <c r="H19" t="s">
        <v>501</v>
      </c>
      <c r="I19" t="s">
        <v>528</v>
      </c>
      <c r="J19" t="s">
        <v>268</v>
      </c>
      <c r="K19" t="s">
        <v>529</v>
      </c>
      <c r="L19" t="s">
        <v>270</v>
      </c>
      <c r="M19" t="s">
        <v>4</v>
      </c>
    </row>
    <row r="20" spans="1:13" x14ac:dyDescent="0.4">
      <c r="A20" t="s">
        <v>499</v>
      </c>
      <c r="B20">
        <v>5107198</v>
      </c>
      <c r="C20" t="s">
        <v>530</v>
      </c>
      <c r="D20" t="s">
        <v>121</v>
      </c>
      <c r="E20" t="s">
        <v>90</v>
      </c>
      <c r="F20">
        <v>46141.336284722223</v>
      </c>
      <c r="G20">
        <v>2026</v>
      </c>
      <c r="H20" t="s">
        <v>501</v>
      </c>
      <c r="I20" t="s">
        <v>531</v>
      </c>
      <c r="J20" t="s">
        <v>118</v>
      </c>
      <c r="K20" t="s">
        <v>119</v>
      </c>
      <c r="L20" t="s">
        <v>120</v>
      </c>
      <c r="M20" t="s">
        <v>4</v>
      </c>
    </row>
    <row r="21" spans="1:13" x14ac:dyDescent="0.4">
      <c r="A21" t="s">
        <v>499</v>
      </c>
      <c r="B21">
        <v>5221551</v>
      </c>
      <c r="C21" t="s">
        <v>500</v>
      </c>
      <c r="D21" t="s">
        <v>170</v>
      </c>
      <c r="E21" t="s">
        <v>90</v>
      </c>
      <c r="F21">
        <v>46141.33630787037</v>
      </c>
      <c r="G21">
        <v>2026</v>
      </c>
      <c r="H21" t="s">
        <v>501</v>
      </c>
      <c r="I21" t="s">
        <v>532</v>
      </c>
      <c r="J21" t="s">
        <v>167</v>
      </c>
      <c r="K21" t="s">
        <v>168</v>
      </c>
      <c r="L21" t="s">
        <v>169</v>
      </c>
      <c r="M21" t="s">
        <v>4</v>
      </c>
    </row>
    <row r="22" spans="1:13" x14ac:dyDescent="0.4">
      <c r="A22" t="s">
        <v>499</v>
      </c>
      <c r="B22">
        <v>5220504</v>
      </c>
      <c r="C22" t="s">
        <v>500</v>
      </c>
      <c r="D22" t="s">
        <v>69</v>
      </c>
      <c r="E22" t="s">
        <v>90</v>
      </c>
      <c r="F22">
        <v>46141.366377314815</v>
      </c>
      <c r="G22">
        <v>2026</v>
      </c>
      <c r="H22" t="s">
        <v>501</v>
      </c>
      <c r="I22" t="s">
        <v>533</v>
      </c>
      <c r="J22" t="s">
        <v>209</v>
      </c>
      <c r="K22" t="s">
        <v>210</v>
      </c>
      <c r="L22" t="s">
        <v>211</v>
      </c>
      <c r="M22" t="s">
        <v>4</v>
      </c>
    </row>
    <row r="23" spans="1:13" x14ac:dyDescent="0.4">
      <c r="A23" t="s">
        <v>499</v>
      </c>
      <c r="B23">
        <v>5204102</v>
      </c>
      <c r="C23" t="s">
        <v>500</v>
      </c>
      <c r="D23" t="s">
        <v>369</v>
      </c>
      <c r="E23" t="s">
        <v>90</v>
      </c>
      <c r="F23">
        <v>46142.377175925925</v>
      </c>
      <c r="G23">
        <v>2026</v>
      </c>
      <c r="H23" t="s">
        <v>501</v>
      </c>
      <c r="I23" t="s">
        <v>534</v>
      </c>
      <c r="J23" t="s">
        <v>406</v>
      </c>
      <c r="K23" t="s">
        <v>535</v>
      </c>
      <c r="L23" t="s">
        <v>408</v>
      </c>
      <c r="M23" t="s">
        <v>4</v>
      </c>
    </row>
    <row r="24" spans="1:13" x14ac:dyDescent="0.4">
      <c r="A24" t="s">
        <v>499</v>
      </c>
      <c r="B24">
        <v>5003256</v>
      </c>
      <c r="C24" t="s">
        <v>514</v>
      </c>
      <c r="D24" t="s">
        <v>330</v>
      </c>
      <c r="E24" t="s">
        <v>90</v>
      </c>
      <c r="F24">
        <v>46142.353194444448</v>
      </c>
      <c r="G24">
        <v>2026</v>
      </c>
      <c r="H24" t="s">
        <v>501</v>
      </c>
      <c r="I24" t="s">
        <v>536</v>
      </c>
      <c r="J24" t="s">
        <v>327</v>
      </c>
      <c r="K24" t="s">
        <v>328</v>
      </c>
      <c r="L24" t="s">
        <v>329</v>
      </c>
      <c r="M24" t="s">
        <v>4</v>
      </c>
    </row>
    <row r="25" spans="1:13" x14ac:dyDescent="0.4">
      <c r="A25" t="s">
        <v>499</v>
      </c>
      <c r="B25">
        <v>5213004</v>
      </c>
      <c r="C25" t="s">
        <v>500</v>
      </c>
      <c r="D25" t="s">
        <v>162</v>
      </c>
      <c r="E25" t="s">
        <v>90</v>
      </c>
      <c r="F25">
        <v>46141.347974537035</v>
      </c>
      <c r="G25">
        <v>2026</v>
      </c>
      <c r="H25" t="s">
        <v>501</v>
      </c>
      <c r="I25" t="s">
        <v>537</v>
      </c>
      <c r="J25" t="s">
        <v>159</v>
      </c>
      <c r="K25" t="s">
        <v>160</v>
      </c>
      <c r="L25" t="s">
        <v>538</v>
      </c>
      <c r="M25" t="s">
        <v>3</v>
      </c>
    </row>
    <row r="26" spans="1:13" x14ac:dyDescent="0.4">
      <c r="A26" t="s">
        <v>499</v>
      </c>
      <c r="B26">
        <v>5219308</v>
      </c>
      <c r="C26" t="s">
        <v>500</v>
      </c>
      <c r="D26" t="s">
        <v>154</v>
      </c>
      <c r="E26" t="s">
        <v>90</v>
      </c>
      <c r="F26">
        <v>46141.336168981485</v>
      </c>
      <c r="G26">
        <v>2026</v>
      </c>
      <c r="H26" t="s">
        <v>501</v>
      </c>
      <c r="I26" t="s">
        <v>539</v>
      </c>
      <c r="J26" t="s">
        <v>195</v>
      </c>
      <c r="K26" t="s">
        <v>196</v>
      </c>
      <c r="L26" t="s">
        <v>197</v>
      </c>
      <c r="M26" t="s">
        <v>4</v>
      </c>
    </row>
    <row r="27" spans="1:13" x14ac:dyDescent="0.4">
      <c r="A27" t="s">
        <v>499</v>
      </c>
      <c r="B27">
        <v>5006309</v>
      </c>
      <c r="C27" t="s">
        <v>514</v>
      </c>
      <c r="D27" t="s">
        <v>76</v>
      </c>
      <c r="E27" t="s">
        <v>90</v>
      </c>
      <c r="F27">
        <v>46141.334699074076</v>
      </c>
      <c r="G27">
        <v>2026</v>
      </c>
      <c r="H27" t="s">
        <v>501</v>
      </c>
      <c r="I27" t="s">
        <v>540</v>
      </c>
      <c r="J27" t="s">
        <v>144</v>
      </c>
      <c r="K27" t="s">
        <v>145</v>
      </c>
      <c r="L27" t="s">
        <v>146</v>
      </c>
      <c r="M27" t="s">
        <v>4</v>
      </c>
    </row>
    <row r="28" spans="1:13" x14ac:dyDescent="0.4">
      <c r="A28" t="s">
        <v>499</v>
      </c>
      <c r="B28">
        <v>5100300</v>
      </c>
      <c r="C28" t="s">
        <v>530</v>
      </c>
      <c r="D28" t="s">
        <v>541</v>
      </c>
      <c r="E28" t="s">
        <v>90</v>
      </c>
      <c r="F28">
        <v>46142.339687500003</v>
      </c>
      <c r="G28">
        <v>2026</v>
      </c>
      <c r="H28" t="s">
        <v>501</v>
      </c>
      <c r="I28" t="s">
        <v>542</v>
      </c>
      <c r="J28" t="s">
        <v>543</v>
      </c>
      <c r="K28" t="s">
        <v>544</v>
      </c>
      <c r="L28" t="s">
        <v>545</v>
      </c>
      <c r="M28" t="s">
        <v>4</v>
      </c>
    </row>
    <row r="29" spans="1:13" x14ac:dyDescent="0.4">
      <c r="A29" t="s">
        <v>499</v>
      </c>
      <c r="B29">
        <v>5219712</v>
      </c>
      <c r="C29" t="s">
        <v>500</v>
      </c>
      <c r="D29" t="s">
        <v>546</v>
      </c>
      <c r="E29" t="s">
        <v>90</v>
      </c>
      <c r="F29">
        <v>46141.336921296293</v>
      </c>
      <c r="G29">
        <v>2026</v>
      </c>
      <c r="H29" t="s">
        <v>501</v>
      </c>
      <c r="I29" t="s">
        <v>547</v>
      </c>
      <c r="J29" t="s">
        <v>548</v>
      </c>
      <c r="K29" t="s">
        <v>549</v>
      </c>
      <c r="L29" t="s">
        <v>550</v>
      </c>
      <c r="M29" t="s">
        <v>4</v>
      </c>
    </row>
    <row r="30" spans="1:13" x14ac:dyDescent="0.4">
      <c r="A30" t="s">
        <v>499</v>
      </c>
      <c r="B30">
        <v>5006309</v>
      </c>
      <c r="C30" t="s">
        <v>514</v>
      </c>
      <c r="D30" t="s">
        <v>76</v>
      </c>
      <c r="E30" t="s">
        <v>90</v>
      </c>
      <c r="F30">
        <v>46141.335127314815</v>
      </c>
      <c r="G30">
        <v>2026</v>
      </c>
      <c r="H30" t="s">
        <v>501</v>
      </c>
      <c r="I30" t="s">
        <v>551</v>
      </c>
      <c r="J30" t="s">
        <v>189</v>
      </c>
      <c r="K30" t="s">
        <v>190</v>
      </c>
      <c r="L30" t="s">
        <v>191</v>
      </c>
      <c r="M30" t="s">
        <v>4</v>
      </c>
    </row>
    <row r="31" spans="1:13" x14ac:dyDescent="0.4">
      <c r="A31" t="s">
        <v>499</v>
      </c>
      <c r="B31">
        <v>5212253</v>
      </c>
      <c r="C31" t="s">
        <v>500</v>
      </c>
      <c r="D31" t="s">
        <v>552</v>
      </c>
      <c r="E31" t="s">
        <v>90</v>
      </c>
      <c r="F31">
        <v>46141.346180555556</v>
      </c>
      <c r="G31">
        <v>2026</v>
      </c>
      <c r="H31" t="s">
        <v>501</v>
      </c>
      <c r="I31" t="s">
        <v>553</v>
      </c>
      <c r="J31" t="s">
        <v>554</v>
      </c>
      <c r="K31" t="s">
        <v>555</v>
      </c>
      <c r="L31" t="s">
        <v>556</v>
      </c>
      <c r="M31" t="s">
        <v>3</v>
      </c>
    </row>
    <row r="32" spans="1:13" x14ac:dyDescent="0.4">
      <c r="A32" t="s">
        <v>499</v>
      </c>
      <c r="B32">
        <v>5213756</v>
      </c>
      <c r="C32" t="s">
        <v>500</v>
      </c>
      <c r="D32" t="s">
        <v>285</v>
      </c>
      <c r="E32" t="s">
        <v>90</v>
      </c>
      <c r="F32">
        <v>46141.364641203705</v>
      </c>
      <c r="G32">
        <v>2026</v>
      </c>
      <c r="H32" t="s">
        <v>501</v>
      </c>
      <c r="I32" t="s">
        <v>557</v>
      </c>
      <c r="J32" t="s">
        <v>282</v>
      </c>
      <c r="K32" t="s">
        <v>283</v>
      </c>
      <c r="L32" t="s">
        <v>558</v>
      </c>
      <c r="M32" t="s">
        <v>4</v>
      </c>
    </row>
    <row r="33" spans="1:13" x14ac:dyDescent="0.4">
      <c r="A33" t="s">
        <v>499</v>
      </c>
      <c r="B33">
        <v>5100607</v>
      </c>
      <c r="C33" t="s">
        <v>530</v>
      </c>
      <c r="D33" t="s">
        <v>353</v>
      </c>
      <c r="E33" t="s">
        <v>90</v>
      </c>
      <c r="F33">
        <v>46142.324837962966</v>
      </c>
      <c r="G33">
        <v>2026</v>
      </c>
      <c r="H33" t="s">
        <v>501</v>
      </c>
      <c r="I33" t="s">
        <v>559</v>
      </c>
      <c r="J33" t="s">
        <v>350</v>
      </c>
      <c r="K33" t="s">
        <v>351</v>
      </c>
      <c r="L33" t="s">
        <v>352</v>
      </c>
      <c r="M33" t="s">
        <v>4</v>
      </c>
    </row>
    <row r="34" spans="1:13" x14ac:dyDescent="0.4">
      <c r="A34" t="s">
        <v>499</v>
      </c>
      <c r="B34">
        <v>5211909</v>
      </c>
      <c r="C34" t="s">
        <v>500</v>
      </c>
      <c r="D34" t="s">
        <v>90</v>
      </c>
      <c r="E34" t="s">
        <v>90</v>
      </c>
      <c r="F34">
        <v>46141.337164351855</v>
      </c>
      <c r="G34">
        <v>2026</v>
      </c>
      <c r="H34" t="s">
        <v>501</v>
      </c>
      <c r="I34" t="s">
        <v>560</v>
      </c>
      <c r="J34" t="s">
        <v>296</v>
      </c>
      <c r="K34" t="s">
        <v>297</v>
      </c>
      <c r="L34" t="s">
        <v>298</v>
      </c>
      <c r="M34" t="s">
        <v>4</v>
      </c>
    </row>
    <row r="35" spans="1:13" x14ac:dyDescent="0.4">
      <c r="A35" t="s">
        <v>499</v>
      </c>
      <c r="B35">
        <v>5215652</v>
      </c>
      <c r="C35" t="s">
        <v>500</v>
      </c>
      <c r="D35" t="s">
        <v>83</v>
      </c>
      <c r="E35" t="s">
        <v>90</v>
      </c>
      <c r="F35">
        <v>46141.34957175926</v>
      </c>
      <c r="G35">
        <v>2026</v>
      </c>
      <c r="H35" t="s">
        <v>501</v>
      </c>
      <c r="I35" t="s">
        <v>561</v>
      </c>
      <c r="J35" t="s">
        <v>96</v>
      </c>
      <c r="K35" t="s">
        <v>97</v>
      </c>
      <c r="L35" t="s">
        <v>98</v>
      </c>
      <c r="M35" t="s">
        <v>4</v>
      </c>
    </row>
    <row r="36" spans="1:13" x14ac:dyDescent="0.4">
      <c r="A36" t="s">
        <v>499</v>
      </c>
      <c r="B36">
        <v>5210802</v>
      </c>
      <c r="C36" t="s">
        <v>500</v>
      </c>
      <c r="D36" t="s">
        <v>362</v>
      </c>
      <c r="E36" t="s">
        <v>90</v>
      </c>
      <c r="F36">
        <v>46142.335150462961</v>
      </c>
      <c r="G36">
        <v>2026</v>
      </c>
      <c r="H36" t="s">
        <v>501</v>
      </c>
      <c r="I36" t="s">
        <v>562</v>
      </c>
      <c r="J36" t="s">
        <v>563</v>
      </c>
      <c r="K36" t="s">
        <v>360</v>
      </c>
      <c r="L36" t="s">
        <v>564</v>
      </c>
      <c r="M36" t="s">
        <v>3</v>
      </c>
    </row>
    <row r="37" spans="1:13" x14ac:dyDescent="0.4">
      <c r="A37" t="s">
        <v>499</v>
      </c>
      <c r="B37">
        <v>5211305</v>
      </c>
      <c r="C37" t="s">
        <v>500</v>
      </c>
      <c r="D37" t="s">
        <v>394</v>
      </c>
      <c r="E37" t="s">
        <v>90</v>
      </c>
      <c r="F37">
        <v>46142.354722222219</v>
      </c>
      <c r="G37">
        <v>2026</v>
      </c>
      <c r="H37" t="s">
        <v>501</v>
      </c>
      <c r="I37" t="s">
        <v>565</v>
      </c>
      <c r="J37" t="s">
        <v>566</v>
      </c>
      <c r="K37" t="s">
        <v>392</v>
      </c>
      <c r="L37" t="s">
        <v>393</v>
      </c>
      <c r="M37" t="s">
        <v>3</v>
      </c>
    </row>
    <row r="38" spans="1:13" x14ac:dyDescent="0.4">
      <c r="A38" t="s">
        <v>499</v>
      </c>
      <c r="B38">
        <v>5205471</v>
      </c>
      <c r="C38" t="s">
        <v>500</v>
      </c>
      <c r="D38" t="s">
        <v>448</v>
      </c>
      <c r="E38" t="s">
        <v>90</v>
      </c>
      <c r="F38">
        <v>46142.342187499999</v>
      </c>
      <c r="G38">
        <v>2026</v>
      </c>
      <c r="H38" t="s">
        <v>501</v>
      </c>
      <c r="I38" t="s">
        <v>467</v>
      </c>
      <c r="J38" t="s">
        <v>468</v>
      </c>
      <c r="K38" t="s">
        <v>567</v>
      </c>
      <c r="L38" t="s">
        <v>470</v>
      </c>
      <c r="M38" t="s">
        <v>3</v>
      </c>
    </row>
    <row r="39" spans="1:13" x14ac:dyDescent="0.4">
      <c r="A39" t="s">
        <v>499</v>
      </c>
      <c r="B39">
        <v>5002902</v>
      </c>
      <c r="C39" t="s">
        <v>514</v>
      </c>
      <c r="D39" t="s">
        <v>422</v>
      </c>
      <c r="E39" t="s">
        <v>90</v>
      </c>
      <c r="F39">
        <v>46142.358182870368</v>
      </c>
      <c r="G39">
        <v>2026</v>
      </c>
      <c r="H39" t="s">
        <v>501</v>
      </c>
      <c r="I39" t="s">
        <v>568</v>
      </c>
      <c r="J39" t="s">
        <v>452</v>
      </c>
      <c r="K39" t="s">
        <v>453</v>
      </c>
      <c r="L39" t="s">
        <v>454</v>
      </c>
      <c r="M39" t="s">
        <v>4</v>
      </c>
    </row>
    <row r="40" spans="1:13" x14ac:dyDescent="0.4">
      <c r="A40" t="s">
        <v>499</v>
      </c>
      <c r="B40">
        <v>5204409</v>
      </c>
      <c r="C40" t="s">
        <v>500</v>
      </c>
      <c r="D40" t="s">
        <v>383</v>
      </c>
      <c r="E40" t="s">
        <v>90</v>
      </c>
      <c r="F40">
        <v>46142.352118055554</v>
      </c>
      <c r="G40">
        <v>2026</v>
      </c>
      <c r="H40" t="s">
        <v>501</v>
      </c>
      <c r="I40" t="s">
        <v>569</v>
      </c>
      <c r="J40" t="s">
        <v>380</v>
      </c>
      <c r="K40" t="s">
        <v>381</v>
      </c>
      <c r="L40" t="s">
        <v>382</v>
      </c>
      <c r="M40" t="s">
        <v>4</v>
      </c>
    </row>
    <row r="41" spans="1:13" x14ac:dyDescent="0.4">
      <c r="A41" t="s">
        <v>499</v>
      </c>
      <c r="B41">
        <v>5216452</v>
      </c>
      <c r="C41" t="s">
        <v>500</v>
      </c>
      <c r="D41" t="s">
        <v>105</v>
      </c>
      <c r="E41" t="s">
        <v>90</v>
      </c>
      <c r="F41">
        <v>46141.348356481481</v>
      </c>
      <c r="G41">
        <v>2026</v>
      </c>
      <c r="H41" t="s">
        <v>501</v>
      </c>
      <c r="I41" t="s">
        <v>570</v>
      </c>
      <c r="J41" t="s">
        <v>571</v>
      </c>
      <c r="K41" t="s">
        <v>572</v>
      </c>
      <c r="L41" t="s">
        <v>177</v>
      </c>
      <c r="M41" t="s">
        <v>4</v>
      </c>
    </row>
    <row r="42" spans="1:13" x14ac:dyDescent="0.4">
      <c r="A42" t="s">
        <v>499</v>
      </c>
      <c r="B42">
        <v>5205059</v>
      </c>
      <c r="C42" t="s">
        <v>500</v>
      </c>
      <c r="D42" t="s">
        <v>346</v>
      </c>
      <c r="E42" t="s">
        <v>90</v>
      </c>
      <c r="F42">
        <v>46142.361990740741</v>
      </c>
      <c r="G42">
        <v>2026</v>
      </c>
      <c r="H42" t="s">
        <v>501</v>
      </c>
      <c r="I42" t="s">
        <v>573</v>
      </c>
      <c r="J42" t="s">
        <v>439</v>
      </c>
      <c r="K42" t="s">
        <v>440</v>
      </c>
      <c r="L42" t="s">
        <v>441</v>
      </c>
      <c r="M42" t="s">
        <v>4</v>
      </c>
    </row>
    <row r="43" spans="1:13" x14ac:dyDescent="0.4">
      <c r="A43" t="s">
        <v>499</v>
      </c>
      <c r="B43">
        <v>5201454</v>
      </c>
      <c r="C43" t="s">
        <v>500</v>
      </c>
      <c r="D43" t="s">
        <v>376</v>
      </c>
      <c r="E43" t="s">
        <v>90</v>
      </c>
      <c r="F43">
        <v>46142.379027777781</v>
      </c>
      <c r="G43">
        <v>2026</v>
      </c>
      <c r="H43" t="s">
        <v>501</v>
      </c>
      <c r="I43" t="s">
        <v>574</v>
      </c>
      <c r="J43" t="s">
        <v>373</v>
      </c>
      <c r="K43" t="s">
        <v>374</v>
      </c>
      <c r="L43" t="s">
        <v>375</v>
      </c>
      <c r="M43" t="s">
        <v>4</v>
      </c>
    </row>
    <row r="44" spans="1:13" x14ac:dyDescent="0.4">
      <c r="A44" t="s">
        <v>499</v>
      </c>
      <c r="B44">
        <v>5211909</v>
      </c>
      <c r="C44" t="s">
        <v>500</v>
      </c>
      <c r="D44" t="s">
        <v>90</v>
      </c>
      <c r="E44" t="s">
        <v>90</v>
      </c>
      <c r="F44">
        <v>46141.345208333332</v>
      </c>
      <c r="G44">
        <v>2026</v>
      </c>
      <c r="H44" t="s">
        <v>501</v>
      </c>
      <c r="I44" t="s">
        <v>575</v>
      </c>
      <c r="J44" t="s">
        <v>87</v>
      </c>
      <c r="K44" t="s">
        <v>88</v>
      </c>
      <c r="L44" t="s">
        <v>89</v>
      </c>
      <c r="M44" t="s">
        <v>3</v>
      </c>
    </row>
    <row r="45" spans="1:13" x14ac:dyDescent="0.4">
      <c r="A45" t="s">
        <v>499</v>
      </c>
      <c r="B45">
        <v>5203500</v>
      </c>
      <c r="C45" t="s">
        <v>500</v>
      </c>
      <c r="D45" t="s">
        <v>576</v>
      </c>
      <c r="E45" t="s">
        <v>90</v>
      </c>
      <c r="F45">
        <v>46142.746493055558</v>
      </c>
      <c r="G45">
        <v>2026</v>
      </c>
      <c r="H45" t="s">
        <v>501</v>
      </c>
      <c r="I45" t="s">
        <v>577</v>
      </c>
      <c r="J45" t="s">
        <v>578</v>
      </c>
      <c r="K45" t="s">
        <v>579</v>
      </c>
      <c r="L45" t="s">
        <v>580</v>
      </c>
      <c r="M45" t="s">
        <v>4</v>
      </c>
    </row>
    <row r="46" spans="1:13" x14ac:dyDescent="0.4">
      <c r="A46" t="s">
        <v>499</v>
      </c>
      <c r="B46">
        <v>5215652</v>
      </c>
      <c r="C46" t="s">
        <v>500</v>
      </c>
      <c r="D46" t="s">
        <v>83</v>
      </c>
      <c r="E46" t="s">
        <v>90</v>
      </c>
      <c r="F46">
        <v>46141.349409722221</v>
      </c>
      <c r="G46">
        <v>2026</v>
      </c>
      <c r="H46" t="s">
        <v>501</v>
      </c>
      <c r="I46" t="s">
        <v>581</v>
      </c>
      <c r="J46" t="s">
        <v>222</v>
      </c>
      <c r="K46" t="s">
        <v>223</v>
      </c>
      <c r="L46" t="s">
        <v>224</v>
      </c>
      <c r="M46" t="s">
        <v>4</v>
      </c>
    </row>
    <row r="47" spans="1:13" x14ac:dyDescent="0.4">
      <c r="A47" t="s">
        <v>499</v>
      </c>
      <c r="B47">
        <v>5100300</v>
      </c>
      <c r="C47" t="s">
        <v>530</v>
      </c>
      <c r="D47" t="s">
        <v>541</v>
      </c>
      <c r="E47" t="s">
        <v>90</v>
      </c>
      <c r="F47">
        <v>46142.340509259258</v>
      </c>
      <c r="G47">
        <v>2026</v>
      </c>
      <c r="H47" t="s">
        <v>501</v>
      </c>
      <c r="I47" t="s">
        <v>582</v>
      </c>
      <c r="J47" t="s">
        <v>583</v>
      </c>
      <c r="K47" t="s">
        <v>584</v>
      </c>
      <c r="L47" t="s">
        <v>585</v>
      </c>
      <c r="M47" t="s">
        <v>4</v>
      </c>
    </row>
    <row r="48" spans="1:13" x14ac:dyDescent="0.4">
      <c r="A48" t="s">
        <v>499</v>
      </c>
      <c r="B48">
        <v>5221551</v>
      </c>
      <c r="C48" t="s">
        <v>500</v>
      </c>
      <c r="D48" t="s">
        <v>170</v>
      </c>
      <c r="E48" t="s">
        <v>90</v>
      </c>
      <c r="F48">
        <v>46141.340196759258</v>
      </c>
      <c r="G48">
        <v>2026</v>
      </c>
      <c r="H48" t="s">
        <v>501</v>
      </c>
      <c r="I48" t="s">
        <v>586</v>
      </c>
      <c r="J48" t="s">
        <v>587</v>
      </c>
      <c r="K48" t="s">
        <v>588</v>
      </c>
      <c r="L48" t="s">
        <v>589</v>
      </c>
      <c r="M48" t="s">
        <v>4</v>
      </c>
    </row>
    <row r="49" spans="1:13" x14ac:dyDescent="0.4">
      <c r="A49" t="s">
        <v>499</v>
      </c>
      <c r="B49">
        <v>5100409</v>
      </c>
      <c r="C49" t="s">
        <v>530</v>
      </c>
      <c r="D49" t="s">
        <v>590</v>
      </c>
      <c r="E49" t="s">
        <v>90</v>
      </c>
      <c r="F49">
        <v>46142.465891203705</v>
      </c>
      <c r="G49">
        <v>2026</v>
      </c>
      <c r="H49" t="s">
        <v>501</v>
      </c>
      <c r="I49" t="s">
        <v>591</v>
      </c>
      <c r="J49" t="s">
        <v>592</v>
      </c>
      <c r="K49" t="s">
        <v>593</v>
      </c>
      <c r="L49" t="s">
        <v>594</v>
      </c>
      <c r="M49" t="s">
        <v>4</v>
      </c>
    </row>
    <row r="50" spans="1:13" x14ac:dyDescent="0.4">
      <c r="A50" t="s">
        <v>499</v>
      </c>
      <c r="B50">
        <v>5218508</v>
      </c>
      <c r="C50" t="s">
        <v>500</v>
      </c>
      <c r="D50" t="s">
        <v>277</v>
      </c>
      <c r="E50" t="s">
        <v>90</v>
      </c>
      <c r="F50">
        <v>46141.349502314813</v>
      </c>
      <c r="G50">
        <v>2026</v>
      </c>
      <c r="H50" t="s">
        <v>501</v>
      </c>
      <c r="I50" t="s">
        <v>595</v>
      </c>
      <c r="J50" t="s">
        <v>596</v>
      </c>
      <c r="K50" t="s">
        <v>597</v>
      </c>
      <c r="L50" t="s">
        <v>598</v>
      </c>
      <c r="M50" t="s">
        <v>4</v>
      </c>
    </row>
    <row r="51" spans="1:13" x14ac:dyDescent="0.4">
      <c r="A51" t="s">
        <v>499</v>
      </c>
      <c r="B51">
        <v>5006309</v>
      </c>
      <c r="C51" t="s">
        <v>514</v>
      </c>
      <c r="D51" t="s">
        <v>76</v>
      </c>
      <c r="E51" t="s">
        <v>90</v>
      </c>
      <c r="F51">
        <v>46141.335752314815</v>
      </c>
      <c r="G51">
        <v>2026</v>
      </c>
      <c r="H51" t="s">
        <v>501</v>
      </c>
      <c r="I51" t="s">
        <v>599</v>
      </c>
      <c r="J51" t="s">
        <v>73</v>
      </c>
      <c r="K51" t="s">
        <v>74</v>
      </c>
      <c r="L51" t="s">
        <v>75</v>
      </c>
      <c r="M51" t="s">
        <v>4</v>
      </c>
    </row>
    <row r="52" spans="1:13" x14ac:dyDescent="0.4">
      <c r="A52" t="s">
        <v>499</v>
      </c>
      <c r="B52">
        <v>5209937</v>
      </c>
      <c r="C52" t="s">
        <v>500</v>
      </c>
      <c r="D52" t="s">
        <v>415</v>
      </c>
      <c r="E52" t="s">
        <v>90</v>
      </c>
      <c r="F52">
        <v>46142.359259259261</v>
      </c>
      <c r="G52">
        <v>2026</v>
      </c>
      <c r="H52" t="s">
        <v>501</v>
      </c>
      <c r="I52" t="s">
        <v>600</v>
      </c>
      <c r="J52" t="s">
        <v>412</v>
      </c>
      <c r="K52" t="s">
        <v>413</v>
      </c>
      <c r="L52" t="s">
        <v>601</v>
      </c>
      <c r="M52" t="s">
        <v>4</v>
      </c>
    </row>
    <row r="53" spans="1:13" x14ac:dyDescent="0.4">
      <c r="A53" t="s">
        <v>499</v>
      </c>
      <c r="B53">
        <v>5219308</v>
      </c>
      <c r="C53" t="s">
        <v>500</v>
      </c>
      <c r="D53" t="s">
        <v>154</v>
      </c>
      <c r="E53" t="s">
        <v>90</v>
      </c>
      <c r="F53">
        <v>46141.335590277777</v>
      </c>
      <c r="G53">
        <v>2026</v>
      </c>
      <c r="H53" t="s">
        <v>501</v>
      </c>
      <c r="I53" t="s">
        <v>602</v>
      </c>
      <c r="J53" t="s">
        <v>151</v>
      </c>
      <c r="K53" t="s">
        <v>152</v>
      </c>
      <c r="L53" t="s">
        <v>153</v>
      </c>
      <c r="M53" t="s">
        <v>4</v>
      </c>
    </row>
    <row r="54" spans="1:13" x14ac:dyDescent="0.4">
      <c r="A54" t="s">
        <v>499</v>
      </c>
      <c r="B54">
        <v>5220207</v>
      </c>
      <c r="C54" t="s">
        <v>500</v>
      </c>
      <c r="D54" t="s">
        <v>603</v>
      </c>
      <c r="E54" t="s">
        <v>90</v>
      </c>
      <c r="F54">
        <v>46142.332476851851</v>
      </c>
      <c r="G54">
        <v>2026</v>
      </c>
      <c r="H54" t="s">
        <v>501</v>
      </c>
      <c r="I54" t="s">
        <v>604</v>
      </c>
      <c r="J54" t="s">
        <v>474</v>
      </c>
      <c r="K54" t="s">
        <v>605</v>
      </c>
      <c r="L54" t="s">
        <v>606</v>
      </c>
      <c r="M54" t="s">
        <v>3</v>
      </c>
    </row>
    <row r="55" spans="1:13" x14ac:dyDescent="0.4">
      <c r="A55" t="s">
        <v>499</v>
      </c>
      <c r="B55">
        <v>5203500</v>
      </c>
      <c r="C55" t="s">
        <v>500</v>
      </c>
      <c r="D55" t="s">
        <v>576</v>
      </c>
      <c r="E55" t="s">
        <v>90</v>
      </c>
      <c r="F55">
        <v>46142.384768518517</v>
      </c>
      <c r="G55">
        <v>2026</v>
      </c>
      <c r="H55" t="s">
        <v>501</v>
      </c>
      <c r="I55" t="s">
        <v>607</v>
      </c>
      <c r="J55" t="s">
        <v>608</v>
      </c>
      <c r="K55" t="s">
        <v>609</v>
      </c>
      <c r="L55" t="s">
        <v>610</v>
      </c>
      <c r="M55" t="s">
        <v>3</v>
      </c>
    </row>
    <row r="56" spans="1:13" x14ac:dyDescent="0.4">
      <c r="A56" t="s">
        <v>499</v>
      </c>
      <c r="B56">
        <v>5100409</v>
      </c>
      <c r="C56" t="s">
        <v>530</v>
      </c>
      <c r="D56" t="s">
        <v>590</v>
      </c>
      <c r="E56" t="s">
        <v>90</v>
      </c>
      <c r="F56">
        <v>46142.464120370372</v>
      </c>
      <c r="G56">
        <v>2026</v>
      </c>
      <c r="H56" t="s">
        <v>501</v>
      </c>
      <c r="I56" t="s">
        <v>611</v>
      </c>
      <c r="J56" t="s">
        <v>612</v>
      </c>
      <c r="K56" t="s">
        <v>613</v>
      </c>
      <c r="L56" t="s">
        <v>614</v>
      </c>
      <c r="M56" t="s">
        <v>4</v>
      </c>
    </row>
    <row r="57" spans="1:13" x14ac:dyDescent="0.4">
      <c r="A57" t="s">
        <v>499</v>
      </c>
      <c r="B57">
        <v>5200902</v>
      </c>
      <c r="C57" t="s">
        <v>500</v>
      </c>
      <c r="D57" t="s">
        <v>311</v>
      </c>
      <c r="E57" t="s">
        <v>90</v>
      </c>
      <c r="F57">
        <v>46142.355347222219</v>
      </c>
      <c r="G57">
        <v>2026</v>
      </c>
      <c r="H57" t="s">
        <v>501</v>
      </c>
      <c r="I57" t="s">
        <v>320</v>
      </c>
      <c r="J57" t="s">
        <v>321</v>
      </c>
      <c r="K57" t="s">
        <v>615</v>
      </c>
      <c r="L57" t="s">
        <v>323</v>
      </c>
      <c r="M57" t="s">
        <v>4</v>
      </c>
    </row>
    <row r="58" spans="1:13" x14ac:dyDescent="0.4">
      <c r="A58" t="s">
        <v>499</v>
      </c>
      <c r="B58">
        <v>5220504</v>
      </c>
      <c r="C58" t="s">
        <v>500</v>
      </c>
      <c r="D58" t="s">
        <v>69</v>
      </c>
      <c r="E58" t="s">
        <v>90</v>
      </c>
      <c r="F58">
        <v>46141.376863425925</v>
      </c>
      <c r="G58">
        <v>2026</v>
      </c>
      <c r="H58" t="s">
        <v>501</v>
      </c>
      <c r="I58" t="s">
        <v>616</v>
      </c>
      <c r="J58" t="s">
        <v>110</v>
      </c>
      <c r="K58" t="s">
        <v>111</v>
      </c>
      <c r="L58" t="s">
        <v>112</v>
      </c>
      <c r="M58" t="s">
        <v>3</v>
      </c>
    </row>
    <row r="59" spans="1:13" x14ac:dyDescent="0.4">
      <c r="A59" t="s">
        <v>499</v>
      </c>
      <c r="B59">
        <v>5204102</v>
      </c>
      <c r="C59" t="s">
        <v>500</v>
      </c>
      <c r="D59" t="s">
        <v>369</v>
      </c>
      <c r="E59" t="s">
        <v>90</v>
      </c>
      <c r="F59">
        <v>46142.396273148152</v>
      </c>
      <c r="G59">
        <v>2026</v>
      </c>
      <c r="H59" t="s">
        <v>501</v>
      </c>
      <c r="I59" t="s">
        <v>617</v>
      </c>
      <c r="J59" t="s">
        <v>618</v>
      </c>
      <c r="K59" t="s">
        <v>619</v>
      </c>
      <c r="L59" t="s">
        <v>620</v>
      </c>
      <c r="M59" t="s">
        <v>4</v>
      </c>
    </row>
    <row r="60" spans="1:13" x14ac:dyDescent="0.4">
      <c r="A60" t="s">
        <v>499</v>
      </c>
      <c r="B60">
        <v>5212253</v>
      </c>
      <c r="C60" t="s">
        <v>500</v>
      </c>
      <c r="D60" t="s">
        <v>552</v>
      </c>
      <c r="E60" t="s">
        <v>90</v>
      </c>
      <c r="F60">
        <v>46141.345057870371</v>
      </c>
      <c r="G60">
        <v>2026</v>
      </c>
      <c r="H60" t="s">
        <v>501</v>
      </c>
      <c r="I60" t="s">
        <v>621</v>
      </c>
      <c r="J60" t="s">
        <v>622</v>
      </c>
      <c r="K60" t="s">
        <v>623</v>
      </c>
      <c r="L60" t="s">
        <v>624</v>
      </c>
      <c r="M60" t="s">
        <v>4</v>
      </c>
    </row>
    <row r="61" spans="1:13" x14ac:dyDescent="0.4">
      <c r="A61" t="s">
        <v>499</v>
      </c>
      <c r="B61">
        <v>5219407</v>
      </c>
      <c r="C61" t="s">
        <v>500</v>
      </c>
      <c r="D61" t="s">
        <v>218</v>
      </c>
      <c r="E61" t="s">
        <v>90</v>
      </c>
      <c r="F61">
        <v>46141.381909722222</v>
      </c>
      <c r="G61">
        <v>2026</v>
      </c>
      <c r="H61" t="s">
        <v>501</v>
      </c>
      <c r="I61" t="s">
        <v>625</v>
      </c>
      <c r="J61" t="s">
        <v>302</v>
      </c>
      <c r="K61" t="s">
        <v>303</v>
      </c>
      <c r="L61" t="s">
        <v>304</v>
      </c>
      <c r="M61" t="s">
        <v>4</v>
      </c>
    </row>
    <row r="62" spans="1:13" x14ac:dyDescent="0.4">
      <c r="A62" t="s">
        <v>499</v>
      </c>
      <c r="B62">
        <v>5220207</v>
      </c>
      <c r="C62" t="s">
        <v>500</v>
      </c>
      <c r="D62" t="s">
        <v>603</v>
      </c>
      <c r="E62" t="s">
        <v>90</v>
      </c>
      <c r="F62">
        <v>46142.331689814811</v>
      </c>
      <c r="G62">
        <v>2026</v>
      </c>
      <c r="H62" t="s">
        <v>501</v>
      </c>
      <c r="I62" t="s">
        <v>626</v>
      </c>
      <c r="J62" t="s">
        <v>627</v>
      </c>
      <c r="K62" t="s">
        <v>628</v>
      </c>
      <c r="L62" t="s">
        <v>629</v>
      </c>
      <c r="M62" t="s">
        <v>4</v>
      </c>
    </row>
    <row r="63" spans="1:13" x14ac:dyDescent="0.4">
      <c r="A63" t="s">
        <v>499</v>
      </c>
      <c r="B63">
        <v>5216452</v>
      </c>
      <c r="C63" t="s">
        <v>500</v>
      </c>
      <c r="D63" t="s">
        <v>105</v>
      </c>
      <c r="E63" t="s">
        <v>90</v>
      </c>
      <c r="F63">
        <v>46141.346863425926</v>
      </c>
      <c r="G63">
        <v>2026</v>
      </c>
      <c r="H63" t="s">
        <v>501</v>
      </c>
      <c r="I63" t="s">
        <v>630</v>
      </c>
      <c r="J63" t="s">
        <v>182</v>
      </c>
      <c r="K63" t="s">
        <v>183</v>
      </c>
      <c r="L63" t="s">
        <v>184</v>
      </c>
      <c r="M63" t="s">
        <v>4</v>
      </c>
    </row>
    <row r="64" spans="1:13" x14ac:dyDescent="0.4">
      <c r="A64" t="s">
        <v>499</v>
      </c>
      <c r="B64">
        <v>5218805</v>
      </c>
      <c r="C64" t="s">
        <v>500</v>
      </c>
      <c r="D64" t="s">
        <v>141</v>
      </c>
      <c r="E64" t="s">
        <v>90</v>
      </c>
      <c r="F64">
        <v>46141.368206018517</v>
      </c>
      <c r="G64">
        <v>2026</v>
      </c>
      <c r="H64" t="s">
        <v>501</v>
      </c>
      <c r="I64" t="s">
        <v>631</v>
      </c>
      <c r="J64" t="s">
        <v>138</v>
      </c>
      <c r="K64" t="s">
        <v>139</v>
      </c>
      <c r="L64" t="s">
        <v>140</v>
      </c>
      <c r="M64" t="s">
        <v>4</v>
      </c>
    </row>
    <row r="65" spans="1:13" x14ac:dyDescent="0.4">
      <c r="A65" t="s">
        <v>499</v>
      </c>
      <c r="B65">
        <v>5107198</v>
      </c>
      <c r="C65" t="s">
        <v>530</v>
      </c>
      <c r="D65" t="s">
        <v>121</v>
      </c>
      <c r="E65" t="s">
        <v>90</v>
      </c>
      <c r="F65">
        <v>46141.337708333333</v>
      </c>
      <c r="G65">
        <v>2026</v>
      </c>
      <c r="H65" t="s">
        <v>501</v>
      </c>
      <c r="I65" t="s">
        <v>632</v>
      </c>
      <c r="J65" t="s">
        <v>126</v>
      </c>
      <c r="K65" t="s">
        <v>127</v>
      </c>
      <c r="L65" t="s">
        <v>128</v>
      </c>
      <c r="M65" t="s">
        <v>4</v>
      </c>
    </row>
    <row r="66" spans="1:13" x14ac:dyDescent="0.4">
      <c r="A66" t="s">
        <v>499</v>
      </c>
      <c r="B66">
        <v>5212253</v>
      </c>
      <c r="C66" t="s">
        <v>500</v>
      </c>
      <c r="D66" t="s">
        <v>552</v>
      </c>
      <c r="E66" t="s">
        <v>90</v>
      </c>
      <c r="F66">
        <v>46141.345381944448</v>
      </c>
      <c r="G66">
        <v>2026</v>
      </c>
      <c r="H66" t="s">
        <v>501</v>
      </c>
      <c r="I66" t="s">
        <v>633</v>
      </c>
      <c r="J66" t="s">
        <v>634</v>
      </c>
      <c r="K66" t="s">
        <v>635</v>
      </c>
      <c r="L66" t="s">
        <v>636</v>
      </c>
      <c r="M66" t="s">
        <v>4</v>
      </c>
    </row>
    <row r="67" spans="1:13" x14ac:dyDescent="0.4">
      <c r="A67" t="s">
        <v>499</v>
      </c>
      <c r="B67">
        <v>5209150</v>
      </c>
      <c r="C67" t="s">
        <v>500</v>
      </c>
      <c r="D67" t="s">
        <v>485</v>
      </c>
      <c r="E67" t="s">
        <v>90</v>
      </c>
      <c r="F67">
        <v>46142.35633101852</v>
      </c>
      <c r="G67">
        <v>2026</v>
      </c>
      <c r="H67" t="s">
        <v>501</v>
      </c>
      <c r="I67" t="s">
        <v>637</v>
      </c>
      <c r="J67" t="s">
        <v>482</v>
      </c>
      <c r="K67" t="s">
        <v>483</v>
      </c>
      <c r="L67" t="s">
        <v>484</v>
      </c>
      <c r="M67" t="s">
        <v>4</v>
      </c>
    </row>
    <row r="68" spans="1:13" x14ac:dyDescent="0.4">
      <c r="A68" t="s">
        <v>499</v>
      </c>
      <c r="B68">
        <v>5220207</v>
      </c>
      <c r="C68" t="s">
        <v>500</v>
      </c>
      <c r="D68" t="s">
        <v>603</v>
      </c>
      <c r="E68" t="s">
        <v>90</v>
      </c>
      <c r="F68">
        <v>46142.333611111113</v>
      </c>
      <c r="G68">
        <v>2026</v>
      </c>
      <c r="H68" t="s">
        <v>501</v>
      </c>
      <c r="I68" t="s">
        <v>638</v>
      </c>
      <c r="J68" t="s">
        <v>639</v>
      </c>
      <c r="K68" t="s">
        <v>640</v>
      </c>
      <c r="L68" t="s">
        <v>641</v>
      </c>
      <c r="M68" t="s">
        <v>4</v>
      </c>
    </row>
    <row r="69" spans="1:13" x14ac:dyDescent="0.4">
      <c r="A69" t="s">
        <v>499</v>
      </c>
      <c r="B69">
        <v>5002902</v>
      </c>
      <c r="C69" t="s">
        <v>514</v>
      </c>
      <c r="D69" t="s">
        <v>422</v>
      </c>
      <c r="E69" t="s">
        <v>90</v>
      </c>
      <c r="F69">
        <v>46142.355868055558</v>
      </c>
      <c r="G69">
        <v>2026</v>
      </c>
      <c r="H69" t="s">
        <v>501</v>
      </c>
      <c r="I69" t="s">
        <v>418</v>
      </c>
      <c r="J69" t="s">
        <v>419</v>
      </c>
      <c r="K69" t="s">
        <v>420</v>
      </c>
      <c r="L69" t="s">
        <v>421</v>
      </c>
      <c r="M69" t="s">
        <v>4</v>
      </c>
    </row>
    <row r="70" spans="1:13" x14ac:dyDescent="0.4">
      <c r="A70" t="s">
        <v>499</v>
      </c>
      <c r="B70">
        <v>5205471</v>
      </c>
      <c r="C70" t="s">
        <v>500</v>
      </c>
      <c r="D70" t="s">
        <v>448</v>
      </c>
      <c r="E70" t="s">
        <v>90</v>
      </c>
      <c r="F70">
        <v>46142.332974537036</v>
      </c>
      <c r="G70">
        <v>2026</v>
      </c>
      <c r="H70" t="s">
        <v>501</v>
      </c>
      <c r="I70" t="s">
        <v>642</v>
      </c>
      <c r="J70" t="s">
        <v>643</v>
      </c>
      <c r="K70" t="s">
        <v>644</v>
      </c>
      <c r="L70" t="s">
        <v>645</v>
      </c>
      <c r="M70" t="s">
        <v>4</v>
      </c>
    </row>
    <row r="71" spans="1:13" x14ac:dyDescent="0.4">
      <c r="A71" t="s">
        <v>499</v>
      </c>
      <c r="B71">
        <v>5200902</v>
      </c>
      <c r="C71" t="s">
        <v>500</v>
      </c>
      <c r="D71" t="s">
        <v>311</v>
      </c>
      <c r="E71" t="s">
        <v>90</v>
      </c>
      <c r="F71">
        <v>46142.350763888891</v>
      </c>
      <c r="G71">
        <v>2026</v>
      </c>
      <c r="H71" t="s">
        <v>501</v>
      </c>
      <c r="I71" t="s">
        <v>646</v>
      </c>
      <c r="J71" t="s">
        <v>315</v>
      </c>
      <c r="K71" t="s">
        <v>647</v>
      </c>
      <c r="L71" t="s">
        <v>317</v>
      </c>
      <c r="M71" t="s">
        <v>4</v>
      </c>
    </row>
    <row r="72" spans="1:13" x14ac:dyDescent="0.4">
      <c r="A72" t="s">
        <v>499</v>
      </c>
      <c r="B72">
        <v>5216452</v>
      </c>
      <c r="C72" t="s">
        <v>500</v>
      </c>
      <c r="D72" t="s">
        <v>105</v>
      </c>
      <c r="E72" t="s">
        <v>90</v>
      </c>
      <c r="F72">
        <v>46141.347708333335</v>
      </c>
      <c r="G72">
        <v>2026</v>
      </c>
      <c r="H72" t="s">
        <v>501</v>
      </c>
      <c r="I72" t="s">
        <v>648</v>
      </c>
      <c r="J72" t="s">
        <v>102</v>
      </c>
      <c r="K72" t="s">
        <v>103</v>
      </c>
      <c r="L72" t="s">
        <v>104</v>
      </c>
      <c r="M72" t="s">
        <v>3</v>
      </c>
    </row>
    <row r="73" spans="1:13" x14ac:dyDescent="0.4">
      <c r="A73" t="s">
        <v>499</v>
      </c>
      <c r="B73">
        <v>5200902</v>
      </c>
      <c r="C73" t="s">
        <v>500</v>
      </c>
      <c r="D73" t="s">
        <v>311</v>
      </c>
      <c r="E73" t="s">
        <v>90</v>
      </c>
      <c r="F73">
        <v>46142.35733796296</v>
      </c>
      <c r="G73">
        <v>2026</v>
      </c>
      <c r="H73" t="s">
        <v>501</v>
      </c>
      <c r="I73" t="s">
        <v>649</v>
      </c>
      <c r="J73" t="s">
        <v>650</v>
      </c>
      <c r="K73" t="s">
        <v>651</v>
      </c>
      <c r="L73" t="s">
        <v>652</v>
      </c>
      <c r="M73" t="s">
        <v>3</v>
      </c>
    </row>
    <row r="74" spans="1:13" x14ac:dyDescent="0.4">
      <c r="A74" t="s">
        <v>499</v>
      </c>
      <c r="B74">
        <v>5215652</v>
      </c>
      <c r="C74" t="s">
        <v>500</v>
      </c>
      <c r="D74" t="s">
        <v>83</v>
      </c>
      <c r="E74" t="s">
        <v>90</v>
      </c>
      <c r="F74">
        <v>46141.349050925928</v>
      </c>
      <c r="G74">
        <v>2026</v>
      </c>
      <c r="H74" t="s">
        <v>501</v>
      </c>
      <c r="I74" t="s">
        <v>653</v>
      </c>
      <c r="J74" t="s">
        <v>80</v>
      </c>
      <c r="K74" t="s">
        <v>81</v>
      </c>
      <c r="L74" t="s">
        <v>82</v>
      </c>
      <c r="M74" t="s">
        <v>3</v>
      </c>
    </row>
    <row r="75" spans="1:13" x14ac:dyDescent="0.4">
      <c r="A75" t="s">
        <v>499</v>
      </c>
      <c r="B75">
        <v>5200902</v>
      </c>
      <c r="C75" t="s">
        <v>500</v>
      </c>
      <c r="D75" t="s">
        <v>311</v>
      </c>
      <c r="E75" t="s">
        <v>90</v>
      </c>
      <c r="F75">
        <v>46142.351863425924</v>
      </c>
      <c r="G75">
        <v>2026</v>
      </c>
      <c r="H75" t="s">
        <v>501</v>
      </c>
      <c r="I75" t="s">
        <v>654</v>
      </c>
      <c r="J75" t="s">
        <v>308</v>
      </c>
      <c r="K75" t="s">
        <v>309</v>
      </c>
      <c r="L75" t="s">
        <v>310</v>
      </c>
      <c r="M75" t="s">
        <v>4</v>
      </c>
    </row>
    <row r="76" spans="1:13" x14ac:dyDescent="0.4">
      <c r="A76" t="s">
        <v>499</v>
      </c>
      <c r="B76">
        <v>5220405</v>
      </c>
      <c r="C76" t="s">
        <v>500</v>
      </c>
      <c r="D76" t="s">
        <v>206</v>
      </c>
      <c r="E76" t="s">
        <v>90</v>
      </c>
      <c r="F76">
        <v>46141.369201388887</v>
      </c>
      <c r="G76">
        <v>2026</v>
      </c>
      <c r="H76" t="s">
        <v>501</v>
      </c>
      <c r="I76" t="s">
        <v>655</v>
      </c>
      <c r="J76" t="s">
        <v>203</v>
      </c>
      <c r="K76" t="s">
        <v>204</v>
      </c>
      <c r="L76" t="s">
        <v>205</v>
      </c>
      <c r="M76" t="s">
        <v>4</v>
      </c>
    </row>
    <row r="77" spans="1:13" x14ac:dyDescent="0.4">
      <c r="A77" t="s">
        <v>499</v>
      </c>
      <c r="B77">
        <v>5220504</v>
      </c>
      <c r="C77" t="s">
        <v>500</v>
      </c>
      <c r="D77" t="s">
        <v>69</v>
      </c>
      <c r="E77" t="s">
        <v>90</v>
      </c>
      <c r="F77">
        <v>46141.377916666665</v>
      </c>
      <c r="G77">
        <v>2026</v>
      </c>
      <c r="H77" t="s">
        <v>501</v>
      </c>
      <c r="I77" t="s">
        <v>656</v>
      </c>
      <c r="J77" t="s">
        <v>66</v>
      </c>
      <c r="K77" t="s">
        <v>67</v>
      </c>
      <c r="L77" t="s">
        <v>68</v>
      </c>
      <c r="M77" t="s">
        <v>3</v>
      </c>
    </row>
    <row r="78" spans="1:13" x14ac:dyDescent="0.4">
      <c r="A78" t="s">
        <v>499</v>
      </c>
      <c r="B78">
        <v>5205059</v>
      </c>
      <c r="C78" t="s">
        <v>500</v>
      </c>
      <c r="D78" t="s">
        <v>346</v>
      </c>
      <c r="E78" t="s">
        <v>90</v>
      </c>
      <c r="F78">
        <v>46142.358842592592</v>
      </c>
      <c r="G78">
        <v>2026</v>
      </c>
      <c r="H78" t="s">
        <v>501</v>
      </c>
      <c r="I78" t="s">
        <v>657</v>
      </c>
      <c r="J78" t="s">
        <v>343</v>
      </c>
      <c r="K78" t="s">
        <v>658</v>
      </c>
      <c r="L78" t="s">
        <v>659</v>
      </c>
      <c r="M78" t="s">
        <v>3</v>
      </c>
    </row>
    <row r="79" spans="1:13" x14ac:dyDescent="0.4">
      <c r="A79" t="s">
        <v>499</v>
      </c>
      <c r="B79">
        <v>5003256</v>
      </c>
      <c r="C79" t="s">
        <v>514</v>
      </c>
      <c r="D79" t="s">
        <v>330</v>
      </c>
      <c r="E79" t="s">
        <v>90</v>
      </c>
      <c r="F79">
        <v>46142.353981481479</v>
      </c>
      <c r="G79">
        <v>2026</v>
      </c>
      <c r="H79" t="s">
        <v>501</v>
      </c>
      <c r="I79" t="s">
        <v>660</v>
      </c>
      <c r="J79" t="s">
        <v>335</v>
      </c>
      <c r="K79" t="s">
        <v>336</v>
      </c>
      <c r="L79" t="s">
        <v>337</v>
      </c>
      <c r="M79" t="s">
        <v>4</v>
      </c>
    </row>
    <row r="80" spans="1:13" x14ac:dyDescent="0.4">
      <c r="A80" t="s">
        <v>499</v>
      </c>
      <c r="B80">
        <v>5204102</v>
      </c>
      <c r="C80" t="s">
        <v>500</v>
      </c>
      <c r="D80" t="s">
        <v>369</v>
      </c>
      <c r="E80" t="s">
        <v>90</v>
      </c>
      <c r="F80">
        <v>46112.385023148148</v>
      </c>
      <c r="G80">
        <v>2026</v>
      </c>
      <c r="H80" t="s">
        <v>501</v>
      </c>
      <c r="I80" t="s">
        <v>683</v>
      </c>
      <c r="J80" t="s">
        <v>366</v>
      </c>
      <c r="K80" t="s">
        <v>367</v>
      </c>
      <c r="L80" t="s">
        <v>368</v>
      </c>
      <c r="M80" t="s">
        <v>3</v>
      </c>
    </row>
    <row r="81" spans="1:13" x14ac:dyDescent="0.4">
      <c r="A81" t="s">
        <v>499</v>
      </c>
      <c r="B81">
        <v>5213004</v>
      </c>
      <c r="C81" t="s">
        <v>500</v>
      </c>
      <c r="D81" t="s">
        <v>162</v>
      </c>
      <c r="E81" t="s">
        <v>90</v>
      </c>
      <c r="F81">
        <v>46141.347824074073</v>
      </c>
      <c r="G81">
        <v>2026</v>
      </c>
      <c r="H81" t="s">
        <v>501</v>
      </c>
      <c r="I81" t="s">
        <v>661</v>
      </c>
      <c r="J81" t="s">
        <v>662</v>
      </c>
      <c r="K81" t="s">
        <v>663</v>
      </c>
      <c r="L81" t="s">
        <v>664</v>
      </c>
      <c r="M81" t="s">
        <v>4</v>
      </c>
    </row>
    <row r="82" spans="1:13" x14ac:dyDescent="0.4">
      <c r="A82" t="s">
        <v>499</v>
      </c>
      <c r="B82">
        <v>5001003</v>
      </c>
      <c r="C82" t="s">
        <v>514</v>
      </c>
      <c r="D82" t="s">
        <v>665</v>
      </c>
      <c r="E82" t="s">
        <v>90</v>
      </c>
      <c r="F82">
        <v>46142.353981481479</v>
      </c>
      <c r="G82">
        <v>2026</v>
      </c>
      <c r="H82" t="s">
        <v>666</v>
      </c>
      <c r="I82" t="s">
        <v>667</v>
      </c>
      <c r="J82" t="s">
        <v>667</v>
      </c>
      <c r="K82" t="s">
        <v>667</v>
      </c>
      <c r="L82" t="s">
        <v>667</v>
      </c>
      <c r="M82" t="s">
        <v>667</v>
      </c>
    </row>
    <row r="83" spans="1:13" x14ac:dyDescent="0.4">
      <c r="A83" t="s">
        <v>499</v>
      </c>
      <c r="B83">
        <v>5101209</v>
      </c>
      <c r="C83" t="s">
        <v>530</v>
      </c>
      <c r="D83" t="s">
        <v>668</v>
      </c>
      <c r="E83" t="s">
        <v>90</v>
      </c>
      <c r="F83">
        <v>46142.353981481479</v>
      </c>
      <c r="G83">
        <v>2026</v>
      </c>
      <c r="H83" t="s">
        <v>666</v>
      </c>
      <c r="I83" t="s">
        <v>667</v>
      </c>
      <c r="J83" t="s">
        <v>667</v>
      </c>
      <c r="K83" t="s">
        <v>667</v>
      </c>
      <c r="L83" t="s">
        <v>667</v>
      </c>
      <c r="M83" t="s">
        <v>667</v>
      </c>
    </row>
    <row r="84" spans="1:13" x14ac:dyDescent="0.4">
      <c r="A84" t="s">
        <v>499</v>
      </c>
      <c r="B84">
        <v>5202353</v>
      </c>
      <c r="C84" t="s">
        <v>500</v>
      </c>
      <c r="D84" t="s">
        <v>669</v>
      </c>
      <c r="E84" t="s">
        <v>90</v>
      </c>
      <c r="F84">
        <v>46142</v>
      </c>
      <c r="G84">
        <v>2026</v>
      </c>
      <c r="H84" t="s">
        <v>666</v>
      </c>
      <c r="I84" t="s">
        <v>667</v>
      </c>
      <c r="J84" t="s">
        <v>667</v>
      </c>
      <c r="K84" t="s">
        <v>667</v>
      </c>
      <c r="L84" t="s">
        <v>667</v>
      </c>
      <c r="M84" t="s">
        <v>667</v>
      </c>
    </row>
    <row r="85" spans="1:13" x14ac:dyDescent="0.4">
      <c r="A85" t="s">
        <v>499</v>
      </c>
      <c r="B85">
        <v>5204300</v>
      </c>
      <c r="C85" t="s">
        <v>500</v>
      </c>
      <c r="D85" t="s">
        <v>670</v>
      </c>
      <c r="E85" t="s">
        <v>90</v>
      </c>
      <c r="F85">
        <v>46142</v>
      </c>
      <c r="G85">
        <v>2026</v>
      </c>
      <c r="H85" t="s">
        <v>666</v>
      </c>
      <c r="I85" t="s">
        <v>667</v>
      </c>
      <c r="J85" t="s">
        <v>667</v>
      </c>
      <c r="K85" t="s">
        <v>667</v>
      </c>
      <c r="L85" t="s">
        <v>667</v>
      </c>
      <c r="M85" t="s">
        <v>667</v>
      </c>
    </row>
    <row r="86" spans="1:13" x14ac:dyDescent="0.4">
      <c r="A86" t="s">
        <v>499</v>
      </c>
      <c r="B86">
        <v>5002951</v>
      </c>
      <c r="C86" t="s">
        <v>514</v>
      </c>
      <c r="D86" t="s">
        <v>671</v>
      </c>
      <c r="E86" t="s">
        <v>90</v>
      </c>
      <c r="F86">
        <v>46142</v>
      </c>
      <c r="G86">
        <v>2026</v>
      </c>
      <c r="H86" t="s">
        <v>666</v>
      </c>
      <c r="I86" t="s">
        <v>667</v>
      </c>
      <c r="J86" t="s">
        <v>667</v>
      </c>
      <c r="K86" t="s">
        <v>667</v>
      </c>
      <c r="L86" t="s">
        <v>667</v>
      </c>
      <c r="M86" t="s">
        <v>667</v>
      </c>
    </row>
    <row r="87" spans="1:13" x14ac:dyDescent="0.4">
      <c r="A87" t="s">
        <v>499</v>
      </c>
      <c r="B87">
        <v>5207105</v>
      </c>
      <c r="C87" t="s">
        <v>500</v>
      </c>
      <c r="D87" t="s">
        <v>672</v>
      </c>
      <c r="E87" t="s">
        <v>90</v>
      </c>
      <c r="F87">
        <v>46142</v>
      </c>
      <c r="G87">
        <v>2026</v>
      </c>
      <c r="H87" t="s">
        <v>666</v>
      </c>
      <c r="I87" t="s">
        <v>667</v>
      </c>
      <c r="J87" t="s">
        <v>667</v>
      </c>
      <c r="K87" t="s">
        <v>667</v>
      </c>
      <c r="L87" t="s">
        <v>667</v>
      </c>
      <c r="M87" t="s">
        <v>667</v>
      </c>
    </row>
    <row r="88" spans="1:13" x14ac:dyDescent="0.4">
      <c r="A88" t="s">
        <v>499</v>
      </c>
      <c r="B88">
        <v>5207253</v>
      </c>
      <c r="C88" t="s">
        <v>500</v>
      </c>
      <c r="D88" t="s">
        <v>673</v>
      </c>
      <c r="E88" t="s">
        <v>90</v>
      </c>
      <c r="F88">
        <v>46142</v>
      </c>
      <c r="G88">
        <v>2026</v>
      </c>
      <c r="H88" t="s">
        <v>666</v>
      </c>
      <c r="I88" t="s">
        <v>667</v>
      </c>
      <c r="J88" t="s">
        <v>667</v>
      </c>
      <c r="K88" t="s">
        <v>667</v>
      </c>
      <c r="L88" t="s">
        <v>667</v>
      </c>
      <c r="M88" t="s">
        <v>667</v>
      </c>
    </row>
    <row r="89" spans="1:13" x14ac:dyDescent="0.4">
      <c r="A89" t="s">
        <v>499</v>
      </c>
      <c r="B89">
        <v>5210208</v>
      </c>
      <c r="C89" t="s">
        <v>500</v>
      </c>
      <c r="D89" t="s">
        <v>674</v>
      </c>
      <c r="E89" t="s">
        <v>90</v>
      </c>
      <c r="F89">
        <v>46142</v>
      </c>
      <c r="G89">
        <v>2026</v>
      </c>
      <c r="H89" t="s">
        <v>666</v>
      </c>
      <c r="I89" t="s">
        <v>667</v>
      </c>
      <c r="J89" t="s">
        <v>667</v>
      </c>
      <c r="K89" t="s">
        <v>667</v>
      </c>
      <c r="L89" t="s">
        <v>667</v>
      </c>
      <c r="M89" t="s">
        <v>667</v>
      </c>
    </row>
    <row r="90" spans="1:13" x14ac:dyDescent="0.4">
      <c r="A90" t="s">
        <v>499</v>
      </c>
      <c r="B90">
        <v>5006275</v>
      </c>
      <c r="C90" t="s">
        <v>514</v>
      </c>
      <c r="D90" t="s">
        <v>675</v>
      </c>
      <c r="E90" t="s">
        <v>90</v>
      </c>
      <c r="F90">
        <v>46142</v>
      </c>
      <c r="G90">
        <v>2026</v>
      </c>
      <c r="H90" t="s">
        <v>666</v>
      </c>
      <c r="I90" t="s">
        <v>667</v>
      </c>
      <c r="J90" t="s">
        <v>667</v>
      </c>
      <c r="K90" t="s">
        <v>667</v>
      </c>
      <c r="L90" t="s">
        <v>667</v>
      </c>
      <c r="M90" t="s">
        <v>667</v>
      </c>
    </row>
    <row r="91" spans="1:13" x14ac:dyDescent="0.4">
      <c r="A91" t="s">
        <v>499</v>
      </c>
      <c r="B91">
        <v>5216304</v>
      </c>
      <c r="C91" t="s">
        <v>500</v>
      </c>
      <c r="D91" t="s">
        <v>676</v>
      </c>
      <c r="E91" t="s">
        <v>90</v>
      </c>
      <c r="F91">
        <v>46142</v>
      </c>
      <c r="G91">
        <v>2026</v>
      </c>
      <c r="H91" t="s">
        <v>666</v>
      </c>
      <c r="I91" t="s">
        <v>667</v>
      </c>
      <c r="J91" t="s">
        <v>667</v>
      </c>
      <c r="K91" t="s">
        <v>667</v>
      </c>
      <c r="L91" t="s">
        <v>667</v>
      </c>
      <c r="M91" t="s">
        <v>667</v>
      </c>
    </row>
    <row r="92" spans="1:13" x14ac:dyDescent="0.4">
      <c r="A92" t="s">
        <v>499</v>
      </c>
      <c r="B92">
        <v>5217203</v>
      </c>
      <c r="C92" t="s">
        <v>500</v>
      </c>
      <c r="D92" t="s">
        <v>677</v>
      </c>
      <c r="E92" t="s">
        <v>90</v>
      </c>
      <c r="F92">
        <v>46142</v>
      </c>
      <c r="G92">
        <v>2026</v>
      </c>
      <c r="H92" t="s">
        <v>666</v>
      </c>
      <c r="I92" t="s">
        <v>667</v>
      </c>
      <c r="J92" t="s">
        <v>667</v>
      </c>
      <c r="K92" t="s">
        <v>667</v>
      </c>
      <c r="L92" t="s">
        <v>667</v>
      </c>
      <c r="M92" t="s">
        <v>667</v>
      </c>
    </row>
    <row r="93" spans="1:13" x14ac:dyDescent="0.4">
      <c r="A93" t="s">
        <v>499</v>
      </c>
      <c r="B93">
        <v>5106703</v>
      </c>
      <c r="C93" t="s">
        <v>530</v>
      </c>
      <c r="D93" t="s">
        <v>678</v>
      </c>
      <c r="E93" t="s">
        <v>90</v>
      </c>
      <c r="F93">
        <v>46142</v>
      </c>
      <c r="G93">
        <v>2026</v>
      </c>
      <c r="H93" t="s">
        <v>666</v>
      </c>
      <c r="I93" t="s">
        <v>667</v>
      </c>
      <c r="J93" t="s">
        <v>667</v>
      </c>
      <c r="K93" t="s">
        <v>667</v>
      </c>
      <c r="L93" t="s">
        <v>667</v>
      </c>
      <c r="M93" t="s">
        <v>667</v>
      </c>
    </row>
    <row r="94" spans="1:13" x14ac:dyDescent="0.4">
      <c r="A94" t="s">
        <v>499</v>
      </c>
      <c r="B94">
        <v>5218052</v>
      </c>
      <c r="C94" t="s">
        <v>500</v>
      </c>
      <c r="D94" t="s">
        <v>679</v>
      </c>
      <c r="E94" t="s">
        <v>90</v>
      </c>
      <c r="F94">
        <v>46142</v>
      </c>
      <c r="G94">
        <v>2026</v>
      </c>
      <c r="H94" t="s">
        <v>666</v>
      </c>
      <c r="I94" t="s">
        <v>667</v>
      </c>
      <c r="J94" t="s">
        <v>667</v>
      </c>
      <c r="K94" t="s">
        <v>667</v>
      </c>
      <c r="L94" t="s">
        <v>667</v>
      </c>
      <c r="M94" t="s">
        <v>667</v>
      </c>
    </row>
    <row r="95" spans="1:13" x14ac:dyDescent="0.4">
      <c r="A95" t="s">
        <v>499</v>
      </c>
      <c r="B95">
        <v>5218102</v>
      </c>
      <c r="C95" t="s">
        <v>500</v>
      </c>
      <c r="D95" t="s">
        <v>680</v>
      </c>
      <c r="E95" t="s">
        <v>90</v>
      </c>
      <c r="F95">
        <v>46142</v>
      </c>
      <c r="G95">
        <v>2026</v>
      </c>
      <c r="H95" t="s">
        <v>666</v>
      </c>
      <c r="I95" t="s">
        <v>667</v>
      </c>
      <c r="J95" t="s">
        <v>667</v>
      </c>
      <c r="K95" t="s">
        <v>667</v>
      </c>
      <c r="L95" t="s">
        <v>667</v>
      </c>
      <c r="M95" t="s">
        <v>667</v>
      </c>
    </row>
    <row r="96" spans="1:13" x14ac:dyDescent="0.4">
      <c r="A96" t="s">
        <v>499</v>
      </c>
      <c r="B96">
        <v>5007802</v>
      </c>
      <c r="C96" t="s">
        <v>514</v>
      </c>
      <c r="D96" t="s">
        <v>681</v>
      </c>
      <c r="E96" t="s">
        <v>90</v>
      </c>
      <c r="F96">
        <v>46142</v>
      </c>
      <c r="G96">
        <v>2026</v>
      </c>
      <c r="H96" t="s">
        <v>666</v>
      </c>
      <c r="I96" t="s">
        <v>667</v>
      </c>
      <c r="J96" t="s">
        <v>667</v>
      </c>
      <c r="K96" t="s">
        <v>667</v>
      </c>
      <c r="L96" t="s">
        <v>667</v>
      </c>
      <c r="M96" t="s">
        <v>667</v>
      </c>
    </row>
    <row r="97" spans="1:13" x14ac:dyDescent="0.4">
      <c r="A97" t="s">
        <v>499</v>
      </c>
      <c r="B97">
        <v>5108204</v>
      </c>
      <c r="C97" t="s">
        <v>530</v>
      </c>
      <c r="D97" t="s">
        <v>682</v>
      </c>
      <c r="E97" t="s">
        <v>90</v>
      </c>
      <c r="F97">
        <v>46142</v>
      </c>
      <c r="G97">
        <v>2026</v>
      </c>
      <c r="H97" t="s">
        <v>666</v>
      </c>
      <c r="I97" t="s">
        <v>667</v>
      </c>
      <c r="J97" t="s">
        <v>667</v>
      </c>
      <c r="K97" t="s">
        <v>667</v>
      </c>
      <c r="L97" t="s">
        <v>667</v>
      </c>
      <c r="M97" t="s">
        <v>667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D161"/>
  <sheetViews>
    <sheetView topLeftCell="D41" zoomScale="85" zoomScaleNormal="85" workbookViewId="0">
      <selection activeCell="X29" sqref="X29"/>
    </sheetView>
  </sheetViews>
  <sheetFormatPr defaultColWidth="9" defaultRowHeight="19.5" x14ac:dyDescent="0.4"/>
  <cols>
    <col min="1" max="1" width="22.5" style="67" customWidth="1"/>
    <col min="2" max="2" width="30.5" style="38" bestFit="1" customWidth="1"/>
    <col min="3" max="3" width="28.375" style="38" customWidth="1"/>
    <col min="4" max="4" width="37.375" style="38" customWidth="1"/>
    <col min="5" max="5" width="15.375" style="67" customWidth="1"/>
    <col min="6" max="6" width="23.75" style="67" customWidth="1"/>
    <col min="7" max="7" width="17.5" style="67" customWidth="1"/>
    <col min="8" max="14" width="9" style="38" customWidth="1"/>
    <col min="15" max="15" width="60.375" style="38" customWidth="1"/>
    <col min="16" max="16" width="88.25" style="38" customWidth="1"/>
    <col min="17" max="17" width="25.75" style="38" customWidth="1"/>
    <col min="18" max="18" width="25" style="38" customWidth="1"/>
    <col min="19" max="19" width="85.5" style="38" customWidth="1"/>
    <col min="20" max="20" width="44.375" style="38" customWidth="1"/>
    <col min="21" max="21" width="56.75" style="38" customWidth="1"/>
    <col min="22" max="22" width="27.5" style="38" bestFit="1" customWidth="1"/>
    <col min="23" max="23" width="9.25" style="38" bestFit="1" customWidth="1"/>
    <col min="24" max="24" width="28.125" style="38" bestFit="1" customWidth="1"/>
    <col min="25" max="32" width="8.75" style="38" customWidth="1"/>
    <col min="33" max="16384" width="9" style="38"/>
  </cols>
  <sheetData>
    <row r="1" spans="1:30" customFormat="1" ht="26.25" thickBot="1" x14ac:dyDescent="0.45">
      <c r="A1" s="39" t="s">
        <v>0</v>
      </c>
      <c r="B1" s="5" t="s">
        <v>9</v>
      </c>
      <c r="C1" s="5" t="s">
        <v>10</v>
      </c>
      <c r="D1" s="5" t="s">
        <v>11</v>
      </c>
      <c r="E1" s="40" t="s">
        <v>57</v>
      </c>
      <c r="F1" s="41" t="s">
        <v>12</v>
      </c>
      <c r="G1" s="41" t="s">
        <v>13</v>
      </c>
      <c r="H1" s="6" t="s">
        <v>14</v>
      </c>
      <c r="I1" s="6" t="s">
        <v>15</v>
      </c>
      <c r="J1" s="6" t="s">
        <v>16</v>
      </c>
      <c r="K1" s="6" t="s">
        <v>17</v>
      </c>
      <c r="L1" s="6" t="s">
        <v>18</v>
      </c>
      <c r="M1" s="6" t="s">
        <v>19</v>
      </c>
      <c r="N1" s="6" t="s">
        <v>20</v>
      </c>
      <c r="O1" s="6" t="s">
        <v>21</v>
      </c>
      <c r="P1" s="6" t="s">
        <v>22</v>
      </c>
      <c r="Q1" s="6" t="s">
        <v>23</v>
      </c>
      <c r="R1" s="6" t="s">
        <v>24</v>
      </c>
      <c r="S1" s="47" t="s">
        <v>58</v>
      </c>
      <c r="T1" s="6" t="s">
        <v>5</v>
      </c>
      <c r="U1" s="7" t="s">
        <v>1</v>
      </c>
    </row>
    <row r="2" spans="1:30" ht="25.5" x14ac:dyDescent="0.4">
      <c r="A2" s="103">
        <v>46142.690046296295</v>
      </c>
      <c r="B2" s="104" t="s">
        <v>430</v>
      </c>
      <c r="C2" s="104" t="s">
        <v>431</v>
      </c>
      <c r="D2" s="104" t="s">
        <v>432</v>
      </c>
      <c r="E2" s="105" t="s">
        <v>433</v>
      </c>
      <c r="F2" s="105" t="s">
        <v>415</v>
      </c>
      <c r="G2" s="105" t="s">
        <v>25</v>
      </c>
      <c r="H2" s="106">
        <v>5</v>
      </c>
      <c r="I2" s="106">
        <v>5</v>
      </c>
      <c r="J2" s="106">
        <v>4</v>
      </c>
      <c r="K2" s="106">
        <v>5</v>
      </c>
      <c r="L2" s="106">
        <v>5</v>
      </c>
      <c r="M2" s="106">
        <v>5</v>
      </c>
      <c r="N2" s="106">
        <v>4</v>
      </c>
      <c r="O2" s="104" t="s">
        <v>434</v>
      </c>
      <c r="P2" s="104" t="s">
        <v>435</v>
      </c>
      <c r="Q2" s="104" t="s">
        <v>26</v>
      </c>
      <c r="R2" s="107"/>
      <c r="S2" s="104" t="s">
        <v>436</v>
      </c>
      <c r="T2" s="104" t="s">
        <v>54</v>
      </c>
      <c r="U2" s="107" t="s">
        <v>437</v>
      </c>
      <c r="V2" s="38" t="str">
        <f>+F2</f>
        <v>INACIOLÂNDIA</v>
      </c>
      <c r="W2">
        <f>_xlfn.XLOOKUP(C2,Planilha2!$J$2:$J$97,Planilha2!$B$2:$B$97)</f>
        <v>5209937</v>
      </c>
      <c r="X2"/>
      <c r="Y2"/>
      <c r="Z2"/>
      <c r="AA2"/>
      <c r="AB2"/>
      <c r="AC2"/>
      <c r="AD2"/>
    </row>
    <row r="3" spans="1:30" x14ac:dyDescent="0.4">
      <c r="A3" s="103">
        <v>46142.688530092593</v>
      </c>
      <c r="B3" s="104" t="s">
        <v>358</v>
      </c>
      <c r="C3" s="104" t="s">
        <v>563</v>
      </c>
      <c r="D3" s="104" t="s">
        <v>360</v>
      </c>
      <c r="E3" s="105" t="s">
        <v>361</v>
      </c>
      <c r="F3" s="105" t="s">
        <v>362</v>
      </c>
      <c r="G3" s="105" t="s">
        <v>25</v>
      </c>
      <c r="H3" s="106">
        <v>5</v>
      </c>
      <c r="I3" s="106">
        <v>5</v>
      </c>
      <c r="J3" s="106">
        <v>5</v>
      </c>
      <c r="K3" s="106">
        <v>5</v>
      </c>
      <c r="L3" s="106">
        <v>4</v>
      </c>
      <c r="M3" s="106">
        <v>4</v>
      </c>
      <c r="N3" s="106">
        <v>5</v>
      </c>
      <c r="O3" s="104" t="s">
        <v>363</v>
      </c>
      <c r="P3" s="104" t="s">
        <v>364</v>
      </c>
      <c r="Q3" s="104" t="s">
        <v>28</v>
      </c>
      <c r="R3" s="107"/>
      <c r="S3" s="107"/>
      <c r="T3" s="104" t="s">
        <v>7</v>
      </c>
      <c r="U3" s="107"/>
      <c r="V3" s="38" t="str">
        <f>+F3</f>
        <v>ITAJÁ</v>
      </c>
      <c r="W3">
        <f>_xlfn.XLOOKUP(C3,Planilha2!$J$2:$J$97,Planilha2!$B$2:$B$97)</f>
        <v>5210802</v>
      </c>
      <c r="X3"/>
      <c r="Y3"/>
      <c r="Z3"/>
      <c r="AA3"/>
      <c r="AB3"/>
      <c r="AC3"/>
      <c r="AD3"/>
    </row>
    <row r="4" spans="1:30" x14ac:dyDescent="0.4">
      <c r="A4" s="103">
        <v>46142.689340277779</v>
      </c>
      <c r="B4" s="104" t="s">
        <v>390</v>
      </c>
      <c r="C4" s="104" t="s">
        <v>566</v>
      </c>
      <c r="D4" s="104" t="s">
        <v>392</v>
      </c>
      <c r="E4" s="105" t="s">
        <v>393</v>
      </c>
      <c r="F4" s="105" t="s">
        <v>394</v>
      </c>
      <c r="G4" s="105" t="s">
        <v>25</v>
      </c>
      <c r="H4" s="106">
        <v>4</v>
      </c>
      <c r="I4" s="106">
        <v>4</v>
      </c>
      <c r="J4" s="106">
        <v>4</v>
      </c>
      <c r="K4" s="106">
        <v>4</v>
      </c>
      <c r="L4" s="106">
        <v>4</v>
      </c>
      <c r="M4" s="106">
        <v>4</v>
      </c>
      <c r="N4" s="106">
        <v>5</v>
      </c>
      <c r="O4" s="104" t="s">
        <v>395</v>
      </c>
      <c r="P4" s="104" t="s">
        <v>396</v>
      </c>
      <c r="Q4" s="104" t="s">
        <v>28</v>
      </c>
      <c r="R4" s="107"/>
      <c r="S4" s="107" t="s">
        <v>397</v>
      </c>
      <c r="T4" s="104" t="s">
        <v>7</v>
      </c>
      <c r="U4" s="107" t="s">
        <v>398</v>
      </c>
      <c r="V4" s="38" t="str">
        <f>+F4</f>
        <v>ITARUMÃ</v>
      </c>
      <c r="W4">
        <f>_xlfn.XLOOKUP(C4,Planilha2!$J$2:$J$97,Planilha2!$B$2:$B$97)</f>
        <v>5211305</v>
      </c>
      <c r="X4"/>
      <c r="Y4"/>
      <c r="Z4"/>
      <c r="AA4"/>
      <c r="AB4"/>
      <c r="AC4"/>
      <c r="AD4"/>
    </row>
    <row r="5" spans="1:30" x14ac:dyDescent="0.4">
      <c r="A5" s="103">
        <v>46142.691388888888</v>
      </c>
      <c r="B5" s="104" t="s">
        <v>467</v>
      </c>
      <c r="C5" s="104" t="s">
        <v>468</v>
      </c>
      <c r="D5" s="104" t="s">
        <v>469</v>
      </c>
      <c r="E5" s="105" t="s">
        <v>470</v>
      </c>
      <c r="F5" s="105" t="s">
        <v>448</v>
      </c>
      <c r="G5" s="105" t="s">
        <v>25</v>
      </c>
      <c r="H5" s="106">
        <v>5</v>
      </c>
      <c r="I5" s="106">
        <v>5</v>
      </c>
      <c r="J5" s="106">
        <v>5</v>
      </c>
      <c r="K5" s="106">
        <v>5</v>
      </c>
      <c r="L5" s="106">
        <v>5</v>
      </c>
      <c r="M5" s="106">
        <v>5</v>
      </c>
      <c r="N5" s="106">
        <v>5</v>
      </c>
      <c r="O5" s="104" t="s">
        <v>471</v>
      </c>
      <c r="P5" s="104" t="s">
        <v>472</v>
      </c>
      <c r="Q5" s="104" t="s">
        <v>28</v>
      </c>
      <c r="R5" s="107"/>
      <c r="S5" s="104"/>
      <c r="T5" s="104" t="s">
        <v>7</v>
      </c>
      <c r="U5" s="104"/>
      <c r="V5" s="38" t="str">
        <f>+F5</f>
        <v>CHAPADÃO DO CÉU</v>
      </c>
      <c r="W5">
        <f>_xlfn.XLOOKUP(C5,Planilha2!$J$2:$J$97,Planilha2!$B$2:$B$97)</f>
        <v>5205471</v>
      </c>
      <c r="X5"/>
      <c r="Y5"/>
      <c r="Z5"/>
      <c r="AA5"/>
      <c r="AB5"/>
      <c r="AC5"/>
      <c r="AD5"/>
    </row>
    <row r="6" spans="1:30" x14ac:dyDescent="0.4">
      <c r="A6" s="97">
        <v>46141.682152777779</v>
      </c>
      <c r="B6" s="98" t="s">
        <v>86</v>
      </c>
      <c r="C6" s="98" t="s">
        <v>87</v>
      </c>
      <c r="D6" s="98" t="s">
        <v>88</v>
      </c>
      <c r="E6" s="99" t="s">
        <v>89</v>
      </c>
      <c r="F6" s="99" t="s">
        <v>90</v>
      </c>
      <c r="G6" s="99" t="s">
        <v>25</v>
      </c>
      <c r="H6" s="100">
        <v>5</v>
      </c>
      <c r="I6" s="100">
        <v>5</v>
      </c>
      <c r="J6" s="100">
        <v>5</v>
      </c>
      <c r="K6" s="100">
        <v>5</v>
      </c>
      <c r="L6" s="100">
        <v>5</v>
      </c>
      <c r="M6" s="98">
        <v>5</v>
      </c>
      <c r="N6" s="98">
        <v>5</v>
      </c>
      <c r="O6" s="98" t="s">
        <v>91</v>
      </c>
      <c r="P6" s="101" t="s">
        <v>92</v>
      </c>
      <c r="Q6" s="98" t="s">
        <v>28</v>
      </c>
      <c r="R6" s="98"/>
      <c r="S6" s="101" t="s">
        <v>93</v>
      </c>
      <c r="T6" s="102" t="s">
        <v>7</v>
      </c>
      <c r="U6" s="102" t="s">
        <v>94</v>
      </c>
      <c r="V6" s="38" t="str">
        <f>+F6</f>
        <v>JATAÍ</v>
      </c>
      <c r="W6">
        <f>_xlfn.XLOOKUP(C6,Planilha2!$J$2:$J$97,Planilha2!$B$2:$B$97)</f>
        <v>5211909</v>
      </c>
      <c r="X6"/>
      <c r="Y6"/>
    </row>
    <row r="7" spans="1:30" x14ac:dyDescent="0.4">
      <c r="A7" s="103">
        <v>46142.69158564815</v>
      </c>
      <c r="B7" s="104" t="s">
        <v>473</v>
      </c>
      <c r="C7" s="104" t="s">
        <v>474</v>
      </c>
      <c r="D7" s="104" t="s">
        <v>475</v>
      </c>
      <c r="E7" s="105" t="s">
        <v>476</v>
      </c>
      <c r="F7" s="105" t="s">
        <v>603</v>
      </c>
      <c r="G7" s="105" t="s">
        <v>25</v>
      </c>
      <c r="H7" s="106">
        <v>5</v>
      </c>
      <c r="I7" s="106">
        <v>4</v>
      </c>
      <c r="J7" s="106">
        <v>5</v>
      </c>
      <c r="K7" s="106">
        <v>5</v>
      </c>
      <c r="L7" s="106">
        <v>5</v>
      </c>
      <c r="M7" s="106">
        <v>5</v>
      </c>
      <c r="N7" s="106">
        <v>5</v>
      </c>
      <c r="O7" s="104" t="s">
        <v>477</v>
      </c>
      <c r="P7" s="104" t="s">
        <v>478</v>
      </c>
      <c r="Q7" s="104" t="s">
        <v>26</v>
      </c>
      <c r="R7" s="107"/>
      <c r="S7" s="107" t="s">
        <v>479</v>
      </c>
      <c r="T7" s="104" t="s">
        <v>7</v>
      </c>
      <c r="U7" s="107" t="s">
        <v>480</v>
      </c>
      <c r="V7" s="38" t="str">
        <f>+F7</f>
        <v>SÃO MIGUEL DO ARAGUAIA</v>
      </c>
      <c r="W7">
        <f>_xlfn.XLOOKUP(C7,Planilha2!$J$2:$J$97,Planilha2!$B$2:$B$97)</f>
        <v>5220207</v>
      </c>
      <c r="X7"/>
      <c r="Y7"/>
      <c r="Z7"/>
      <c r="AA7"/>
      <c r="AB7"/>
      <c r="AC7"/>
      <c r="AD7"/>
    </row>
    <row r="8" spans="1:30" x14ac:dyDescent="0.4">
      <c r="A8" s="103">
        <v>46142.688564814816</v>
      </c>
      <c r="B8" s="104" t="s">
        <v>365</v>
      </c>
      <c r="C8" s="104" t="s">
        <v>366</v>
      </c>
      <c r="D8" s="104" t="s">
        <v>367</v>
      </c>
      <c r="E8" s="105" t="s">
        <v>368</v>
      </c>
      <c r="F8" s="105" t="s">
        <v>369</v>
      </c>
      <c r="G8" s="105" t="s">
        <v>25</v>
      </c>
      <c r="H8" s="106">
        <v>5</v>
      </c>
      <c r="I8" s="106">
        <v>5</v>
      </c>
      <c r="J8" s="106">
        <v>5</v>
      </c>
      <c r="K8" s="106">
        <v>5</v>
      </c>
      <c r="L8" s="106">
        <v>5</v>
      </c>
      <c r="M8" s="106">
        <v>5</v>
      </c>
      <c r="N8" s="106">
        <v>5</v>
      </c>
      <c r="O8" s="104" t="s">
        <v>370</v>
      </c>
      <c r="P8" s="104" t="s">
        <v>371</v>
      </c>
      <c r="Q8" s="104" t="s">
        <v>26</v>
      </c>
      <c r="R8" s="107"/>
      <c r="S8" s="107" t="s">
        <v>62</v>
      </c>
      <c r="T8" s="104" t="s">
        <v>29</v>
      </c>
      <c r="U8" s="107"/>
      <c r="V8" s="38" t="str">
        <f>+F8</f>
        <v>CACHOEIRA ALTA</v>
      </c>
      <c r="W8">
        <f>_xlfn.XLOOKUP(C8,Planilha2!$J$2:$J$97,Planilha2!$B$2:$B$97)</f>
        <v>5204102</v>
      </c>
      <c r="X8"/>
      <c r="Y8"/>
      <c r="Z8"/>
      <c r="AA8"/>
      <c r="AB8"/>
      <c r="AC8"/>
      <c r="AD8"/>
    </row>
    <row r="9" spans="1:30" x14ac:dyDescent="0.4">
      <c r="A9" s="97">
        <v>46141.683263888888</v>
      </c>
      <c r="B9" s="98" t="s">
        <v>109</v>
      </c>
      <c r="C9" s="98" t="s">
        <v>110</v>
      </c>
      <c r="D9" s="98" t="s">
        <v>111</v>
      </c>
      <c r="E9" s="99" t="s">
        <v>112</v>
      </c>
      <c r="F9" s="99" t="s">
        <v>69</v>
      </c>
      <c r="G9" s="99" t="s">
        <v>25</v>
      </c>
      <c r="H9" s="100">
        <v>5</v>
      </c>
      <c r="I9" s="100">
        <v>5</v>
      </c>
      <c r="J9" s="100">
        <v>5</v>
      </c>
      <c r="K9" s="100">
        <v>5</v>
      </c>
      <c r="L9" s="100">
        <v>5</v>
      </c>
      <c r="M9" s="98">
        <v>5</v>
      </c>
      <c r="N9" s="98">
        <v>5</v>
      </c>
      <c r="O9" s="98" t="s">
        <v>113</v>
      </c>
      <c r="P9" s="101" t="s">
        <v>114</v>
      </c>
      <c r="Q9" s="101" t="s">
        <v>26</v>
      </c>
      <c r="R9" s="98"/>
      <c r="S9" s="98" t="s">
        <v>115</v>
      </c>
      <c r="T9" s="102" t="s">
        <v>29</v>
      </c>
      <c r="U9" s="102" t="s">
        <v>116</v>
      </c>
      <c r="V9" s="38" t="str">
        <f>+F9</f>
        <v>SERRANÓPOLIS</v>
      </c>
      <c r="W9">
        <f>_xlfn.XLOOKUP(C9,Planilha2!$J$2:$J$97,Planilha2!$B$2:$B$97)</f>
        <v>5220504</v>
      </c>
      <c r="X9"/>
      <c r="Y9"/>
    </row>
    <row r="10" spans="1:30" x14ac:dyDescent="0.4">
      <c r="A10" s="97">
        <v>46141.682037037041</v>
      </c>
      <c r="B10" s="98" t="s">
        <v>79</v>
      </c>
      <c r="C10" s="98" t="s">
        <v>80</v>
      </c>
      <c r="D10" s="98" t="s">
        <v>81</v>
      </c>
      <c r="E10" s="99" t="s">
        <v>82</v>
      </c>
      <c r="F10" s="99" t="s">
        <v>83</v>
      </c>
      <c r="G10" s="99" t="s">
        <v>25</v>
      </c>
      <c r="H10" s="100">
        <v>4</v>
      </c>
      <c r="I10" s="100">
        <v>4</v>
      </c>
      <c r="J10" s="100">
        <v>4</v>
      </c>
      <c r="K10" s="100">
        <v>4</v>
      </c>
      <c r="L10" s="100">
        <v>4</v>
      </c>
      <c r="M10" s="98">
        <v>4</v>
      </c>
      <c r="N10" s="98">
        <v>4</v>
      </c>
      <c r="O10" s="98" t="s">
        <v>84</v>
      </c>
      <c r="P10" s="101" t="s">
        <v>85</v>
      </c>
      <c r="Q10" s="98" t="s">
        <v>26</v>
      </c>
      <c r="R10" s="98"/>
      <c r="S10" s="98"/>
      <c r="T10" s="102" t="s">
        <v>29</v>
      </c>
      <c r="U10" s="102"/>
      <c r="V10" s="38" t="str">
        <f>+F10</f>
        <v>PALESTINA DE GOIÁS</v>
      </c>
      <c r="W10">
        <f>_xlfn.XLOOKUP(C10,Planilha2!$J$2:$J$97,Planilha2!$B$2:$B$97)</f>
        <v>5215652</v>
      </c>
      <c r="X10"/>
      <c r="Y10"/>
    </row>
    <row r="11" spans="1:30" x14ac:dyDescent="0.4">
      <c r="A11" s="97">
        <v>46141.680798611109</v>
      </c>
      <c r="B11" s="98" t="s">
        <v>65</v>
      </c>
      <c r="C11" s="98" t="s">
        <v>66</v>
      </c>
      <c r="D11" s="98" t="s">
        <v>67</v>
      </c>
      <c r="E11" s="99" t="s">
        <v>68</v>
      </c>
      <c r="F11" s="99" t="s">
        <v>69</v>
      </c>
      <c r="G11" s="99" t="s">
        <v>25</v>
      </c>
      <c r="H11" s="100">
        <v>5</v>
      </c>
      <c r="I11" s="100">
        <v>5</v>
      </c>
      <c r="J11" s="100">
        <v>5</v>
      </c>
      <c r="K11" s="100">
        <v>5</v>
      </c>
      <c r="L11" s="100">
        <v>5</v>
      </c>
      <c r="M11" s="98">
        <v>5</v>
      </c>
      <c r="N11" s="98">
        <v>5</v>
      </c>
      <c r="O11" s="98" t="s">
        <v>70</v>
      </c>
      <c r="P11" s="101" t="s">
        <v>71</v>
      </c>
      <c r="Q11" s="98" t="s">
        <v>26</v>
      </c>
      <c r="R11" s="98"/>
      <c r="S11" s="101"/>
      <c r="T11" s="102" t="s">
        <v>29</v>
      </c>
      <c r="U11" s="102"/>
      <c r="V11" s="38" t="str">
        <f>+F11</f>
        <v>SERRANÓPOLIS</v>
      </c>
      <c r="W11">
        <f>_xlfn.XLOOKUP(C11,Planilha2!$J$2:$J$97,Planilha2!$B$2:$B$97)</f>
        <v>5220504</v>
      </c>
      <c r="X11"/>
      <c r="Y11"/>
    </row>
    <row r="12" spans="1:30" x14ac:dyDescent="0.4">
      <c r="A12" s="103">
        <v>46142.687731481485</v>
      </c>
      <c r="B12" s="104" t="s">
        <v>342</v>
      </c>
      <c r="C12" s="104" t="s">
        <v>343</v>
      </c>
      <c r="D12" s="104" t="s">
        <v>344</v>
      </c>
      <c r="E12" s="105" t="s">
        <v>345</v>
      </c>
      <c r="F12" s="105" t="s">
        <v>346</v>
      </c>
      <c r="G12" s="105" t="s">
        <v>25</v>
      </c>
      <c r="H12" s="106">
        <v>5</v>
      </c>
      <c r="I12" s="106">
        <v>3</v>
      </c>
      <c r="J12" s="106">
        <v>5</v>
      </c>
      <c r="K12" s="106">
        <v>5</v>
      </c>
      <c r="L12" s="106">
        <v>5</v>
      </c>
      <c r="M12" s="106">
        <v>5</v>
      </c>
      <c r="N12" s="106">
        <v>5</v>
      </c>
      <c r="O12" s="104" t="s">
        <v>347</v>
      </c>
      <c r="P12" s="104" t="s">
        <v>348</v>
      </c>
      <c r="Q12" s="104" t="s">
        <v>26</v>
      </c>
      <c r="R12" s="107"/>
      <c r="S12" s="104"/>
      <c r="T12" s="104" t="s">
        <v>7</v>
      </c>
      <c r="U12" s="104"/>
      <c r="V12" s="38" t="str">
        <f>+F12</f>
        <v>CASTELÂNDIA</v>
      </c>
      <c r="W12">
        <f>_xlfn.XLOOKUP(C12,Planilha2!$J$2:$J$97,Planilha2!$B$2:$B$97)</f>
        <v>5205059</v>
      </c>
      <c r="X12"/>
      <c r="Y12"/>
      <c r="Z12"/>
      <c r="AA12"/>
      <c r="AB12"/>
      <c r="AC12"/>
      <c r="AD12"/>
    </row>
    <row r="13" spans="1:30" x14ac:dyDescent="0.4">
      <c r="A13" s="103">
        <v>46141.70212962963</v>
      </c>
      <c r="B13" s="104" t="s">
        <v>288</v>
      </c>
      <c r="C13" s="104" t="s">
        <v>289</v>
      </c>
      <c r="D13" s="104" t="s">
        <v>290</v>
      </c>
      <c r="E13" s="105" t="s">
        <v>291</v>
      </c>
      <c r="F13" s="105" t="s">
        <v>285</v>
      </c>
      <c r="G13" s="105" t="s">
        <v>27</v>
      </c>
      <c r="H13" s="106">
        <v>5</v>
      </c>
      <c r="I13" s="106">
        <v>5</v>
      </c>
      <c r="J13" s="106">
        <v>5</v>
      </c>
      <c r="K13" s="106">
        <v>5</v>
      </c>
      <c r="L13" s="106">
        <v>5</v>
      </c>
      <c r="M13" s="106">
        <v>5</v>
      </c>
      <c r="N13" s="106">
        <v>5</v>
      </c>
      <c r="O13" s="104" t="s">
        <v>292</v>
      </c>
      <c r="P13" s="104" t="s">
        <v>293</v>
      </c>
      <c r="Q13" s="104" t="s">
        <v>28</v>
      </c>
      <c r="R13" s="107"/>
      <c r="S13" s="107" t="s">
        <v>294</v>
      </c>
      <c r="T13" s="104" t="s">
        <v>8</v>
      </c>
      <c r="U13" s="104"/>
      <c r="V13" s="38" t="str">
        <f>+F13</f>
        <v>MONTIVIDIU</v>
      </c>
      <c r="W13">
        <f>_xlfn.XLOOKUP(C13,Planilha2!$J$2:$J$97,Planilha2!$B$2:$B$97)</f>
        <v>5213756</v>
      </c>
      <c r="X13"/>
      <c r="Y13"/>
      <c r="Z13"/>
      <c r="AA13"/>
      <c r="AB13"/>
      <c r="AC13"/>
      <c r="AD13"/>
    </row>
    <row r="14" spans="1:30" x14ac:dyDescent="0.4">
      <c r="A14" s="103">
        <v>46141.699444444443</v>
      </c>
      <c r="B14" s="104" t="s">
        <v>260</v>
      </c>
      <c r="C14" s="104" t="s">
        <v>261</v>
      </c>
      <c r="D14" s="104" t="s">
        <v>262</v>
      </c>
      <c r="E14" s="105" t="s">
        <v>263</v>
      </c>
      <c r="F14" s="105" t="s">
        <v>141</v>
      </c>
      <c r="G14" s="105" t="s">
        <v>27</v>
      </c>
      <c r="H14" s="106">
        <v>4</v>
      </c>
      <c r="I14" s="106">
        <v>4</v>
      </c>
      <c r="J14" s="106">
        <v>5</v>
      </c>
      <c r="K14" s="106">
        <v>5</v>
      </c>
      <c r="L14" s="106">
        <v>4</v>
      </c>
      <c r="M14" s="104">
        <v>3</v>
      </c>
      <c r="N14" s="104">
        <v>4</v>
      </c>
      <c r="O14" s="104" t="s">
        <v>264</v>
      </c>
      <c r="P14" s="107" t="s">
        <v>265</v>
      </c>
      <c r="Q14" s="104" t="s">
        <v>156</v>
      </c>
      <c r="R14" s="104"/>
      <c r="S14" s="107" t="s">
        <v>266</v>
      </c>
      <c r="T14" s="110" t="s">
        <v>7</v>
      </c>
      <c r="U14" s="110"/>
      <c r="V14" s="38" t="str">
        <f>+F14</f>
        <v>RIO VERDE</v>
      </c>
      <c r="W14">
        <f>_xlfn.XLOOKUP(C14,Planilha2!$J$2:$J$97,Planilha2!$B$2:$B$97)</f>
        <v>5218805</v>
      </c>
      <c r="X14"/>
      <c r="Y14"/>
      <c r="Z14"/>
      <c r="AA14"/>
      <c r="AB14"/>
      <c r="AC14"/>
      <c r="AD14"/>
    </row>
    <row r="15" spans="1:30" x14ac:dyDescent="0.4">
      <c r="A15" s="103">
        <v>46142.689560185187</v>
      </c>
      <c r="B15" s="104" t="s">
        <v>399</v>
      </c>
      <c r="C15" s="104" t="s">
        <v>400</v>
      </c>
      <c r="D15" s="104" t="s">
        <v>401</v>
      </c>
      <c r="E15" s="105" t="s">
        <v>402</v>
      </c>
      <c r="F15" s="105" t="s">
        <v>346</v>
      </c>
      <c r="G15" s="105" t="s">
        <v>27</v>
      </c>
      <c r="H15" s="106">
        <v>5</v>
      </c>
      <c r="I15" s="106">
        <v>5</v>
      </c>
      <c r="J15" s="106">
        <v>5</v>
      </c>
      <c r="K15" s="106">
        <v>5</v>
      </c>
      <c r="L15" s="106">
        <v>5</v>
      </c>
      <c r="M15" s="106">
        <v>5</v>
      </c>
      <c r="N15" s="106">
        <v>5</v>
      </c>
      <c r="O15" s="104" t="s">
        <v>403</v>
      </c>
      <c r="P15" s="104" t="s">
        <v>404</v>
      </c>
      <c r="Q15" s="104" t="s">
        <v>28</v>
      </c>
      <c r="R15" s="107"/>
      <c r="S15" s="107"/>
      <c r="T15" s="104" t="s">
        <v>29</v>
      </c>
      <c r="U15" s="107"/>
      <c r="V15" s="38" t="str">
        <f>+F15</f>
        <v>CASTELÂNDIA</v>
      </c>
      <c r="W15">
        <f>_xlfn.XLOOKUP(C15,Planilha2!$J$2:$J$97,Planilha2!$B$2:$B$97)</f>
        <v>5205059</v>
      </c>
      <c r="X15"/>
      <c r="Y15"/>
      <c r="Z15"/>
      <c r="AA15"/>
      <c r="AB15"/>
      <c r="AC15"/>
      <c r="AD15"/>
    </row>
    <row r="16" spans="1:30" ht="28.5" x14ac:dyDescent="0.4">
      <c r="A16" s="97">
        <v>46141.696562500001</v>
      </c>
      <c r="B16" s="98" t="s">
        <v>131</v>
      </c>
      <c r="C16" s="98" t="s">
        <v>132</v>
      </c>
      <c r="D16" s="98" t="s">
        <v>133</v>
      </c>
      <c r="E16" s="99" t="s">
        <v>134</v>
      </c>
      <c r="F16" s="99" t="s">
        <v>69</v>
      </c>
      <c r="G16" s="99" t="s">
        <v>27</v>
      </c>
      <c r="H16" s="100">
        <v>4</v>
      </c>
      <c r="I16" s="100">
        <v>4</v>
      </c>
      <c r="J16" s="100">
        <v>5</v>
      </c>
      <c r="K16" s="100">
        <v>5</v>
      </c>
      <c r="L16" s="100">
        <v>3</v>
      </c>
      <c r="M16" s="98">
        <v>4</v>
      </c>
      <c r="N16" s="98">
        <v>4</v>
      </c>
      <c r="O16" s="98" t="s">
        <v>135</v>
      </c>
      <c r="P16" s="101" t="s">
        <v>136</v>
      </c>
      <c r="Q16" s="101" t="s">
        <v>28</v>
      </c>
      <c r="R16" s="98"/>
      <c r="S16" s="101"/>
      <c r="T16" s="102" t="s">
        <v>54</v>
      </c>
      <c r="U16" s="102"/>
      <c r="V16" s="38" t="str">
        <f>+F16</f>
        <v>SERRANÓPOLIS</v>
      </c>
      <c r="W16">
        <f>_xlfn.XLOOKUP(C16,Planilha2!$J$2:$J$97,Planilha2!$B$2:$B$97)</f>
        <v>5220504</v>
      </c>
      <c r="X16"/>
      <c r="Y16"/>
    </row>
    <row r="17" spans="1:30" ht="25.5" x14ac:dyDescent="0.4">
      <c r="A17" s="103">
        <v>46142.690752314818</v>
      </c>
      <c r="B17" s="104" t="s">
        <v>444</v>
      </c>
      <c r="C17" s="104" t="s">
        <v>445</v>
      </c>
      <c r="D17" s="104" t="s">
        <v>446</v>
      </c>
      <c r="E17" s="105" t="s">
        <v>447</v>
      </c>
      <c r="F17" s="105" t="s">
        <v>448</v>
      </c>
      <c r="G17" s="105" t="s">
        <v>27</v>
      </c>
      <c r="H17" s="106">
        <v>5</v>
      </c>
      <c r="I17" s="106">
        <v>5</v>
      </c>
      <c r="J17" s="106">
        <v>5</v>
      </c>
      <c r="K17" s="106">
        <v>5</v>
      </c>
      <c r="L17" s="106">
        <v>5</v>
      </c>
      <c r="M17" s="106">
        <v>5</v>
      </c>
      <c r="N17" s="106">
        <v>5</v>
      </c>
      <c r="O17" s="104" t="s">
        <v>449</v>
      </c>
      <c r="P17" s="104" t="s">
        <v>450</v>
      </c>
      <c r="Q17" s="104" t="s">
        <v>28</v>
      </c>
      <c r="R17" s="107"/>
      <c r="S17" s="104"/>
      <c r="T17" s="104" t="s">
        <v>29</v>
      </c>
      <c r="U17" s="104"/>
      <c r="V17" s="38" t="str">
        <f>+F17</f>
        <v>CHAPADÃO DO CÉU</v>
      </c>
      <c r="W17">
        <f>_xlfn.XLOOKUP(C17,Planilha2!$J$2:$J$97,Planilha2!$B$2:$B$97)</f>
        <v>5205471</v>
      </c>
      <c r="X17"/>
      <c r="Y17"/>
      <c r="Z17"/>
      <c r="AA17"/>
      <c r="AB17"/>
      <c r="AC17"/>
      <c r="AD17"/>
    </row>
    <row r="18" spans="1:30" ht="25.5" x14ac:dyDescent="0.4">
      <c r="A18" s="103">
        <v>46141.699178240742</v>
      </c>
      <c r="B18" s="104" t="s">
        <v>254</v>
      </c>
      <c r="C18" s="104" t="s">
        <v>255</v>
      </c>
      <c r="D18" s="104" t="s">
        <v>256</v>
      </c>
      <c r="E18" s="105" t="s">
        <v>257</v>
      </c>
      <c r="F18" s="105" t="s">
        <v>90</v>
      </c>
      <c r="G18" s="105" t="s">
        <v>27</v>
      </c>
      <c r="H18" s="106">
        <v>4</v>
      </c>
      <c r="I18" s="106">
        <v>2</v>
      </c>
      <c r="J18" s="106">
        <v>3</v>
      </c>
      <c r="K18" s="106">
        <v>3</v>
      </c>
      <c r="L18" s="106">
        <v>4</v>
      </c>
      <c r="M18" s="104">
        <v>2</v>
      </c>
      <c r="N18" s="104">
        <v>4</v>
      </c>
      <c r="O18" s="104" t="s">
        <v>258</v>
      </c>
      <c r="P18" s="107" t="s">
        <v>259</v>
      </c>
      <c r="Q18" s="107" t="s">
        <v>28</v>
      </c>
      <c r="R18" s="104"/>
      <c r="S18" s="107"/>
      <c r="T18" s="110" t="s">
        <v>29</v>
      </c>
      <c r="U18" s="110"/>
      <c r="V18" s="38" t="str">
        <f>+F18</f>
        <v>JATAÍ</v>
      </c>
      <c r="W18">
        <f>_xlfn.XLOOKUP(C18,Planilha2!$J$2:$J$97,Planilha2!$B$2:$B$97)</f>
        <v>5211909</v>
      </c>
      <c r="X18"/>
      <c r="Y18"/>
      <c r="Z18"/>
      <c r="AA18"/>
      <c r="AB18"/>
      <c r="AC18"/>
      <c r="AD18"/>
    </row>
    <row r="19" spans="1:30" x14ac:dyDescent="0.4">
      <c r="A19" s="103">
        <v>46142.691041666665</v>
      </c>
      <c r="B19" s="104" t="s">
        <v>459</v>
      </c>
      <c r="C19" s="104" t="s">
        <v>460</v>
      </c>
      <c r="D19" s="104" t="s">
        <v>461</v>
      </c>
      <c r="E19" s="105" t="s">
        <v>462</v>
      </c>
      <c r="F19" s="105" t="s">
        <v>346</v>
      </c>
      <c r="G19" s="105" t="s">
        <v>27</v>
      </c>
      <c r="H19" s="106">
        <v>5</v>
      </c>
      <c r="I19" s="106">
        <v>5</v>
      </c>
      <c r="J19" s="106">
        <v>5</v>
      </c>
      <c r="K19" s="106">
        <v>5</v>
      </c>
      <c r="L19" s="106">
        <v>5</v>
      </c>
      <c r="M19" s="106">
        <v>5</v>
      </c>
      <c r="N19" s="106">
        <v>5</v>
      </c>
      <c r="O19" s="104" t="s">
        <v>463</v>
      </c>
      <c r="P19" s="104" t="s">
        <v>464</v>
      </c>
      <c r="Q19" s="104" t="s">
        <v>465</v>
      </c>
      <c r="R19" s="107"/>
      <c r="S19" s="104"/>
      <c r="T19" s="104" t="s">
        <v>7</v>
      </c>
      <c r="U19" s="107" t="s">
        <v>466</v>
      </c>
      <c r="V19" s="38" t="str">
        <f>+F19</f>
        <v>CASTELÂNDIA</v>
      </c>
      <c r="W19">
        <f>_xlfn.XLOOKUP(C19,Planilha2!$J$2:$J$97,Planilha2!$B$2:$B$97)</f>
        <v>5205059</v>
      </c>
      <c r="X19"/>
      <c r="Y19"/>
      <c r="Z19"/>
      <c r="AA19"/>
      <c r="AB19"/>
      <c r="AC19"/>
      <c r="AD19"/>
    </row>
    <row r="20" spans="1:30" x14ac:dyDescent="0.4">
      <c r="A20" s="103">
        <v>46142.689849537041</v>
      </c>
      <c r="B20" s="104" t="s">
        <v>425</v>
      </c>
      <c r="C20" s="104" t="s">
        <v>426</v>
      </c>
      <c r="D20" s="104" t="s">
        <v>427</v>
      </c>
      <c r="E20" s="105" t="s">
        <v>428</v>
      </c>
      <c r="F20" s="105" t="s">
        <v>383</v>
      </c>
      <c r="G20" s="105" t="s">
        <v>27</v>
      </c>
      <c r="H20" s="106">
        <v>4</v>
      </c>
      <c r="I20" s="106">
        <v>4</v>
      </c>
      <c r="J20" s="106">
        <v>4</v>
      </c>
      <c r="K20" s="106">
        <v>4</v>
      </c>
      <c r="L20" s="106">
        <v>4</v>
      </c>
      <c r="M20" s="106">
        <v>4</v>
      </c>
      <c r="N20" s="106">
        <v>4</v>
      </c>
      <c r="O20" s="104" t="s">
        <v>429</v>
      </c>
      <c r="P20" s="104" t="s">
        <v>417</v>
      </c>
      <c r="Q20" s="104" t="s">
        <v>156</v>
      </c>
      <c r="R20" s="107"/>
      <c r="S20" s="107"/>
      <c r="T20" s="104" t="s">
        <v>29</v>
      </c>
      <c r="U20" s="107"/>
      <c r="V20" s="38" t="str">
        <f>+F20</f>
        <v>CAIAPÔNIA</v>
      </c>
      <c r="W20">
        <f>_xlfn.XLOOKUP(C20,Planilha2!$J$2:$J$97,Planilha2!$B$2:$B$97)</f>
        <v>5204409</v>
      </c>
      <c r="X20"/>
      <c r="Y20"/>
      <c r="Z20"/>
      <c r="AA20"/>
      <c r="AB20"/>
      <c r="AC20"/>
      <c r="AD20"/>
    </row>
    <row r="21" spans="1:30" ht="25.5" x14ac:dyDescent="0.4">
      <c r="A21" s="103">
        <v>46141.698912037034</v>
      </c>
      <c r="B21" s="104" t="s">
        <v>240</v>
      </c>
      <c r="C21" s="104" t="s">
        <v>241</v>
      </c>
      <c r="D21" s="104" t="s">
        <v>242</v>
      </c>
      <c r="E21" s="105" t="s">
        <v>243</v>
      </c>
      <c r="F21" s="105" t="s">
        <v>238</v>
      </c>
      <c r="G21" s="105" t="s">
        <v>27</v>
      </c>
      <c r="H21" s="106">
        <v>4</v>
      </c>
      <c r="I21" s="106">
        <v>4</v>
      </c>
      <c r="J21" s="106">
        <v>4</v>
      </c>
      <c r="K21" s="106">
        <v>4</v>
      </c>
      <c r="L21" s="106">
        <v>5</v>
      </c>
      <c r="M21" s="104">
        <v>5</v>
      </c>
      <c r="N21" s="104">
        <v>5</v>
      </c>
      <c r="O21" s="104" t="s">
        <v>244</v>
      </c>
      <c r="P21" s="107" t="s">
        <v>245</v>
      </c>
      <c r="Q21" s="107" t="s">
        <v>28</v>
      </c>
      <c r="R21" s="104"/>
      <c r="S21" s="107" t="s">
        <v>246</v>
      </c>
      <c r="T21" s="110" t="s">
        <v>8</v>
      </c>
      <c r="U21" s="110"/>
      <c r="V21" s="38" t="str">
        <f>+F21</f>
        <v>MINEIROS</v>
      </c>
      <c r="W21">
        <f>_xlfn.XLOOKUP(C21,Planilha2!$J$2:$J$97,Planilha2!$B$2:$B$97)</f>
        <v>5213103</v>
      </c>
      <c r="X21"/>
      <c r="Y21"/>
      <c r="Z21"/>
      <c r="AA21"/>
      <c r="AB21"/>
      <c r="AC21"/>
      <c r="AD21"/>
    </row>
    <row r="22" spans="1:30" ht="29.25" thickBot="1" x14ac:dyDescent="0.45">
      <c r="A22" s="90">
        <v>46141.698738425926</v>
      </c>
      <c r="B22" s="91" t="s">
        <v>227</v>
      </c>
      <c r="C22" s="91" t="s">
        <v>228</v>
      </c>
      <c r="D22" s="91" t="s">
        <v>229</v>
      </c>
      <c r="E22" s="92" t="s">
        <v>230</v>
      </c>
      <c r="F22" s="92" t="s">
        <v>231</v>
      </c>
      <c r="G22" s="92" t="s">
        <v>27</v>
      </c>
      <c r="H22" s="93">
        <v>5</v>
      </c>
      <c r="I22" s="93">
        <v>5</v>
      </c>
      <c r="J22" s="93">
        <v>5</v>
      </c>
      <c r="K22" s="93">
        <v>5</v>
      </c>
      <c r="L22" s="93">
        <v>5</v>
      </c>
      <c r="M22" s="91">
        <v>5</v>
      </c>
      <c r="N22" s="91">
        <v>5</v>
      </c>
      <c r="O22" s="91" t="s">
        <v>232</v>
      </c>
      <c r="P22" s="94" t="s">
        <v>233</v>
      </c>
      <c r="Q22" s="91" t="s">
        <v>28</v>
      </c>
      <c r="R22" s="91"/>
      <c r="S22" s="95"/>
      <c r="T22" s="96" t="s">
        <v>54</v>
      </c>
      <c r="U22" s="96"/>
      <c r="V22" s="38" t="str">
        <f>+F22</f>
        <v>APORÉ</v>
      </c>
      <c r="W22">
        <f>_xlfn.XLOOKUP(C22,Planilha2!$J$2:$J$97,Planilha2!$B$2:$B$97)</f>
        <v>5201504</v>
      </c>
      <c r="X22"/>
      <c r="Y22"/>
    </row>
    <row r="23" spans="1:30" ht="26.25" thickBot="1" x14ac:dyDescent="0.45">
      <c r="A23" s="54">
        <v>46141.698750000003</v>
      </c>
      <c r="B23" s="55" t="s">
        <v>234</v>
      </c>
      <c r="C23" s="55" t="s">
        <v>235</v>
      </c>
      <c r="D23" s="55" t="s">
        <v>236</v>
      </c>
      <c r="E23" s="56" t="s">
        <v>237</v>
      </c>
      <c r="F23" s="56" t="s">
        <v>238</v>
      </c>
      <c r="G23" s="56" t="s">
        <v>27</v>
      </c>
      <c r="H23" s="57">
        <v>4</v>
      </c>
      <c r="I23" s="57">
        <v>4</v>
      </c>
      <c r="J23" s="57">
        <v>4</v>
      </c>
      <c r="K23" s="57">
        <v>4</v>
      </c>
      <c r="L23" s="57">
        <v>4</v>
      </c>
      <c r="M23" s="55">
        <v>4</v>
      </c>
      <c r="N23" s="55">
        <v>4</v>
      </c>
      <c r="O23" s="55" t="s">
        <v>239</v>
      </c>
      <c r="P23" s="58" t="s">
        <v>193</v>
      </c>
      <c r="Q23" s="58" t="s">
        <v>28</v>
      </c>
      <c r="R23" s="55"/>
      <c r="S23" s="53"/>
      <c r="T23" s="4" t="s">
        <v>29</v>
      </c>
      <c r="U23" s="4"/>
      <c r="V23" s="38" t="str">
        <f>+F23</f>
        <v>MINEIROS</v>
      </c>
      <c r="W23">
        <f>_xlfn.XLOOKUP(C23,Planilha2!$J$2:$J$97,Planilha2!$B$2:$B$97)</f>
        <v>5213103</v>
      </c>
      <c r="X23"/>
      <c r="Y23"/>
      <c r="Z23"/>
      <c r="AA23"/>
      <c r="AB23"/>
      <c r="AC23"/>
      <c r="AD23"/>
    </row>
    <row r="24" spans="1:30" ht="26.25" thickBot="1" x14ac:dyDescent="0.45">
      <c r="A24" s="48">
        <v>46141.699062500003</v>
      </c>
      <c r="B24" s="49" t="s">
        <v>247</v>
      </c>
      <c r="C24" s="49" t="s">
        <v>248</v>
      </c>
      <c r="D24" s="49" t="s">
        <v>249</v>
      </c>
      <c r="E24" s="50" t="s">
        <v>250</v>
      </c>
      <c r="F24" s="50" t="s">
        <v>141</v>
      </c>
      <c r="G24" s="50" t="s">
        <v>27</v>
      </c>
      <c r="H24" s="51">
        <v>4</v>
      </c>
      <c r="I24" s="51">
        <v>4</v>
      </c>
      <c r="J24" s="51">
        <v>5</v>
      </c>
      <c r="K24" s="51">
        <v>5</v>
      </c>
      <c r="L24" s="51">
        <v>4</v>
      </c>
      <c r="M24" s="49">
        <v>3</v>
      </c>
      <c r="N24" s="49">
        <v>4</v>
      </c>
      <c r="O24" s="49" t="s">
        <v>251</v>
      </c>
      <c r="P24" s="52" t="s">
        <v>252</v>
      </c>
      <c r="Q24" s="52" t="s">
        <v>28</v>
      </c>
      <c r="R24" s="49"/>
      <c r="S24" s="53" t="s">
        <v>253</v>
      </c>
      <c r="T24" s="4" t="s">
        <v>7</v>
      </c>
      <c r="U24" s="4"/>
      <c r="V24" s="38" t="str">
        <f>+F24</f>
        <v>RIO VERDE</v>
      </c>
      <c r="W24">
        <f>_xlfn.XLOOKUP(C24,Planilha2!$J$2:$J$97,Planilha2!$B$2:$B$97)</f>
        <v>5218805</v>
      </c>
      <c r="X24"/>
      <c r="Y24"/>
      <c r="Z24"/>
      <c r="AA24"/>
      <c r="AB24"/>
      <c r="AC24"/>
      <c r="AD24"/>
    </row>
    <row r="25" spans="1:30" ht="29.25" thickBot="1" x14ac:dyDescent="0.45">
      <c r="A25" s="54">
        <v>46141.699895833335</v>
      </c>
      <c r="B25" s="55" t="s">
        <v>273</v>
      </c>
      <c r="C25" s="55" t="s">
        <v>274</v>
      </c>
      <c r="D25" s="55" t="s">
        <v>275</v>
      </c>
      <c r="E25" s="56" t="s">
        <v>276</v>
      </c>
      <c r="F25" s="56" t="s">
        <v>277</v>
      </c>
      <c r="G25" s="56" t="s">
        <v>27</v>
      </c>
      <c r="H25" s="57">
        <v>4</v>
      </c>
      <c r="I25" s="57">
        <v>3</v>
      </c>
      <c r="J25" s="57">
        <v>3</v>
      </c>
      <c r="K25" s="57">
        <v>3</v>
      </c>
      <c r="L25" s="57">
        <v>3</v>
      </c>
      <c r="M25" s="55">
        <v>3</v>
      </c>
      <c r="N25" s="55">
        <v>4</v>
      </c>
      <c r="O25" s="55" t="s">
        <v>278</v>
      </c>
      <c r="P25" s="58" t="s">
        <v>279</v>
      </c>
      <c r="Q25" s="58" t="s">
        <v>28</v>
      </c>
      <c r="R25" s="55"/>
      <c r="S25" s="53"/>
      <c r="T25" s="4" t="s">
        <v>7</v>
      </c>
      <c r="U25" s="4" t="s">
        <v>280</v>
      </c>
      <c r="V25" s="38" t="str">
        <f>+F25</f>
        <v>QUIRINÓPOLIS</v>
      </c>
      <c r="W25">
        <f>_xlfn.XLOOKUP(C25,Planilha2!$J$2:$J$97,Planilha2!$B$2:$B$97)</f>
        <v>5218508</v>
      </c>
      <c r="X25"/>
      <c r="Y25"/>
      <c r="Z25"/>
      <c r="AA25"/>
      <c r="AB25"/>
      <c r="AC25"/>
      <c r="AD25"/>
    </row>
    <row r="26" spans="1:30" ht="29.25" thickBot="1" x14ac:dyDescent="0.45">
      <c r="A26" s="48">
        <v>46141.698506944442</v>
      </c>
      <c r="B26" s="49" t="s">
        <v>214</v>
      </c>
      <c r="C26" s="49" t="s">
        <v>215</v>
      </c>
      <c r="D26" s="49" t="s">
        <v>216</v>
      </c>
      <c r="E26" s="50" t="s">
        <v>217</v>
      </c>
      <c r="F26" s="50" t="s">
        <v>218</v>
      </c>
      <c r="G26" s="50" t="s">
        <v>27</v>
      </c>
      <c r="H26" s="51">
        <v>4</v>
      </c>
      <c r="I26" s="51">
        <v>4</v>
      </c>
      <c r="J26" s="51">
        <v>4</v>
      </c>
      <c r="K26" s="51">
        <v>3</v>
      </c>
      <c r="L26" s="51">
        <v>4</v>
      </c>
      <c r="M26" s="49">
        <v>1</v>
      </c>
      <c r="N26" s="49">
        <v>3</v>
      </c>
      <c r="O26" s="49" t="s">
        <v>219</v>
      </c>
      <c r="P26" s="52" t="s">
        <v>220</v>
      </c>
      <c r="Q26" s="49" t="s">
        <v>28</v>
      </c>
      <c r="R26" s="49"/>
      <c r="S26" s="59"/>
      <c r="T26" s="4" t="s">
        <v>54</v>
      </c>
      <c r="U26" s="4"/>
      <c r="V26" s="38" t="str">
        <f>+F26</f>
        <v>SANTA RITA DO ARAGUAIA</v>
      </c>
      <c r="W26">
        <f>_xlfn.XLOOKUP(C26,Planilha2!$J$2:$J$97,Planilha2!$B$2:$B$97)</f>
        <v>5219407</v>
      </c>
      <c r="X26"/>
      <c r="Y26"/>
    </row>
    <row r="27" spans="1:30" ht="29.25" thickBot="1" x14ac:dyDescent="0.45">
      <c r="A27" s="54">
        <v>46141.699479166666</v>
      </c>
      <c r="B27" s="55" t="s">
        <v>267</v>
      </c>
      <c r="C27" s="55" t="s">
        <v>268</v>
      </c>
      <c r="D27" s="55" t="s">
        <v>269</v>
      </c>
      <c r="E27" s="56" t="s">
        <v>270</v>
      </c>
      <c r="F27" s="56" t="s">
        <v>231</v>
      </c>
      <c r="G27" s="56" t="s">
        <v>27</v>
      </c>
      <c r="H27" s="57">
        <v>5</v>
      </c>
      <c r="I27" s="57">
        <v>4</v>
      </c>
      <c r="J27" s="57">
        <v>5</v>
      </c>
      <c r="K27" s="57">
        <v>4</v>
      </c>
      <c r="L27" s="57">
        <v>4</v>
      </c>
      <c r="M27" s="55">
        <v>5</v>
      </c>
      <c r="N27" s="55">
        <v>5</v>
      </c>
      <c r="O27" s="55" t="s">
        <v>271</v>
      </c>
      <c r="P27" s="58" t="s">
        <v>272</v>
      </c>
      <c r="Q27" s="58" t="s">
        <v>28</v>
      </c>
      <c r="R27" s="55"/>
      <c r="S27" s="53" t="s">
        <v>64</v>
      </c>
      <c r="T27" s="4" t="s">
        <v>54</v>
      </c>
      <c r="U27" s="4"/>
      <c r="V27" s="38" t="str">
        <f>+F27</f>
        <v>APORÉ</v>
      </c>
      <c r="W27">
        <f>_xlfn.XLOOKUP(C27,Planilha2!$J$2:$J$97,Planilha2!$B$2:$B$97)</f>
        <v>5201504</v>
      </c>
      <c r="X27"/>
      <c r="Y27"/>
      <c r="Z27"/>
      <c r="AA27"/>
      <c r="AB27"/>
      <c r="AC27"/>
      <c r="AD27"/>
    </row>
    <row r="28" spans="1:30" ht="20.25" thickBot="1" x14ac:dyDescent="0.45">
      <c r="A28" s="77">
        <v>46141.695219907408</v>
      </c>
      <c r="B28" s="78" t="s">
        <v>117</v>
      </c>
      <c r="C28" s="78" t="s">
        <v>118</v>
      </c>
      <c r="D28" s="78" t="s">
        <v>119</v>
      </c>
      <c r="E28" s="79" t="s">
        <v>120</v>
      </c>
      <c r="F28" s="79" t="s">
        <v>121</v>
      </c>
      <c r="G28" s="79" t="s">
        <v>27</v>
      </c>
      <c r="H28" s="80">
        <v>5</v>
      </c>
      <c r="I28" s="80">
        <v>4</v>
      </c>
      <c r="J28" s="80">
        <v>3</v>
      </c>
      <c r="K28" s="80">
        <v>4</v>
      </c>
      <c r="L28" s="80">
        <v>5</v>
      </c>
      <c r="M28" s="78">
        <v>4</v>
      </c>
      <c r="N28" s="78">
        <v>5</v>
      </c>
      <c r="O28" s="78" t="s">
        <v>122</v>
      </c>
      <c r="P28" s="81" t="s">
        <v>123</v>
      </c>
      <c r="Q28" s="78" t="s">
        <v>28</v>
      </c>
      <c r="R28" s="78"/>
      <c r="S28" s="82" t="s">
        <v>124</v>
      </c>
      <c r="T28" s="83" t="s">
        <v>29</v>
      </c>
      <c r="U28" s="83"/>
      <c r="V28" s="38" t="str">
        <f>+F28</f>
        <v>RIBEIRÃOZINHO</v>
      </c>
      <c r="W28">
        <f>_xlfn.XLOOKUP(C28,Planilha2!$J$2:$J$97,Planilha2!$B$2:$B$97)</f>
        <v>5107198</v>
      </c>
      <c r="X28"/>
      <c r="Y28"/>
    </row>
    <row r="29" spans="1:30" ht="26.25" thickBot="1" x14ac:dyDescent="0.45">
      <c r="A29" s="84">
        <v>46141.697511574072</v>
      </c>
      <c r="B29" s="85" t="s">
        <v>166</v>
      </c>
      <c r="C29" s="85" t="s">
        <v>167</v>
      </c>
      <c r="D29" s="85" t="s">
        <v>168</v>
      </c>
      <c r="E29" s="86" t="s">
        <v>169</v>
      </c>
      <c r="F29" s="86" t="s">
        <v>170</v>
      </c>
      <c r="G29" s="86" t="s">
        <v>27</v>
      </c>
      <c r="H29" s="87">
        <v>5</v>
      </c>
      <c r="I29" s="87">
        <v>5</v>
      </c>
      <c r="J29" s="87">
        <v>5</v>
      </c>
      <c r="K29" s="87">
        <v>4</v>
      </c>
      <c r="L29" s="87">
        <v>5</v>
      </c>
      <c r="M29" s="85">
        <v>4</v>
      </c>
      <c r="N29" s="85">
        <v>5</v>
      </c>
      <c r="O29" s="85" t="s">
        <v>171</v>
      </c>
      <c r="P29" s="88" t="s">
        <v>172</v>
      </c>
      <c r="Q29" s="88" t="s">
        <v>28</v>
      </c>
      <c r="R29" s="85"/>
      <c r="S29" s="89" t="s">
        <v>173</v>
      </c>
      <c r="T29" s="83" t="s">
        <v>8</v>
      </c>
      <c r="U29" s="83"/>
      <c r="V29" s="38" t="str">
        <f>+F29</f>
        <v>TURVELÂNDIA</v>
      </c>
      <c r="W29">
        <f>_xlfn.XLOOKUP(C29,Planilha2!$J$2:$J$97,Planilha2!$B$2:$B$97)</f>
        <v>5221551</v>
      </c>
      <c r="X29"/>
      <c r="Y29"/>
    </row>
    <row r="30" spans="1:30" ht="26.25" thickBot="1" x14ac:dyDescent="0.45">
      <c r="A30" s="48">
        <v>46141.698321759257</v>
      </c>
      <c r="B30" s="49" t="s">
        <v>208</v>
      </c>
      <c r="C30" s="49" t="s">
        <v>209</v>
      </c>
      <c r="D30" s="49" t="s">
        <v>210</v>
      </c>
      <c r="E30" s="50" t="s">
        <v>211</v>
      </c>
      <c r="F30" s="50" t="s">
        <v>69</v>
      </c>
      <c r="G30" s="50" t="s">
        <v>27</v>
      </c>
      <c r="H30" s="51">
        <v>5</v>
      </c>
      <c r="I30" s="51">
        <v>4</v>
      </c>
      <c r="J30" s="51">
        <v>5</v>
      </c>
      <c r="K30" s="51">
        <v>4</v>
      </c>
      <c r="L30" s="51">
        <v>4</v>
      </c>
      <c r="M30" s="49">
        <v>4</v>
      </c>
      <c r="N30" s="49">
        <v>5</v>
      </c>
      <c r="O30" s="49" t="s">
        <v>212</v>
      </c>
      <c r="P30" s="52" t="s">
        <v>213</v>
      </c>
      <c r="Q30" s="52" t="s">
        <v>28</v>
      </c>
      <c r="R30" s="49"/>
      <c r="S30" s="53"/>
      <c r="T30" s="4" t="s">
        <v>8</v>
      </c>
      <c r="U30" s="4"/>
      <c r="V30" s="38" t="str">
        <f>+F30</f>
        <v>SERRANÓPOLIS</v>
      </c>
      <c r="W30">
        <f>_xlfn.XLOOKUP(C30,Planilha2!$J$2:$J$97,Planilha2!$B$2:$B$97)</f>
        <v>5220504</v>
      </c>
      <c r="X30"/>
      <c r="Y30"/>
    </row>
    <row r="31" spans="1:30" ht="20.25" thickBot="1" x14ac:dyDescent="0.45">
      <c r="A31" s="54">
        <v>46142.689618055556</v>
      </c>
      <c r="B31" s="55" t="s">
        <v>405</v>
      </c>
      <c r="C31" s="55" t="s">
        <v>406</v>
      </c>
      <c r="D31" s="55" t="s">
        <v>407</v>
      </c>
      <c r="E31" s="56" t="s">
        <v>408</v>
      </c>
      <c r="F31" s="56" t="s">
        <v>369</v>
      </c>
      <c r="G31" s="56" t="s">
        <v>27</v>
      </c>
      <c r="H31" s="57">
        <v>5</v>
      </c>
      <c r="I31" s="57">
        <v>5</v>
      </c>
      <c r="J31" s="57">
        <v>5</v>
      </c>
      <c r="K31" s="57">
        <v>5</v>
      </c>
      <c r="L31" s="57">
        <v>5</v>
      </c>
      <c r="M31" s="57">
        <v>5</v>
      </c>
      <c r="N31" s="57">
        <v>5</v>
      </c>
      <c r="O31" s="55" t="s">
        <v>409</v>
      </c>
      <c r="P31" s="55" t="s">
        <v>410</v>
      </c>
      <c r="Q31" s="55" t="s">
        <v>28</v>
      </c>
      <c r="R31" s="58"/>
      <c r="S31" s="53"/>
      <c r="T31" s="111" t="s">
        <v>29</v>
      </c>
      <c r="U31" s="113"/>
      <c r="V31" s="38" t="str">
        <f>+F31</f>
        <v>CACHOEIRA ALTA</v>
      </c>
      <c r="W31">
        <f>_xlfn.XLOOKUP(C31,Planilha2!$J$2:$J$97,Planilha2!$B$2:$B$97)</f>
        <v>5204102</v>
      </c>
      <c r="X31"/>
      <c r="Y31"/>
      <c r="Z31"/>
      <c r="AA31"/>
      <c r="AB31"/>
      <c r="AC31"/>
      <c r="AD31"/>
    </row>
    <row r="32" spans="1:30" ht="39" thickBot="1" x14ac:dyDescent="0.45">
      <c r="A32" s="48">
        <v>46142.68482638889</v>
      </c>
      <c r="B32" s="49" t="s">
        <v>326</v>
      </c>
      <c r="C32" s="49" t="s">
        <v>327</v>
      </c>
      <c r="D32" s="49" t="s">
        <v>328</v>
      </c>
      <c r="E32" s="50" t="s">
        <v>329</v>
      </c>
      <c r="F32" s="50" t="s">
        <v>330</v>
      </c>
      <c r="G32" s="50" t="s">
        <v>27</v>
      </c>
      <c r="H32" s="51">
        <v>5</v>
      </c>
      <c r="I32" s="51">
        <v>5</v>
      </c>
      <c r="J32" s="51">
        <v>5</v>
      </c>
      <c r="K32" s="51">
        <v>4</v>
      </c>
      <c r="L32" s="51">
        <v>4</v>
      </c>
      <c r="M32" s="51">
        <v>4</v>
      </c>
      <c r="N32" s="51">
        <v>5</v>
      </c>
      <c r="O32" s="49" t="s">
        <v>331</v>
      </c>
      <c r="P32" s="49" t="s">
        <v>332</v>
      </c>
      <c r="Q32" s="49" t="s">
        <v>28</v>
      </c>
      <c r="R32" s="52"/>
      <c r="S32" s="53"/>
      <c r="T32" s="111" t="s">
        <v>333</v>
      </c>
      <c r="U32" s="113"/>
      <c r="V32" s="38" t="str">
        <f>+F32</f>
        <v>COSTA RICA</v>
      </c>
      <c r="W32">
        <f>_xlfn.XLOOKUP(C32,Planilha2!$J$2:$J$97,Planilha2!$B$2:$B$97)</f>
        <v>5003256</v>
      </c>
      <c r="X32"/>
      <c r="Y32"/>
      <c r="Z32"/>
      <c r="AA32"/>
      <c r="AB32"/>
      <c r="AC32"/>
      <c r="AD32"/>
    </row>
    <row r="33" spans="1:30" ht="20.25" thickBot="1" x14ac:dyDescent="0.45">
      <c r="A33" s="84">
        <v>46141.69740740741</v>
      </c>
      <c r="B33" s="85" t="s">
        <v>158</v>
      </c>
      <c r="C33" s="85" t="s">
        <v>159</v>
      </c>
      <c r="D33" s="85" t="s">
        <v>160</v>
      </c>
      <c r="E33" s="86" t="s">
        <v>161</v>
      </c>
      <c r="F33" s="86" t="s">
        <v>162</v>
      </c>
      <c r="G33" s="86" t="s">
        <v>27</v>
      </c>
      <c r="H33" s="87">
        <v>5</v>
      </c>
      <c r="I33" s="87">
        <v>5</v>
      </c>
      <c r="J33" s="87">
        <v>5</v>
      </c>
      <c r="K33" s="87">
        <v>5</v>
      </c>
      <c r="L33" s="87">
        <v>5</v>
      </c>
      <c r="M33" s="85">
        <v>5</v>
      </c>
      <c r="N33" s="85">
        <v>5</v>
      </c>
      <c r="O33" s="85" t="s">
        <v>163</v>
      </c>
      <c r="P33" s="88" t="s">
        <v>164</v>
      </c>
      <c r="Q33" s="85" t="s">
        <v>28</v>
      </c>
      <c r="R33" s="85"/>
      <c r="S33" s="82" t="s">
        <v>165</v>
      </c>
      <c r="T33" s="83" t="s">
        <v>29</v>
      </c>
      <c r="U33" s="83" t="s">
        <v>164</v>
      </c>
      <c r="V33" s="38" t="str">
        <f>+F33</f>
        <v>MAURILÂNDIA</v>
      </c>
      <c r="W33">
        <f>_xlfn.XLOOKUP(C33,Planilha2!$J$2:$J$97,Planilha2!$B$2:$B$97)</f>
        <v>5213004</v>
      </c>
      <c r="X33"/>
      <c r="Y33"/>
    </row>
    <row r="34" spans="1:30" ht="29.25" thickBot="1" x14ac:dyDescent="0.45">
      <c r="A34" s="77">
        <v>46141.697962962964</v>
      </c>
      <c r="B34" s="78" t="s">
        <v>194</v>
      </c>
      <c r="C34" s="78" t="s">
        <v>195</v>
      </c>
      <c r="D34" s="78" t="s">
        <v>196</v>
      </c>
      <c r="E34" s="79" t="s">
        <v>197</v>
      </c>
      <c r="F34" s="79" t="s">
        <v>154</v>
      </c>
      <c r="G34" s="79" t="s">
        <v>27</v>
      </c>
      <c r="H34" s="80">
        <v>5</v>
      </c>
      <c r="I34" s="80">
        <v>5</v>
      </c>
      <c r="J34" s="80">
        <v>5</v>
      </c>
      <c r="K34" s="80">
        <v>4</v>
      </c>
      <c r="L34" s="80">
        <v>5</v>
      </c>
      <c r="M34" s="78">
        <v>4</v>
      </c>
      <c r="N34" s="78">
        <v>5</v>
      </c>
      <c r="O34" s="78" t="s">
        <v>198</v>
      </c>
      <c r="P34" s="81" t="s">
        <v>199</v>
      </c>
      <c r="Q34" s="81" t="s">
        <v>28</v>
      </c>
      <c r="R34" s="78"/>
      <c r="S34" s="81" t="s">
        <v>200</v>
      </c>
      <c r="T34" s="108" t="s">
        <v>7</v>
      </c>
      <c r="U34" s="112" t="s">
        <v>201</v>
      </c>
      <c r="V34" s="38" t="str">
        <f>+F34</f>
        <v>SANTA HELENA DE GOIÁS</v>
      </c>
      <c r="W34">
        <f>_xlfn.XLOOKUP(C34,Planilha2!$J$2:$J$97,Planilha2!$B$2:$B$97)</f>
        <v>5219308</v>
      </c>
      <c r="X34"/>
      <c r="Y34"/>
    </row>
    <row r="35" spans="1:30" ht="20.25" thickBot="1" x14ac:dyDescent="0.45">
      <c r="A35" s="84">
        <v>46141.697199074071</v>
      </c>
      <c r="B35" s="85" t="s">
        <v>143</v>
      </c>
      <c r="C35" s="85" t="s">
        <v>144</v>
      </c>
      <c r="D35" s="85" t="s">
        <v>145</v>
      </c>
      <c r="E35" s="86" t="s">
        <v>146</v>
      </c>
      <c r="F35" s="86" t="s">
        <v>76</v>
      </c>
      <c r="G35" s="86" t="s">
        <v>27</v>
      </c>
      <c r="H35" s="87">
        <v>5</v>
      </c>
      <c r="I35" s="87">
        <v>3</v>
      </c>
      <c r="J35" s="87">
        <v>3</v>
      </c>
      <c r="K35" s="87">
        <v>2</v>
      </c>
      <c r="L35" s="87">
        <v>5</v>
      </c>
      <c r="M35" s="85">
        <v>3</v>
      </c>
      <c r="N35" s="85">
        <v>3</v>
      </c>
      <c r="O35" s="85" t="s">
        <v>147</v>
      </c>
      <c r="P35" s="88" t="s">
        <v>148</v>
      </c>
      <c r="Q35" s="85" t="s">
        <v>28</v>
      </c>
      <c r="R35" s="85"/>
      <c r="S35" s="88" t="s">
        <v>149</v>
      </c>
      <c r="T35" s="109" t="s">
        <v>7</v>
      </c>
      <c r="U35" s="112"/>
      <c r="V35" s="38" t="str">
        <f>+F35</f>
        <v>PARANAÍBA</v>
      </c>
      <c r="W35">
        <f>_xlfn.XLOOKUP(C35,Planilha2!$J$2:$J$97,Planilha2!$B$2:$B$97)</f>
        <v>5006309</v>
      </c>
      <c r="X35"/>
      <c r="Y35"/>
    </row>
    <row r="36" spans="1:30" ht="20.25" thickBot="1" x14ac:dyDescent="0.45">
      <c r="A36" s="77">
        <v>46141.697916666664</v>
      </c>
      <c r="B36" s="78" t="s">
        <v>188</v>
      </c>
      <c r="C36" s="78" t="s">
        <v>189</v>
      </c>
      <c r="D36" s="78" t="s">
        <v>190</v>
      </c>
      <c r="E36" s="79" t="s">
        <v>191</v>
      </c>
      <c r="F36" s="79" t="s">
        <v>76</v>
      </c>
      <c r="G36" s="79" t="s">
        <v>27</v>
      </c>
      <c r="H36" s="80">
        <v>5</v>
      </c>
      <c r="I36" s="80">
        <v>5</v>
      </c>
      <c r="J36" s="80">
        <v>5</v>
      </c>
      <c r="K36" s="80">
        <v>5</v>
      </c>
      <c r="L36" s="80">
        <v>5</v>
      </c>
      <c r="M36" s="78">
        <v>5</v>
      </c>
      <c r="N36" s="78">
        <v>5</v>
      </c>
      <c r="O36" s="78" t="s">
        <v>192</v>
      </c>
      <c r="P36" s="81" t="s">
        <v>193</v>
      </c>
      <c r="Q36" s="78" t="s">
        <v>28</v>
      </c>
      <c r="R36" s="78"/>
      <c r="S36" s="81"/>
      <c r="T36" s="108" t="s">
        <v>7</v>
      </c>
      <c r="U36" s="112" t="s">
        <v>193</v>
      </c>
      <c r="V36" s="38" t="str">
        <f>+F36</f>
        <v>PARANAÍBA</v>
      </c>
      <c r="W36">
        <f>_xlfn.XLOOKUP(C36,Planilha2!$J$2:$J$97,Planilha2!$B$2:$B$97)</f>
        <v>5006309</v>
      </c>
      <c r="X36"/>
      <c r="Y36"/>
      <c r="Z36"/>
      <c r="AA36"/>
      <c r="AB36"/>
      <c r="AC36"/>
      <c r="AD36"/>
    </row>
    <row r="37" spans="1:30" ht="20.25" thickBot="1" x14ac:dyDescent="0.45">
      <c r="A37" s="54">
        <v>46141.702002314814</v>
      </c>
      <c r="B37" s="55" t="s">
        <v>281</v>
      </c>
      <c r="C37" s="55" t="s">
        <v>282</v>
      </c>
      <c r="D37" s="55" t="s">
        <v>283</v>
      </c>
      <c r="E37" s="56" t="s">
        <v>284</v>
      </c>
      <c r="F37" s="56" t="s">
        <v>285</v>
      </c>
      <c r="G37" s="56" t="s">
        <v>27</v>
      </c>
      <c r="H37" s="57">
        <v>5</v>
      </c>
      <c r="I37" s="57">
        <v>5</v>
      </c>
      <c r="J37" s="57">
        <v>5</v>
      </c>
      <c r="K37" s="57">
        <v>5</v>
      </c>
      <c r="L37" s="57">
        <v>4</v>
      </c>
      <c r="M37" s="55">
        <v>4</v>
      </c>
      <c r="N37" s="55">
        <v>5</v>
      </c>
      <c r="O37" s="55" t="s">
        <v>286</v>
      </c>
      <c r="P37" s="58" t="s">
        <v>287</v>
      </c>
      <c r="Q37" s="55" t="s">
        <v>28</v>
      </c>
      <c r="R37" s="55"/>
      <c r="S37" s="55"/>
      <c r="T37" s="46" t="s">
        <v>7</v>
      </c>
      <c r="U37" s="114"/>
      <c r="V37" s="38" t="str">
        <f>+F37</f>
        <v>MONTIVIDIU</v>
      </c>
      <c r="W37">
        <f>_xlfn.XLOOKUP(C37,Planilha2!$J$2:$J$97,Planilha2!$B$2:$B$97)</f>
        <v>5213756</v>
      </c>
      <c r="X37"/>
      <c r="Y37"/>
      <c r="Z37"/>
      <c r="AA37"/>
      <c r="AB37"/>
      <c r="AC37"/>
      <c r="AD37"/>
    </row>
    <row r="38" spans="1:30" ht="20.25" thickBot="1" x14ac:dyDescent="0.45">
      <c r="A38" s="48">
        <v>46142.688506944447</v>
      </c>
      <c r="B38" s="49" t="s">
        <v>349</v>
      </c>
      <c r="C38" s="49" t="s">
        <v>350</v>
      </c>
      <c r="D38" s="49" t="s">
        <v>351</v>
      </c>
      <c r="E38" s="50" t="s">
        <v>352</v>
      </c>
      <c r="F38" s="50" t="s">
        <v>353</v>
      </c>
      <c r="G38" s="50" t="s">
        <v>27</v>
      </c>
      <c r="H38" s="51">
        <v>5</v>
      </c>
      <c r="I38" s="51">
        <v>5</v>
      </c>
      <c r="J38" s="51">
        <v>5</v>
      </c>
      <c r="K38" s="51">
        <v>5</v>
      </c>
      <c r="L38" s="51">
        <v>4</v>
      </c>
      <c r="M38" s="51">
        <v>4</v>
      </c>
      <c r="N38" s="51">
        <v>5</v>
      </c>
      <c r="O38" s="49" t="s">
        <v>354</v>
      </c>
      <c r="P38" s="49" t="s">
        <v>355</v>
      </c>
      <c r="Q38" s="49" t="s">
        <v>28</v>
      </c>
      <c r="R38" s="52"/>
      <c r="S38" s="52" t="s">
        <v>356</v>
      </c>
      <c r="T38" s="49" t="s">
        <v>8</v>
      </c>
      <c r="U38" s="53" t="s">
        <v>357</v>
      </c>
      <c r="V38" s="38" t="str">
        <f>+F38</f>
        <v>ALTO TAQUARI</v>
      </c>
      <c r="W38">
        <f>_xlfn.XLOOKUP(C38,Planilha2!$J$2:$J$97,Planilha2!$B$2:$B$97)</f>
        <v>5100607</v>
      </c>
      <c r="X38"/>
      <c r="Y38"/>
      <c r="Z38"/>
      <c r="AA38"/>
      <c r="AB38"/>
      <c r="AC38"/>
      <c r="AD38"/>
    </row>
    <row r="39" spans="1:30" ht="20.25" thickBot="1" x14ac:dyDescent="0.45">
      <c r="A39" s="54">
        <v>46141.7031712963</v>
      </c>
      <c r="B39" s="55" t="s">
        <v>295</v>
      </c>
      <c r="C39" s="55" t="s">
        <v>296</v>
      </c>
      <c r="D39" s="55" t="s">
        <v>297</v>
      </c>
      <c r="E39" s="56" t="s">
        <v>298</v>
      </c>
      <c r="F39" s="56" t="s">
        <v>90</v>
      </c>
      <c r="G39" s="56" t="s">
        <v>27</v>
      </c>
      <c r="H39" s="57">
        <v>5</v>
      </c>
      <c r="I39" s="57">
        <v>4</v>
      </c>
      <c r="J39" s="57">
        <v>5</v>
      </c>
      <c r="K39" s="57">
        <v>5</v>
      </c>
      <c r="L39" s="57">
        <v>5</v>
      </c>
      <c r="M39" s="57">
        <v>5</v>
      </c>
      <c r="N39" s="57">
        <v>5</v>
      </c>
      <c r="O39" s="55" t="s">
        <v>299</v>
      </c>
      <c r="P39" s="55" t="s">
        <v>300</v>
      </c>
      <c r="Q39" s="55" t="s">
        <v>28</v>
      </c>
      <c r="R39" s="58"/>
      <c r="S39" s="58"/>
      <c r="T39" s="55" t="s">
        <v>7</v>
      </c>
      <c r="U39" s="53"/>
      <c r="V39" s="38" t="str">
        <f>+F39</f>
        <v>JATAÍ</v>
      </c>
      <c r="W39">
        <f>_xlfn.XLOOKUP(C39,Planilha2!$J$2:$J$97,Planilha2!$B$2:$B$97)</f>
        <v>5211909</v>
      </c>
      <c r="X39"/>
      <c r="Y39"/>
      <c r="Z39"/>
      <c r="AA39"/>
      <c r="AB39"/>
      <c r="AC39"/>
      <c r="AD39"/>
    </row>
    <row r="40" spans="1:30" ht="20.25" thickBot="1" x14ac:dyDescent="0.45">
      <c r="A40" s="77">
        <v>46141.682256944441</v>
      </c>
      <c r="B40" s="78" t="s">
        <v>95</v>
      </c>
      <c r="C40" s="78" t="s">
        <v>96</v>
      </c>
      <c r="D40" s="78" t="s">
        <v>97</v>
      </c>
      <c r="E40" s="79" t="s">
        <v>98</v>
      </c>
      <c r="F40" s="79" t="s">
        <v>83</v>
      </c>
      <c r="G40" s="79" t="s">
        <v>27</v>
      </c>
      <c r="H40" s="80">
        <v>4</v>
      </c>
      <c r="I40" s="80">
        <v>3</v>
      </c>
      <c r="J40" s="80">
        <v>5</v>
      </c>
      <c r="K40" s="80">
        <v>5</v>
      </c>
      <c r="L40" s="80">
        <v>4</v>
      </c>
      <c r="M40" s="78">
        <v>5</v>
      </c>
      <c r="N40" s="78">
        <v>5</v>
      </c>
      <c r="O40" s="78" t="s">
        <v>99</v>
      </c>
      <c r="P40" s="81" t="s">
        <v>100</v>
      </c>
      <c r="Q40" s="78" t="s">
        <v>28</v>
      </c>
      <c r="R40" s="78"/>
      <c r="S40" s="81"/>
      <c r="T40" s="108" t="s">
        <v>29</v>
      </c>
      <c r="U40" s="112"/>
      <c r="V40" s="38" t="str">
        <f>+F40</f>
        <v>PALESTINA DE GOIÁS</v>
      </c>
      <c r="W40">
        <f>_xlfn.XLOOKUP(C40,Planilha2!$J$2:$J$97,Planilha2!$B$2:$B$97)</f>
        <v>5215652</v>
      </c>
      <c r="X40"/>
      <c r="Y40"/>
    </row>
    <row r="41" spans="1:30" ht="20.25" thickBot="1" x14ac:dyDescent="0.45">
      <c r="A41" s="54">
        <v>46142.690763888888</v>
      </c>
      <c r="B41" s="55" t="s">
        <v>451</v>
      </c>
      <c r="C41" s="55" t="s">
        <v>452</v>
      </c>
      <c r="D41" s="55" t="s">
        <v>453</v>
      </c>
      <c r="E41" s="56" t="s">
        <v>454</v>
      </c>
      <c r="F41" s="56" t="s">
        <v>422</v>
      </c>
      <c r="G41" s="56" t="s">
        <v>27</v>
      </c>
      <c r="H41" s="57">
        <v>5</v>
      </c>
      <c r="I41" s="57">
        <v>5</v>
      </c>
      <c r="J41" s="57">
        <v>5</v>
      </c>
      <c r="K41" s="57">
        <v>5</v>
      </c>
      <c r="L41" s="57">
        <v>5</v>
      </c>
      <c r="M41" s="57">
        <v>5</v>
      </c>
      <c r="N41" s="57">
        <v>5</v>
      </c>
      <c r="O41" s="55" t="s">
        <v>455</v>
      </c>
      <c r="P41" s="55" t="s">
        <v>456</v>
      </c>
      <c r="Q41" s="55" t="s">
        <v>28</v>
      </c>
      <c r="R41" s="58"/>
      <c r="S41" s="58"/>
      <c r="T41" s="55" t="s">
        <v>457</v>
      </c>
      <c r="U41" s="53" t="s">
        <v>458</v>
      </c>
      <c r="V41" s="38" t="str">
        <f>+F41</f>
        <v>CASSILÂNDIA</v>
      </c>
      <c r="W41">
        <f>_xlfn.XLOOKUP(C41,Planilha2!$J$2:$J$97,Planilha2!$B$2:$B$97)</f>
        <v>5002902</v>
      </c>
      <c r="X41"/>
      <c r="Y41"/>
      <c r="Z41"/>
      <c r="AA41"/>
      <c r="AB41"/>
      <c r="AC41"/>
      <c r="AD41"/>
    </row>
    <row r="42" spans="1:30" ht="26.25" thickBot="1" x14ac:dyDescent="0.45">
      <c r="A42" s="48">
        <v>46142.688645833332</v>
      </c>
      <c r="B42" s="49" t="s">
        <v>379</v>
      </c>
      <c r="C42" s="49" t="s">
        <v>380</v>
      </c>
      <c r="D42" s="49" t="s">
        <v>381</v>
      </c>
      <c r="E42" s="50" t="s">
        <v>382</v>
      </c>
      <c r="F42" s="50" t="s">
        <v>383</v>
      </c>
      <c r="G42" s="50" t="s">
        <v>27</v>
      </c>
      <c r="H42" s="51">
        <v>5</v>
      </c>
      <c r="I42" s="51">
        <v>5</v>
      </c>
      <c r="J42" s="51">
        <v>5</v>
      </c>
      <c r="K42" s="51">
        <v>5</v>
      </c>
      <c r="L42" s="51">
        <v>5</v>
      </c>
      <c r="M42" s="51">
        <v>5</v>
      </c>
      <c r="N42" s="51">
        <v>5</v>
      </c>
      <c r="O42" s="49" t="s">
        <v>384</v>
      </c>
      <c r="P42" s="49" t="s">
        <v>385</v>
      </c>
      <c r="Q42" s="49" t="s">
        <v>28</v>
      </c>
      <c r="R42" s="52"/>
      <c r="S42" s="49" t="s">
        <v>386</v>
      </c>
      <c r="T42" s="49" t="s">
        <v>29</v>
      </c>
      <c r="U42" s="59" t="s">
        <v>387</v>
      </c>
      <c r="V42" s="38" t="str">
        <f>+F42</f>
        <v>CAIAPÔNIA</v>
      </c>
      <c r="W42">
        <f>_xlfn.XLOOKUP(C42,Planilha2!$J$2:$J$97,Planilha2!$B$2:$B$97)</f>
        <v>5204409</v>
      </c>
      <c r="X42"/>
      <c r="Y42"/>
      <c r="Z42"/>
      <c r="AA42"/>
      <c r="AB42"/>
      <c r="AC42"/>
      <c r="AD42"/>
    </row>
    <row r="43" spans="1:30" ht="26.25" thickBot="1" x14ac:dyDescent="0.45">
      <c r="A43" s="84">
        <v>46141.697685185187</v>
      </c>
      <c r="B43" s="85" t="s">
        <v>174</v>
      </c>
      <c r="C43" s="85" t="s">
        <v>571</v>
      </c>
      <c r="D43" s="85" t="s">
        <v>176</v>
      </c>
      <c r="E43" s="86" t="s">
        <v>177</v>
      </c>
      <c r="F43" s="86" t="s">
        <v>105</v>
      </c>
      <c r="G43" s="86" t="s">
        <v>27</v>
      </c>
      <c r="H43" s="87">
        <v>5</v>
      </c>
      <c r="I43" s="87">
        <v>5</v>
      </c>
      <c r="J43" s="87">
        <v>5</v>
      </c>
      <c r="K43" s="87">
        <v>5</v>
      </c>
      <c r="L43" s="87">
        <v>5</v>
      </c>
      <c r="M43" s="85">
        <v>5</v>
      </c>
      <c r="N43" s="85">
        <v>5</v>
      </c>
      <c r="O43" s="85" t="s">
        <v>178</v>
      </c>
      <c r="P43" s="88" t="s">
        <v>179</v>
      </c>
      <c r="Q43" s="88" t="s">
        <v>28</v>
      </c>
      <c r="R43" s="85"/>
      <c r="S43" s="88" t="s">
        <v>180</v>
      </c>
      <c r="T43" s="109" t="s">
        <v>29</v>
      </c>
      <c r="U43" s="112"/>
      <c r="V43" s="38" t="str">
        <f>+F43</f>
        <v>PEROLÂNDIA</v>
      </c>
      <c r="W43">
        <f>_xlfn.XLOOKUP(C43,Planilha2!$J$2:$J$97,Planilha2!$B$2:$B$97)</f>
        <v>5216452</v>
      </c>
      <c r="X43"/>
      <c r="Y43"/>
      <c r="Z43"/>
      <c r="AA43"/>
      <c r="AB43"/>
      <c r="AC43"/>
      <c r="AD43"/>
    </row>
    <row r="44" spans="1:30" ht="20.25" thickBot="1" x14ac:dyDescent="0.45">
      <c r="A44" s="48">
        <v>46142.690694444442</v>
      </c>
      <c r="B44" s="49" t="s">
        <v>438</v>
      </c>
      <c r="C44" s="49" t="s">
        <v>439</v>
      </c>
      <c r="D44" s="49" t="s">
        <v>440</v>
      </c>
      <c r="E44" s="50" t="s">
        <v>441</v>
      </c>
      <c r="F44" s="50" t="s">
        <v>346</v>
      </c>
      <c r="G44" s="50" t="s">
        <v>27</v>
      </c>
      <c r="H44" s="51">
        <v>5</v>
      </c>
      <c r="I44" s="51">
        <v>5</v>
      </c>
      <c r="J44" s="51">
        <v>5</v>
      </c>
      <c r="K44" s="51">
        <v>5</v>
      </c>
      <c r="L44" s="51">
        <v>5</v>
      </c>
      <c r="M44" s="51">
        <v>5</v>
      </c>
      <c r="N44" s="51">
        <v>5</v>
      </c>
      <c r="O44" s="49" t="s">
        <v>442</v>
      </c>
      <c r="P44" s="49" t="s">
        <v>443</v>
      </c>
      <c r="Q44" s="49" t="s">
        <v>28</v>
      </c>
      <c r="R44" s="52"/>
      <c r="S44" s="49"/>
      <c r="T44" s="49" t="s">
        <v>29</v>
      </c>
      <c r="U44" s="59"/>
      <c r="V44" s="38" t="str">
        <f>+F44</f>
        <v>CASTELÂNDIA</v>
      </c>
      <c r="W44">
        <f>_xlfn.XLOOKUP(C44,Planilha2!$J$2:$J$97,Planilha2!$B$2:$B$97)</f>
        <v>5205059</v>
      </c>
      <c r="X44"/>
      <c r="Y44"/>
      <c r="Z44"/>
      <c r="AA44"/>
      <c r="AB44"/>
      <c r="AC44"/>
      <c r="AD44"/>
    </row>
    <row r="45" spans="1:30" ht="20.25" thickBot="1" x14ac:dyDescent="0.45">
      <c r="A45" s="48">
        <v>46142.688564814816</v>
      </c>
      <c r="B45" s="49" t="s">
        <v>372</v>
      </c>
      <c r="C45" s="49" t="s">
        <v>373</v>
      </c>
      <c r="D45" s="49" t="s">
        <v>374</v>
      </c>
      <c r="E45" s="50" t="s">
        <v>375</v>
      </c>
      <c r="F45" s="50" t="s">
        <v>376</v>
      </c>
      <c r="G45" s="50" t="s">
        <v>27</v>
      </c>
      <c r="H45" s="51">
        <v>5</v>
      </c>
      <c r="I45" s="51">
        <v>5</v>
      </c>
      <c r="J45" s="51">
        <v>5</v>
      </c>
      <c r="K45" s="51">
        <v>3</v>
      </c>
      <c r="L45" s="51">
        <v>5</v>
      </c>
      <c r="M45" s="51">
        <v>5</v>
      </c>
      <c r="N45" s="51">
        <v>5</v>
      </c>
      <c r="O45" s="49" t="s">
        <v>377</v>
      </c>
      <c r="P45" s="49" t="s">
        <v>378</v>
      </c>
      <c r="Q45" s="49" t="s">
        <v>28</v>
      </c>
      <c r="R45" s="52"/>
      <c r="S45" s="49"/>
      <c r="T45" s="49" t="s">
        <v>29</v>
      </c>
      <c r="U45" s="59"/>
      <c r="V45" s="38" t="str">
        <f>+F45</f>
        <v>APARECIDA DO RIO DOCE</v>
      </c>
      <c r="W45">
        <f>_xlfn.XLOOKUP(C45,Planilha2!$J$2:$J$97,Planilha2!$B$2:$B$97)</f>
        <v>5201454</v>
      </c>
      <c r="X45"/>
      <c r="Y45"/>
      <c r="Z45"/>
      <c r="AA45"/>
      <c r="AB45"/>
      <c r="AC45"/>
      <c r="AD45"/>
    </row>
    <row r="46" spans="1:30" ht="20.25" thickBot="1" x14ac:dyDescent="0.45">
      <c r="A46" s="54">
        <v>46141.698645833334</v>
      </c>
      <c r="B46" s="55" t="s">
        <v>221</v>
      </c>
      <c r="C46" s="55" t="s">
        <v>222</v>
      </c>
      <c r="D46" s="55" t="s">
        <v>223</v>
      </c>
      <c r="E46" s="56" t="s">
        <v>224</v>
      </c>
      <c r="F46" s="56" t="s">
        <v>83</v>
      </c>
      <c r="G46" s="56" t="s">
        <v>27</v>
      </c>
      <c r="H46" s="57">
        <v>5</v>
      </c>
      <c r="I46" s="57">
        <v>5</v>
      </c>
      <c r="J46" s="57">
        <v>5</v>
      </c>
      <c r="K46" s="57">
        <v>5</v>
      </c>
      <c r="L46" s="57">
        <v>5</v>
      </c>
      <c r="M46" s="55">
        <v>5</v>
      </c>
      <c r="N46" s="55">
        <v>5</v>
      </c>
      <c r="O46" s="55" t="s">
        <v>225</v>
      </c>
      <c r="P46" s="58" t="s">
        <v>92</v>
      </c>
      <c r="Q46" s="55" t="s">
        <v>28</v>
      </c>
      <c r="R46" s="55"/>
      <c r="S46" s="55"/>
      <c r="T46" s="46" t="s">
        <v>29</v>
      </c>
      <c r="U46" s="114" t="s">
        <v>226</v>
      </c>
      <c r="V46" s="38" t="str">
        <f>+F46</f>
        <v>PALESTINA DE GOIÁS</v>
      </c>
      <c r="W46">
        <f>_xlfn.XLOOKUP(C46,Planilha2!$J$2:$J$97,Planilha2!$B$2:$B$97)</f>
        <v>5215652</v>
      </c>
      <c r="X46"/>
      <c r="Y46"/>
    </row>
    <row r="47" spans="1:30" ht="29.25" thickBot="1" x14ac:dyDescent="0.45">
      <c r="A47" s="77">
        <v>46141.68141203704</v>
      </c>
      <c r="B47" s="78" t="s">
        <v>72</v>
      </c>
      <c r="C47" s="78" t="s">
        <v>73</v>
      </c>
      <c r="D47" s="78" t="s">
        <v>74</v>
      </c>
      <c r="E47" s="79" t="s">
        <v>75</v>
      </c>
      <c r="F47" s="79" t="s">
        <v>76</v>
      </c>
      <c r="G47" s="79" t="s">
        <v>27</v>
      </c>
      <c r="H47" s="80">
        <v>5</v>
      </c>
      <c r="I47" s="80">
        <v>5</v>
      </c>
      <c r="J47" s="80">
        <v>5</v>
      </c>
      <c r="K47" s="80">
        <v>5</v>
      </c>
      <c r="L47" s="80">
        <v>5</v>
      </c>
      <c r="M47" s="78">
        <v>5</v>
      </c>
      <c r="N47" s="78">
        <v>5</v>
      </c>
      <c r="O47" s="78" t="s">
        <v>77</v>
      </c>
      <c r="P47" s="81" t="s">
        <v>78</v>
      </c>
      <c r="Q47" s="81" t="s">
        <v>28</v>
      </c>
      <c r="R47" s="78"/>
      <c r="S47" s="81"/>
      <c r="T47" s="108" t="s">
        <v>54</v>
      </c>
      <c r="U47" s="112"/>
      <c r="V47" s="38" t="str">
        <f>+F47</f>
        <v>PARANAÍBA</v>
      </c>
      <c r="W47">
        <f>_xlfn.XLOOKUP(C47,Planilha2!$J$2:$J$97,Planilha2!$B$2:$B$97)</f>
        <v>5006309</v>
      </c>
      <c r="X47"/>
      <c r="Y47"/>
    </row>
    <row r="48" spans="1:30" ht="20.25" thickBot="1" x14ac:dyDescent="0.45">
      <c r="A48" s="54">
        <v>46142.689629629633</v>
      </c>
      <c r="B48" s="55" t="s">
        <v>411</v>
      </c>
      <c r="C48" s="55" t="s">
        <v>412</v>
      </c>
      <c r="D48" s="55" t="s">
        <v>413</v>
      </c>
      <c r="E48" s="56" t="s">
        <v>414</v>
      </c>
      <c r="F48" s="56" t="s">
        <v>415</v>
      </c>
      <c r="G48" s="56" t="s">
        <v>27</v>
      </c>
      <c r="H48" s="57">
        <v>4</v>
      </c>
      <c r="I48" s="57">
        <v>4</v>
      </c>
      <c r="J48" s="57">
        <v>4</v>
      </c>
      <c r="K48" s="57">
        <v>4</v>
      </c>
      <c r="L48" s="57">
        <v>4</v>
      </c>
      <c r="M48" s="57">
        <v>4</v>
      </c>
      <c r="N48" s="57">
        <v>4</v>
      </c>
      <c r="O48" s="55" t="s">
        <v>416</v>
      </c>
      <c r="P48" s="55" t="s">
        <v>417</v>
      </c>
      <c r="Q48" s="55" t="s">
        <v>28</v>
      </c>
      <c r="R48" s="58"/>
      <c r="S48" s="55"/>
      <c r="T48" s="55" t="s">
        <v>8</v>
      </c>
      <c r="U48" s="53"/>
      <c r="V48" s="38" t="str">
        <f>+F48</f>
        <v>INACIOLÂNDIA</v>
      </c>
      <c r="W48">
        <f>_xlfn.XLOOKUP(C48,Planilha2!$J$2:$J$97,Planilha2!$B$2:$B$97)</f>
        <v>5209937</v>
      </c>
      <c r="X48"/>
      <c r="Y48"/>
      <c r="Z48"/>
      <c r="AA48"/>
      <c r="AB48"/>
      <c r="AC48"/>
      <c r="AD48"/>
    </row>
    <row r="49" spans="1:30" ht="20.25" thickBot="1" x14ac:dyDescent="0.45">
      <c r="A49" s="77">
        <v>46141.697314814817</v>
      </c>
      <c r="B49" s="78" t="s">
        <v>150</v>
      </c>
      <c r="C49" s="78" t="s">
        <v>151</v>
      </c>
      <c r="D49" s="78" t="s">
        <v>152</v>
      </c>
      <c r="E49" s="79" t="s">
        <v>153</v>
      </c>
      <c r="F49" s="79" t="s">
        <v>154</v>
      </c>
      <c r="G49" s="79" t="s">
        <v>27</v>
      </c>
      <c r="H49" s="80">
        <v>5</v>
      </c>
      <c r="I49" s="80">
        <v>5</v>
      </c>
      <c r="J49" s="80">
        <v>5</v>
      </c>
      <c r="K49" s="80">
        <v>5</v>
      </c>
      <c r="L49" s="80">
        <v>5</v>
      </c>
      <c r="M49" s="78">
        <v>5</v>
      </c>
      <c r="N49" s="78">
        <v>5</v>
      </c>
      <c r="O49" s="78" t="s">
        <v>155</v>
      </c>
      <c r="P49" s="81" t="s">
        <v>92</v>
      </c>
      <c r="Q49" s="78" t="s">
        <v>156</v>
      </c>
      <c r="R49" s="78"/>
      <c r="S49" s="78" t="s">
        <v>59</v>
      </c>
      <c r="T49" s="108" t="s">
        <v>8</v>
      </c>
      <c r="U49" s="112" t="s">
        <v>157</v>
      </c>
      <c r="V49" s="38" t="str">
        <f>+F49</f>
        <v>SANTA HELENA DE GOIÁS</v>
      </c>
      <c r="W49">
        <f>_xlfn.XLOOKUP(C49,Planilha2!$J$2:$J$97,Planilha2!$B$2:$B$97)</f>
        <v>5219308</v>
      </c>
      <c r="X49"/>
      <c r="Y49"/>
    </row>
    <row r="50" spans="1:30" ht="20.25" thickBot="1" x14ac:dyDescent="0.45">
      <c r="A50" s="54">
        <v>46142.689282407409</v>
      </c>
      <c r="B50" s="55" t="s">
        <v>320</v>
      </c>
      <c r="C50" s="55" t="s">
        <v>321</v>
      </c>
      <c r="D50" s="55" t="s">
        <v>322</v>
      </c>
      <c r="E50" s="56" t="s">
        <v>323</v>
      </c>
      <c r="F50" s="56" t="s">
        <v>311</v>
      </c>
      <c r="G50" s="56" t="s">
        <v>27</v>
      </c>
      <c r="H50" s="57">
        <v>5</v>
      </c>
      <c r="I50" s="57">
        <v>5</v>
      </c>
      <c r="J50" s="57">
        <v>5</v>
      </c>
      <c r="K50" s="57">
        <v>5</v>
      </c>
      <c r="L50" s="57">
        <v>5</v>
      </c>
      <c r="M50" s="57">
        <v>5</v>
      </c>
      <c r="N50" s="57">
        <v>5</v>
      </c>
      <c r="O50" s="55" t="s">
        <v>388</v>
      </c>
      <c r="P50" s="55" t="s">
        <v>389</v>
      </c>
      <c r="Q50" s="55" t="s">
        <v>28</v>
      </c>
      <c r="R50" s="58"/>
      <c r="S50" s="58"/>
      <c r="T50" s="55" t="s">
        <v>29</v>
      </c>
      <c r="U50" s="53"/>
      <c r="V50" s="38" t="str">
        <f>+F50</f>
        <v>AMORINÓPOLIS</v>
      </c>
      <c r="W50">
        <f>_xlfn.XLOOKUP(C50,Planilha2!$J$2:$J$97,Planilha2!$B$2:$B$97)</f>
        <v>5200902</v>
      </c>
      <c r="X50"/>
      <c r="Y50"/>
      <c r="Z50"/>
      <c r="AA50"/>
      <c r="AB50"/>
      <c r="AC50"/>
      <c r="AD50"/>
    </row>
    <row r="51" spans="1:30" ht="20.25" thickBot="1" x14ac:dyDescent="0.45">
      <c r="A51" s="48">
        <v>46141.890833333331</v>
      </c>
      <c r="B51" s="49" t="s">
        <v>301</v>
      </c>
      <c r="C51" s="49" t="s">
        <v>302</v>
      </c>
      <c r="D51" s="49" t="s">
        <v>303</v>
      </c>
      <c r="E51" s="50" t="s">
        <v>304</v>
      </c>
      <c r="F51" s="50" t="s">
        <v>218</v>
      </c>
      <c r="G51" s="50" t="s">
        <v>27</v>
      </c>
      <c r="H51" s="51">
        <v>5</v>
      </c>
      <c r="I51" s="51">
        <v>5</v>
      </c>
      <c r="J51" s="51">
        <v>5</v>
      </c>
      <c r="K51" s="51">
        <v>5</v>
      </c>
      <c r="L51" s="51">
        <v>5</v>
      </c>
      <c r="M51" s="51">
        <v>5</v>
      </c>
      <c r="N51" s="51">
        <v>5</v>
      </c>
      <c r="O51" s="49" t="s">
        <v>305</v>
      </c>
      <c r="P51" s="49" t="s">
        <v>306</v>
      </c>
      <c r="Q51" s="49" t="s">
        <v>156</v>
      </c>
      <c r="R51" s="52"/>
      <c r="S51" s="52"/>
      <c r="T51" s="49" t="s">
        <v>7</v>
      </c>
      <c r="U51" s="53"/>
      <c r="V51" s="38" t="str">
        <f>+F51</f>
        <v>SANTA RITA DO ARAGUAIA</v>
      </c>
      <c r="W51">
        <f>_xlfn.XLOOKUP(C51,Planilha2!$J$2:$J$97,Planilha2!$B$2:$B$97)</f>
        <v>5219407</v>
      </c>
      <c r="X51"/>
      <c r="Y51"/>
      <c r="Z51"/>
      <c r="AA51"/>
      <c r="AB51"/>
      <c r="AC51"/>
      <c r="AD51"/>
    </row>
    <row r="52" spans="1:30" ht="26.25" thickBot="1" x14ac:dyDescent="0.45">
      <c r="A52" s="84">
        <v>46141.697847222225</v>
      </c>
      <c r="B52" s="85" t="s">
        <v>181</v>
      </c>
      <c r="C52" s="85" t="s">
        <v>182</v>
      </c>
      <c r="D52" s="85" t="s">
        <v>183</v>
      </c>
      <c r="E52" s="86" t="s">
        <v>184</v>
      </c>
      <c r="F52" s="86" t="s">
        <v>105</v>
      </c>
      <c r="G52" s="86" t="s">
        <v>27</v>
      </c>
      <c r="H52" s="87">
        <v>5</v>
      </c>
      <c r="I52" s="87">
        <v>5</v>
      </c>
      <c r="J52" s="87">
        <v>5</v>
      </c>
      <c r="K52" s="87">
        <v>4</v>
      </c>
      <c r="L52" s="87">
        <v>4</v>
      </c>
      <c r="M52" s="85">
        <v>5</v>
      </c>
      <c r="N52" s="85">
        <v>5</v>
      </c>
      <c r="O52" s="85" t="s">
        <v>185</v>
      </c>
      <c r="P52" s="88" t="s">
        <v>186</v>
      </c>
      <c r="Q52" s="88" t="s">
        <v>28</v>
      </c>
      <c r="R52" s="85"/>
      <c r="S52" s="88" t="s">
        <v>187</v>
      </c>
      <c r="T52" s="109" t="s">
        <v>29</v>
      </c>
      <c r="U52" s="112"/>
      <c r="V52" s="38" t="str">
        <f>+F52</f>
        <v>PEROLÂNDIA</v>
      </c>
      <c r="W52">
        <f>_xlfn.XLOOKUP(C52,Planilha2!$J$2:$J$97,Planilha2!$B$2:$B$97)</f>
        <v>5216452</v>
      </c>
      <c r="X52"/>
      <c r="Y52"/>
      <c r="Z52"/>
      <c r="AA52"/>
      <c r="AB52"/>
      <c r="AC52"/>
      <c r="AD52"/>
    </row>
    <row r="53" spans="1:30" ht="26.25" thickBot="1" x14ac:dyDescent="0.45">
      <c r="A53" s="77">
        <v>46141.696932870371</v>
      </c>
      <c r="B53" s="78" t="s">
        <v>137</v>
      </c>
      <c r="C53" s="78" t="s">
        <v>138</v>
      </c>
      <c r="D53" s="78" t="s">
        <v>139</v>
      </c>
      <c r="E53" s="79" t="s">
        <v>140</v>
      </c>
      <c r="F53" s="79" t="s">
        <v>141</v>
      </c>
      <c r="G53" s="79" t="s">
        <v>27</v>
      </c>
      <c r="H53" s="80">
        <v>5</v>
      </c>
      <c r="I53" s="80">
        <v>5</v>
      </c>
      <c r="J53" s="80">
        <v>5</v>
      </c>
      <c r="K53" s="80">
        <v>5</v>
      </c>
      <c r="L53" s="80">
        <v>5</v>
      </c>
      <c r="M53" s="78">
        <v>3</v>
      </c>
      <c r="N53" s="78">
        <v>5</v>
      </c>
      <c r="O53" s="78" t="s">
        <v>142</v>
      </c>
      <c r="P53" s="81" t="s">
        <v>92</v>
      </c>
      <c r="Q53" s="81" t="s">
        <v>28</v>
      </c>
      <c r="R53" s="78"/>
      <c r="S53" s="81"/>
      <c r="T53" s="108" t="s">
        <v>7</v>
      </c>
      <c r="U53" s="112"/>
      <c r="V53" s="38" t="str">
        <f>+F53</f>
        <v>RIO VERDE</v>
      </c>
      <c r="W53">
        <f>_xlfn.XLOOKUP(C53,Planilha2!$J$2:$J$97,Planilha2!$B$2:$B$97)</f>
        <v>5218805</v>
      </c>
      <c r="X53"/>
      <c r="Y53"/>
    </row>
    <row r="54" spans="1:30" ht="26.25" thickBot="1" x14ac:dyDescent="0.45">
      <c r="A54" s="84">
        <v>46141.695555555554</v>
      </c>
      <c r="B54" s="85" t="s">
        <v>125</v>
      </c>
      <c r="C54" s="85" t="s">
        <v>126</v>
      </c>
      <c r="D54" s="85" t="s">
        <v>127</v>
      </c>
      <c r="E54" s="86" t="s">
        <v>128</v>
      </c>
      <c r="F54" s="86" t="s">
        <v>121</v>
      </c>
      <c r="G54" s="86" t="s">
        <v>27</v>
      </c>
      <c r="H54" s="87">
        <v>5</v>
      </c>
      <c r="I54" s="87">
        <v>5</v>
      </c>
      <c r="J54" s="87">
        <v>5</v>
      </c>
      <c r="K54" s="87">
        <v>5</v>
      </c>
      <c r="L54" s="87">
        <v>5</v>
      </c>
      <c r="M54" s="85">
        <v>5</v>
      </c>
      <c r="N54" s="85">
        <v>5</v>
      </c>
      <c r="O54" s="85" t="s">
        <v>129</v>
      </c>
      <c r="P54" s="88" t="s">
        <v>130</v>
      </c>
      <c r="Q54" s="88" t="s">
        <v>28</v>
      </c>
      <c r="R54" s="85"/>
      <c r="S54" s="88"/>
      <c r="T54" s="109" t="s">
        <v>29</v>
      </c>
      <c r="U54" s="112"/>
      <c r="V54" s="38" t="str">
        <f>+F54</f>
        <v>RIBEIRÃOZINHO</v>
      </c>
      <c r="W54">
        <f>_xlfn.XLOOKUP(C54,Planilha2!$J$2:$J$97,Planilha2!$B$2:$B$97)</f>
        <v>5107198</v>
      </c>
      <c r="X54"/>
      <c r="Y54"/>
    </row>
    <row r="55" spans="1:30" ht="20.25" thickBot="1" x14ac:dyDescent="0.45">
      <c r="A55" s="48">
        <v>46142.705625000002</v>
      </c>
      <c r="B55" s="49" t="s">
        <v>481</v>
      </c>
      <c r="C55" s="49" t="s">
        <v>482</v>
      </c>
      <c r="D55" s="49" t="s">
        <v>483</v>
      </c>
      <c r="E55" s="50" t="s">
        <v>484</v>
      </c>
      <c r="F55" s="50" t="s">
        <v>485</v>
      </c>
      <c r="G55" s="50" t="s">
        <v>27</v>
      </c>
      <c r="H55" s="51">
        <v>5</v>
      </c>
      <c r="I55" s="51">
        <v>5</v>
      </c>
      <c r="J55" s="51">
        <v>5</v>
      </c>
      <c r="K55" s="51">
        <v>5</v>
      </c>
      <c r="L55" s="51">
        <v>5</v>
      </c>
      <c r="M55" s="51">
        <v>5</v>
      </c>
      <c r="N55" s="51">
        <v>4</v>
      </c>
      <c r="O55" s="49" t="s">
        <v>486</v>
      </c>
      <c r="P55" s="49" t="s">
        <v>487</v>
      </c>
      <c r="Q55" s="49" t="s">
        <v>28</v>
      </c>
      <c r="R55" s="52"/>
      <c r="S55" s="52"/>
      <c r="T55" s="49" t="s">
        <v>29</v>
      </c>
      <c r="U55" s="53"/>
      <c r="V55" s="38" t="str">
        <f>+F55</f>
        <v>GOUVELÂNDIA</v>
      </c>
      <c r="W55">
        <f>_xlfn.XLOOKUP(C55,Planilha2!$J$2:$J$97,Planilha2!$B$2:$B$97)</f>
        <v>5209150</v>
      </c>
      <c r="X55"/>
      <c r="Y55"/>
      <c r="Z55"/>
      <c r="AA55"/>
      <c r="AB55"/>
      <c r="AC55"/>
      <c r="AD55"/>
    </row>
    <row r="56" spans="1:30" ht="26.25" thickBot="1" x14ac:dyDescent="0.45">
      <c r="A56" s="54">
        <v>46142.689687500002</v>
      </c>
      <c r="B56" s="55" t="s">
        <v>418</v>
      </c>
      <c r="C56" s="55" t="s">
        <v>419</v>
      </c>
      <c r="D56" s="55" t="s">
        <v>420</v>
      </c>
      <c r="E56" s="56" t="s">
        <v>421</v>
      </c>
      <c r="F56" s="56" t="s">
        <v>422</v>
      </c>
      <c r="G56" s="56" t="s">
        <v>27</v>
      </c>
      <c r="H56" s="57">
        <v>5</v>
      </c>
      <c r="I56" s="57">
        <v>5</v>
      </c>
      <c r="J56" s="57">
        <v>5</v>
      </c>
      <c r="K56" s="57">
        <v>5</v>
      </c>
      <c r="L56" s="57">
        <v>5</v>
      </c>
      <c r="M56" s="57">
        <v>5</v>
      </c>
      <c r="N56" s="57">
        <v>5</v>
      </c>
      <c r="O56" s="55" t="s">
        <v>423</v>
      </c>
      <c r="P56" s="55" t="s">
        <v>424</v>
      </c>
      <c r="Q56" s="55" t="s">
        <v>156</v>
      </c>
      <c r="R56" s="58"/>
      <c r="S56" s="58"/>
      <c r="T56" s="55" t="s">
        <v>6</v>
      </c>
      <c r="U56" s="53"/>
      <c r="V56" s="38" t="str">
        <f>+F56</f>
        <v>CASSILÂNDIA</v>
      </c>
      <c r="W56">
        <f>_xlfn.XLOOKUP(C56,Planilha2!$J$2:$J$97,Planilha2!$B$2:$B$97)</f>
        <v>5002902</v>
      </c>
      <c r="X56"/>
      <c r="Y56"/>
      <c r="Z56"/>
      <c r="AA56"/>
      <c r="AB56"/>
      <c r="AC56"/>
      <c r="AD56"/>
    </row>
    <row r="57" spans="1:30" ht="20.25" thickBot="1" x14ac:dyDescent="0.45">
      <c r="A57" s="48">
        <v>46142.66878472222</v>
      </c>
      <c r="B57" s="49" t="s">
        <v>314</v>
      </c>
      <c r="C57" s="49" t="s">
        <v>315</v>
      </c>
      <c r="D57" s="49" t="s">
        <v>316</v>
      </c>
      <c r="E57" s="50" t="s">
        <v>317</v>
      </c>
      <c r="F57" s="50" t="s">
        <v>311</v>
      </c>
      <c r="G57" s="50" t="s">
        <v>27</v>
      </c>
      <c r="H57" s="51">
        <v>5</v>
      </c>
      <c r="I57" s="51">
        <v>5</v>
      </c>
      <c r="J57" s="51">
        <v>5</v>
      </c>
      <c r="K57" s="51">
        <v>5</v>
      </c>
      <c r="L57" s="51">
        <v>5</v>
      </c>
      <c r="M57" s="51">
        <v>5</v>
      </c>
      <c r="N57" s="51">
        <v>5</v>
      </c>
      <c r="O57" s="49" t="s">
        <v>318</v>
      </c>
      <c r="P57" s="49" t="s">
        <v>319</v>
      </c>
      <c r="Q57" s="49" t="s">
        <v>28</v>
      </c>
      <c r="R57" s="52"/>
      <c r="S57" s="52"/>
      <c r="T57" s="49" t="s">
        <v>29</v>
      </c>
      <c r="U57" s="53"/>
      <c r="V57" s="38" t="str">
        <f>+F57</f>
        <v>AMORINÓPOLIS</v>
      </c>
      <c r="W57">
        <f>_xlfn.XLOOKUP(C57,Planilha2!$J$2:$J$97,Planilha2!$B$2:$B$97)</f>
        <v>5200902</v>
      </c>
      <c r="X57"/>
      <c r="Y57"/>
      <c r="Z57"/>
      <c r="AA57"/>
      <c r="AB57"/>
      <c r="AC57"/>
      <c r="AD57"/>
    </row>
    <row r="58" spans="1:30" ht="26.25" thickBot="1" x14ac:dyDescent="0.45">
      <c r="A58" s="84">
        <v>46141.683055555557</v>
      </c>
      <c r="B58" s="85" t="s">
        <v>101</v>
      </c>
      <c r="C58" s="85" t="s">
        <v>102</v>
      </c>
      <c r="D58" s="85" t="s">
        <v>103</v>
      </c>
      <c r="E58" s="86" t="s">
        <v>104</v>
      </c>
      <c r="F58" s="86" t="s">
        <v>105</v>
      </c>
      <c r="G58" s="86" t="s">
        <v>27</v>
      </c>
      <c r="H58" s="87">
        <v>5</v>
      </c>
      <c r="I58" s="87">
        <v>5</v>
      </c>
      <c r="J58" s="87">
        <v>5</v>
      </c>
      <c r="K58" s="87">
        <v>5</v>
      </c>
      <c r="L58" s="87">
        <v>5</v>
      </c>
      <c r="M58" s="85">
        <v>5</v>
      </c>
      <c r="N58" s="85">
        <v>5</v>
      </c>
      <c r="O58" s="85" t="s">
        <v>106</v>
      </c>
      <c r="P58" s="88" t="s">
        <v>107</v>
      </c>
      <c r="Q58" s="88" t="s">
        <v>28</v>
      </c>
      <c r="R58" s="85"/>
      <c r="S58" s="88" t="s">
        <v>108</v>
      </c>
      <c r="T58" s="109" t="s">
        <v>29</v>
      </c>
      <c r="U58" s="112"/>
      <c r="V58" s="38" t="str">
        <f>+F58</f>
        <v>PEROLÂNDIA</v>
      </c>
      <c r="W58">
        <f>_xlfn.XLOOKUP(C58,Planilha2!$J$2:$J$97,Planilha2!$B$2:$B$97)</f>
        <v>5216452</v>
      </c>
      <c r="X58"/>
      <c r="Y58"/>
    </row>
    <row r="59" spans="1:30" ht="20.25" thickBot="1" x14ac:dyDescent="0.45">
      <c r="A59" s="48">
        <v>46142.662048611113</v>
      </c>
      <c r="B59" s="49" t="s">
        <v>307</v>
      </c>
      <c r="C59" s="49" t="s">
        <v>308</v>
      </c>
      <c r="D59" s="49" t="s">
        <v>309</v>
      </c>
      <c r="E59" s="50" t="s">
        <v>310</v>
      </c>
      <c r="F59" s="50" t="s">
        <v>311</v>
      </c>
      <c r="G59" s="50" t="s">
        <v>27</v>
      </c>
      <c r="H59" s="51">
        <v>5</v>
      </c>
      <c r="I59" s="51">
        <v>5</v>
      </c>
      <c r="J59" s="51">
        <v>5</v>
      </c>
      <c r="K59" s="51">
        <v>5</v>
      </c>
      <c r="L59" s="51">
        <v>5</v>
      </c>
      <c r="M59" s="51">
        <v>4</v>
      </c>
      <c r="N59" s="51">
        <v>5</v>
      </c>
      <c r="O59" s="49" t="s">
        <v>312</v>
      </c>
      <c r="P59" s="49" t="s">
        <v>313</v>
      </c>
      <c r="Q59" s="49" t="s">
        <v>28</v>
      </c>
      <c r="R59" s="52"/>
      <c r="S59" s="52"/>
      <c r="T59" s="49" t="s">
        <v>8</v>
      </c>
      <c r="U59" s="53"/>
      <c r="V59" s="38" t="str">
        <f>+F59</f>
        <v>AMORINÓPOLIS</v>
      </c>
      <c r="W59">
        <f>_xlfn.XLOOKUP(C59,Planilha2!$J$2:$J$97,Planilha2!$B$2:$B$97)</f>
        <v>5200902</v>
      </c>
      <c r="X59"/>
      <c r="Y59"/>
      <c r="Z59"/>
      <c r="AA59"/>
      <c r="AB59"/>
      <c r="AC59"/>
      <c r="AD59"/>
    </row>
    <row r="60" spans="1:30" ht="26.25" thickBot="1" x14ac:dyDescent="0.45">
      <c r="A60" s="84">
        <v>46141.698298611111</v>
      </c>
      <c r="B60" s="85" t="s">
        <v>202</v>
      </c>
      <c r="C60" s="85" t="s">
        <v>203</v>
      </c>
      <c r="D60" s="85" t="s">
        <v>204</v>
      </c>
      <c r="E60" s="86" t="s">
        <v>205</v>
      </c>
      <c r="F60" s="86" t="s">
        <v>206</v>
      </c>
      <c r="G60" s="86" t="s">
        <v>27</v>
      </c>
      <c r="H60" s="87">
        <v>4</v>
      </c>
      <c r="I60" s="87">
        <v>4</v>
      </c>
      <c r="J60" s="87">
        <v>4</v>
      </c>
      <c r="K60" s="87">
        <v>4</v>
      </c>
      <c r="L60" s="87">
        <v>4</v>
      </c>
      <c r="M60" s="85">
        <v>4</v>
      </c>
      <c r="N60" s="85">
        <v>5</v>
      </c>
      <c r="O60" s="85" t="s">
        <v>56</v>
      </c>
      <c r="P60" s="88" t="s">
        <v>207</v>
      </c>
      <c r="Q60" s="88" t="s">
        <v>28</v>
      </c>
      <c r="R60" s="85"/>
      <c r="S60" s="88" t="s">
        <v>62</v>
      </c>
      <c r="T60" s="109" t="s">
        <v>29</v>
      </c>
      <c r="U60" s="112"/>
      <c r="V60" s="38" t="str">
        <f>+F60</f>
        <v>SÃO SIMÃO</v>
      </c>
      <c r="W60">
        <f>_xlfn.XLOOKUP(C60,Planilha2!$J$2:$J$97,Planilha2!$B$2:$B$97)</f>
        <v>5220405</v>
      </c>
      <c r="X60"/>
      <c r="Y60"/>
    </row>
    <row r="61" spans="1:30" ht="20.25" thickBot="1" x14ac:dyDescent="0.45">
      <c r="A61" s="60">
        <v>46142.68608796296</v>
      </c>
      <c r="B61" s="61" t="s">
        <v>334</v>
      </c>
      <c r="C61" s="61" t="s">
        <v>335</v>
      </c>
      <c r="D61" s="61" t="s">
        <v>336</v>
      </c>
      <c r="E61" s="62" t="s">
        <v>337</v>
      </c>
      <c r="F61" s="62" t="s">
        <v>330</v>
      </c>
      <c r="G61" s="62" t="s">
        <v>27</v>
      </c>
      <c r="H61" s="63">
        <v>5</v>
      </c>
      <c r="I61" s="63">
        <v>5</v>
      </c>
      <c r="J61" s="63">
        <v>5</v>
      </c>
      <c r="K61" s="63">
        <v>4</v>
      </c>
      <c r="L61" s="63">
        <v>5</v>
      </c>
      <c r="M61" s="63">
        <v>5</v>
      </c>
      <c r="N61" s="63">
        <v>5</v>
      </c>
      <c r="O61" s="61" t="s">
        <v>338</v>
      </c>
      <c r="P61" s="61" t="s">
        <v>339</v>
      </c>
      <c r="Q61" s="61" t="s">
        <v>156</v>
      </c>
      <c r="R61" s="64"/>
      <c r="S61" s="64" t="s">
        <v>340</v>
      </c>
      <c r="T61" s="61" t="s">
        <v>6</v>
      </c>
      <c r="U61" s="65" t="s">
        <v>341</v>
      </c>
      <c r="V61" s="38" t="str">
        <f>+F61</f>
        <v>COSTA RICA</v>
      </c>
      <c r="W61">
        <f>_xlfn.XLOOKUP(C61,Planilha2!$J$2:$J$97,Planilha2!$B$2:$B$97)</f>
        <v>5003256</v>
      </c>
      <c r="X61"/>
      <c r="Y61"/>
      <c r="Z61"/>
      <c r="AA61"/>
      <c r="AB61"/>
      <c r="AC61"/>
      <c r="AD61"/>
    </row>
    <row r="62" spans="1:30" ht="20.25" thickBot="1" x14ac:dyDescent="0.45">
      <c r="A62" s="66"/>
      <c r="B62" s="4"/>
      <c r="C62" s="4"/>
      <c r="D62" s="4"/>
      <c r="E62" s="66"/>
      <c r="F62" s="66"/>
      <c r="G62" s="66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/>
      <c r="W62"/>
      <c r="X62"/>
      <c r="Y62"/>
      <c r="Z62"/>
      <c r="AA62"/>
      <c r="AB62"/>
      <c r="AC62"/>
      <c r="AD62"/>
    </row>
    <row r="63" spans="1:30" ht="20.25" thickBot="1" x14ac:dyDescent="0.45">
      <c r="A63" s="66"/>
      <c r="B63" s="4"/>
      <c r="C63" s="4"/>
      <c r="D63" s="4"/>
      <c r="E63" s="66"/>
      <c r="F63" s="66"/>
      <c r="G63" s="66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/>
      <c r="W63"/>
      <c r="X63"/>
      <c r="Y63"/>
      <c r="Z63"/>
      <c r="AA63"/>
      <c r="AB63"/>
      <c r="AC63"/>
      <c r="AD63"/>
    </row>
    <row r="64" spans="1:30" ht="20.25" thickBot="1" x14ac:dyDescent="0.45">
      <c r="A64" s="66"/>
      <c r="B64" s="4"/>
      <c r="C64" s="4"/>
      <c r="D64" s="4"/>
      <c r="E64" s="66"/>
      <c r="F64" s="66"/>
      <c r="G64" s="66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/>
      <c r="W64"/>
      <c r="X64"/>
      <c r="Y64"/>
      <c r="Z64"/>
      <c r="AA64"/>
      <c r="AB64"/>
      <c r="AC64"/>
      <c r="AD64"/>
    </row>
    <row r="65" spans="1:30" ht="20.25" thickBot="1" x14ac:dyDescent="0.45">
      <c r="A65" s="66"/>
      <c r="B65" s="4"/>
      <c r="C65" s="4"/>
      <c r="D65" s="4"/>
      <c r="E65" s="66"/>
      <c r="F65" s="66"/>
      <c r="G65" s="66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/>
      <c r="W65"/>
      <c r="X65"/>
      <c r="Y65"/>
      <c r="Z65"/>
      <c r="AA65"/>
      <c r="AB65"/>
      <c r="AC65"/>
      <c r="AD65"/>
    </row>
    <row r="66" spans="1:30" ht="20.25" thickBot="1" x14ac:dyDescent="0.45">
      <c r="A66" s="66"/>
      <c r="B66" s="4"/>
      <c r="C66" s="4"/>
      <c r="D66" s="4"/>
      <c r="E66" s="66"/>
      <c r="F66" s="66"/>
      <c r="G66" s="66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/>
      <c r="W66"/>
      <c r="X66"/>
      <c r="Y66"/>
      <c r="Z66"/>
      <c r="AA66"/>
      <c r="AB66"/>
      <c r="AC66"/>
      <c r="AD66"/>
    </row>
    <row r="67" spans="1:30" ht="20.25" thickBot="1" x14ac:dyDescent="0.45">
      <c r="A67" s="66"/>
      <c r="B67" s="4"/>
      <c r="C67" s="4"/>
      <c r="D67" s="4"/>
      <c r="E67" s="66"/>
      <c r="F67" s="66"/>
      <c r="G67" s="66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/>
      <c r="W67"/>
      <c r="X67"/>
      <c r="Y67"/>
      <c r="Z67"/>
      <c r="AA67"/>
      <c r="AB67"/>
      <c r="AC67"/>
      <c r="AD67"/>
    </row>
    <row r="68" spans="1:30" ht="20.25" thickBot="1" x14ac:dyDescent="0.45">
      <c r="A68" s="66"/>
      <c r="B68" s="4"/>
      <c r="C68" s="4"/>
      <c r="D68" s="4"/>
      <c r="E68" s="66"/>
      <c r="F68" s="66"/>
      <c r="G68" s="66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/>
      <c r="W68"/>
      <c r="X68"/>
      <c r="Y68"/>
      <c r="Z68"/>
      <c r="AA68"/>
      <c r="AB68"/>
      <c r="AC68"/>
      <c r="AD68"/>
    </row>
    <row r="69" spans="1:30" ht="20.25" thickBot="1" x14ac:dyDescent="0.45">
      <c r="A69" s="66"/>
      <c r="B69" s="4"/>
      <c r="C69" s="4"/>
      <c r="D69" s="4"/>
      <c r="E69" s="66"/>
      <c r="F69" s="66"/>
      <c r="G69" s="66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/>
      <c r="W69"/>
      <c r="X69"/>
      <c r="Y69"/>
      <c r="Z69"/>
      <c r="AA69"/>
      <c r="AB69"/>
      <c r="AC69"/>
      <c r="AD69"/>
    </row>
    <row r="70" spans="1:30" ht="20.25" thickBot="1" x14ac:dyDescent="0.45">
      <c r="A70" s="66"/>
      <c r="B70" s="4"/>
      <c r="C70" s="4"/>
      <c r="D70" s="4"/>
      <c r="E70" s="66"/>
      <c r="F70" s="66"/>
      <c r="G70" s="66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/>
      <c r="W70"/>
      <c r="X70"/>
      <c r="Y70"/>
      <c r="Z70"/>
      <c r="AA70"/>
      <c r="AB70"/>
      <c r="AC70"/>
      <c r="AD70"/>
    </row>
    <row r="71" spans="1:30" ht="20.25" thickBot="1" x14ac:dyDescent="0.45">
      <c r="A71" s="66"/>
      <c r="B71" s="4"/>
      <c r="C71" s="4"/>
      <c r="D71" s="4"/>
      <c r="E71" s="66"/>
      <c r="F71" s="66"/>
      <c r="G71" s="66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/>
      <c r="W71"/>
      <c r="X71"/>
      <c r="Y71"/>
      <c r="Z71"/>
      <c r="AA71"/>
      <c r="AB71"/>
      <c r="AC71"/>
      <c r="AD71"/>
    </row>
    <row r="72" spans="1:30" ht="20.25" thickBot="1" x14ac:dyDescent="0.45">
      <c r="A72" s="66"/>
      <c r="B72" s="4"/>
      <c r="C72" s="4"/>
      <c r="D72" s="4"/>
      <c r="E72" s="66"/>
      <c r="F72" s="66"/>
      <c r="G72" s="66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/>
      <c r="W72"/>
      <c r="X72"/>
      <c r="Y72"/>
      <c r="Z72"/>
      <c r="AA72"/>
      <c r="AB72"/>
      <c r="AC72"/>
      <c r="AD72"/>
    </row>
    <row r="73" spans="1:30" ht="20.25" thickBot="1" x14ac:dyDescent="0.45">
      <c r="A73" s="66"/>
      <c r="B73" s="4"/>
      <c r="C73" s="4"/>
      <c r="D73" s="4"/>
      <c r="E73" s="66"/>
      <c r="F73" s="66"/>
      <c r="G73" s="66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/>
      <c r="W73"/>
      <c r="X73"/>
      <c r="Y73"/>
      <c r="Z73"/>
      <c r="AA73"/>
      <c r="AB73"/>
      <c r="AC73"/>
      <c r="AD73"/>
    </row>
    <row r="74" spans="1:30" ht="20.25" thickBot="1" x14ac:dyDescent="0.45">
      <c r="A74" s="66"/>
      <c r="B74" s="4"/>
      <c r="C74" s="4"/>
      <c r="D74" s="4"/>
      <c r="E74" s="66"/>
      <c r="F74" s="66"/>
      <c r="G74" s="66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/>
      <c r="W74"/>
      <c r="X74"/>
      <c r="Y74"/>
      <c r="Z74"/>
      <c r="AA74"/>
      <c r="AB74"/>
      <c r="AC74"/>
      <c r="AD74"/>
    </row>
    <row r="75" spans="1:30" ht="20.25" thickBot="1" x14ac:dyDescent="0.45">
      <c r="A75" s="66"/>
      <c r="B75" s="4"/>
      <c r="C75" s="4"/>
      <c r="D75" s="4"/>
      <c r="E75" s="66"/>
      <c r="F75" s="66"/>
      <c r="G75" s="66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/>
      <c r="W75"/>
      <c r="X75"/>
      <c r="Y75"/>
      <c r="Z75"/>
      <c r="AA75"/>
      <c r="AB75"/>
      <c r="AC75"/>
      <c r="AD75"/>
    </row>
    <row r="76" spans="1:30" ht="20.25" thickBot="1" x14ac:dyDescent="0.45">
      <c r="A76" s="66"/>
      <c r="B76" s="4"/>
      <c r="C76" s="4"/>
      <c r="D76" s="4"/>
      <c r="E76" s="66"/>
      <c r="F76" s="66"/>
      <c r="G76" s="66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/>
      <c r="W76"/>
      <c r="X76"/>
      <c r="Y76"/>
      <c r="Z76"/>
      <c r="AA76"/>
      <c r="AB76"/>
      <c r="AC76"/>
      <c r="AD76"/>
    </row>
    <row r="77" spans="1:30" ht="20.25" thickBot="1" x14ac:dyDescent="0.45">
      <c r="A77" s="66"/>
      <c r="B77" s="4"/>
      <c r="C77" s="4"/>
      <c r="D77" s="4"/>
      <c r="E77" s="66"/>
      <c r="F77" s="66"/>
      <c r="G77" s="66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/>
      <c r="W77"/>
      <c r="X77"/>
      <c r="Y77"/>
      <c r="Z77"/>
      <c r="AA77"/>
      <c r="AB77"/>
      <c r="AC77"/>
      <c r="AD77"/>
    </row>
    <row r="78" spans="1:30" ht="20.25" thickBot="1" x14ac:dyDescent="0.45">
      <c r="A78" s="66"/>
      <c r="B78" s="4"/>
      <c r="C78" s="4"/>
      <c r="D78" s="4"/>
      <c r="E78" s="66"/>
      <c r="F78" s="66"/>
      <c r="G78" s="66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/>
      <c r="W78"/>
      <c r="X78"/>
      <c r="Y78"/>
      <c r="Z78"/>
      <c r="AA78"/>
      <c r="AB78"/>
      <c r="AC78"/>
      <c r="AD78"/>
    </row>
    <row r="79" spans="1:30" ht="20.25" thickBot="1" x14ac:dyDescent="0.45">
      <c r="A79" s="66"/>
      <c r="B79" s="4"/>
      <c r="C79" s="4"/>
      <c r="D79" s="4"/>
      <c r="E79" s="66"/>
      <c r="F79" s="66"/>
      <c r="G79" s="66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/>
      <c r="W79"/>
      <c r="X79"/>
      <c r="Y79"/>
      <c r="Z79"/>
      <c r="AA79"/>
      <c r="AB79"/>
      <c r="AC79"/>
      <c r="AD79"/>
    </row>
    <row r="80" spans="1:30" ht="20.25" thickBot="1" x14ac:dyDescent="0.45">
      <c r="A80" s="66"/>
      <c r="B80" s="4"/>
      <c r="C80" s="4"/>
      <c r="D80" s="4"/>
      <c r="E80" s="66"/>
      <c r="F80" s="66"/>
      <c r="G80" s="66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/>
      <c r="W80"/>
      <c r="X80"/>
      <c r="Y80"/>
      <c r="Z80"/>
      <c r="AA80"/>
      <c r="AB80"/>
      <c r="AC80"/>
      <c r="AD80"/>
    </row>
    <row r="81" spans="1:30" ht="20.25" thickBot="1" x14ac:dyDescent="0.45">
      <c r="A81" s="66"/>
      <c r="B81" s="4"/>
      <c r="C81" s="4"/>
      <c r="D81" s="4"/>
      <c r="E81" s="66"/>
      <c r="F81" s="66"/>
      <c r="G81" s="66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/>
      <c r="W81"/>
      <c r="X81"/>
      <c r="Y81"/>
      <c r="Z81"/>
      <c r="AA81"/>
      <c r="AB81"/>
      <c r="AC81"/>
      <c r="AD81"/>
    </row>
    <row r="82" spans="1:30" ht="20.25" thickBot="1" x14ac:dyDescent="0.45">
      <c r="A82" s="66"/>
      <c r="B82" s="4"/>
      <c r="C82" s="4"/>
      <c r="D82" s="4"/>
      <c r="E82" s="66"/>
      <c r="F82" s="66"/>
      <c r="G82" s="66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/>
      <c r="W82"/>
      <c r="X82"/>
      <c r="Y82"/>
      <c r="Z82"/>
      <c r="AA82"/>
      <c r="AB82"/>
      <c r="AC82"/>
      <c r="AD82"/>
    </row>
    <row r="83" spans="1:30" ht="20.25" thickBot="1" x14ac:dyDescent="0.45">
      <c r="A83" s="66"/>
      <c r="B83" s="4"/>
      <c r="C83" s="4"/>
      <c r="D83" s="4"/>
      <c r="E83" s="66"/>
      <c r="F83" s="66"/>
      <c r="G83" s="66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/>
      <c r="W83"/>
      <c r="X83"/>
      <c r="Y83"/>
      <c r="Z83"/>
      <c r="AA83"/>
      <c r="AB83"/>
      <c r="AC83"/>
      <c r="AD83"/>
    </row>
    <row r="84" spans="1:30" ht="20.25" thickBot="1" x14ac:dyDescent="0.45">
      <c r="A84" s="66"/>
      <c r="B84" s="4"/>
      <c r="C84" s="4"/>
      <c r="D84" s="4"/>
      <c r="E84" s="66"/>
      <c r="F84" s="66"/>
      <c r="G84" s="66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/>
      <c r="W84"/>
      <c r="X84"/>
      <c r="Y84"/>
      <c r="Z84"/>
      <c r="AA84"/>
      <c r="AB84"/>
      <c r="AC84"/>
      <c r="AD84"/>
    </row>
    <row r="85" spans="1:30" ht="20.25" thickBot="1" x14ac:dyDescent="0.45">
      <c r="A85" s="66"/>
      <c r="B85" s="4"/>
      <c r="C85" s="4"/>
      <c r="D85" s="4"/>
      <c r="E85" s="66"/>
      <c r="F85" s="66"/>
      <c r="G85" s="66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/>
      <c r="W85"/>
      <c r="X85"/>
      <c r="Y85"/>
      <c r="Z85"/>
      <c r="AA85"/>
      <c r="AB85"/>
      <c r="AC85"/>
      <c r="AD85"/>
    </row>
    <row r="86" spans="1:30" ht="20.25" thickBot="1" x14ac:dyDescent="0.45">
      <c r="A86" s="66"/>
      <c r="B86" s="4"/>
      <c r="C86" s="4"/>
      <c r="D86" s="4"/>
      <c r="E86" s="66"/>
      <c r="F86" s="66"/>
      <c r="G86" s="66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/>
      <c r="W86"/>
      <c r="X86"/>
      <c r="Y86"/>
      <c r="Z86"/>
      <c r="AA86"/>
      <c r="AB86"/>
      <c r="AC86"/>
      <c r="AD86"/>
    </row>
    <row r="87" spans="1:30" ht="20.25" thickBot="1" x14ac:dyDescent="0.45">
      <c r="A87" s="66"/>
      <c r="B87" s="4"/>
      <c r="C87" s="4"/>
      <c r="D87" s="4"/>
      <c r="E87" s="66"/>
      <c r="F87" s="66"/>
      <c r="G87" s="66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/>
      <c r="W87"/>
      <c r="X87"/>
      <c r="Y87"/>
      <c r="Z87"/>
      <c r="AA87"/>
      <c r="AB87"/>
      <c r="AC87"/>
      <c r="AD87"/>
    </row>
    <row r="88" spans="1:30" ht="20.25" thickBot="1" x14ac:dyDescent="0.45">
      <c r="A88" s="66"/>
      <c r="B88" s="4"/>
      <c r="C88" s="4"/>
      <c r="D88" s="4"/>
      <c r="E88" s="66"/>
      <c r="F88" s="66"/>
      <c r="G88" s="66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/>
      <c r="W88"/>
      <c r="X88"/>
      <c r="Y88"/>
      <c r="Z88"/>
      <c r="AA88"/>
      <c r="AB88"/>
      <c r="AC88"/>
      <c r="AD88"/>
    </row>
    <row r="89" spans="1:30" ht="20.25" thickBot="1" x14ac:dyDescent="0.45">
      <c r="A89" s="66"/>
      <c r="B89" s="4"/>
      <c r="C89" s="4"/>
      <c r="D89" s="4"/>
      <c r="E89" s="66"/>
      <c r="F89" s="66"/>
      <c r="G89" s="66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/>
      <c r="W89"/>
      <c r="X89"/>
      <c r="Y89"/>
      <c r="Z89"/>
      <c r="AA89"/>
      <c r="AB89"/>
      <c r="AC89"/>
      <c r="AD89"/>
    </row>
    <row r="90" spans="1:30" ht="20.25" thickBot="1" x14ac:dyDescent="0.45">
      <c r="A90" s="66"/>
      <c r="B90" s="4"/>
      <c r="C90" s="4"/>
      <c r="D90" s="4"/>
      <c r="E90" s="66"/>
      <c r="F90" s="66"/>
      <c r="G90" s="66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/>
      <c r="W90"/>
      <c r="X90"/>
      <c r="Y90"/>
      <c r="Z90"/>
      <c r="AA90"/>
      <c r="AB90"/>
      <c r="AC90"/>
      <c r="AD90"/>
    </row>
    <row r="91" spans="1:30" ht="20.25" thickBot="1" x14ac:dyDescent="0.45">
      <c r="A91" s="66"/>
      <c r="B91" s="4"/>
      <c r="C91" s="4"/>
      <c r="D91" s="4"/>
      <c r="E91" s="66"/>
      <c r="F91" s="66"/>
      <c r="G91" s="66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/>
      <c r="W91"/>
      <c r="X91"/>
      <c r="Y91"/>
      <c r="Z91"/>
      <c r="AA91"/>
      <c r="AB91"/>
      <c r="AC91"/>
      <c r="AD91"/>
    </row>
    <row r="92" spans="1:30" ht="20.25" thickBot="1" x14ac:dyDescent="0.45">
      <c r="A92" s="66"/>
      <c r="B92" s="4"/>
      <c r="C92" s="4"/>
      <c r="D92" s="4"/>
      <c r="E92" s="66"/>
      <c r="F92" s="66"/>
      <c r="G92" s="66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/>
      <c r="W92"/>
      <c r="X92"/>
      <c r="Y92"/>
      <c r="Z92"/>
      <c r="AA92"/>
      <c r="AB92"/>
      <c r="AC92"/>
      <c r="AD92"/>
    </row>
    <row r="93" spans="1:30" ht="20.25" thickBot="1" x14ac:dyDescent="0.45">
      <c r="A93" s="66"/>
      <c r="B93" s="4"/>
      <c r="C93" s="4"/>
      <c r="D93" s="4"/>
      <c r="E93" s="66"/>
      <c r="F93" s="66"/>
      <c r="G93" s="66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/>
      <c r="W93"/>
      <c r="X93"/>
      <c r="Y93"/>
      <c r="Z93"/>
      <c r="AA93"/>
      <c r="AB93"/>
      <c r="AC93"/>
      <c r="AD93"/>
    </row>
    <row r="94" spans="1:30" ht="20.25" thickBot="1" x14ac:dyDescent="0.45">
      <c r="A94" s="66"/>
      <c r="B94" s="4"/>
      <c r="C94" s="4"/>
      <c r="D94" s="4"/>
      <c r="E94" s="66"/>
      <c r="F94" s="66"/>
      <c r="G94" s="66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/>
      <c r="W94"/>
      <c r="X94"/>
      <c r="Y94"/>
      <c r="Z94"/>
      <c r="AA94"/>
      <c r="AB94"/>
      <c r="AC94"/>
      <c r="AD94"/>
    </row>
    <row r="95" spans="1:30" ht="20.25" thickBot="1" x14ac:dyDescent="0.45">
      <c r="A95" s="66"/>
      <c r="B95" s="4"/>
      <c r="C95" s="4"/>
      <c r="D95" s="4"/>
      <c r="E95" s="66"/>
      <c r="F95" s="66"/>
      <c r="G95" s="66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/>
      <c r="W95"/>
      <c r="X95"/>
      <c r="Y95"/>
      <c r="Z95"/>
      <c r="AA95"/>
      <c r="AB95"/>
      <c r="AC95"/>
      <c r="AD95"/>
    </row>
    <row r="96" spans="1:30" ht="20.25" thickBot="1" x14ac:dyDescent="0.45">
      <c r="A96" s="66"/>
      <c r="B96" s="4"/>
      <c r="C96" s="4"/>
      <c r="D96" s="4"/>
      <c r="E96" s="66"/>
      <c r="F96" s="66"/>
      <c r="G96" s="66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/>
      <c r="W96"/>
      <c r="X96"/>
      <c r="Y96"/>
      <c r="Z96"/>
      <c r="AA96"/>
      <c r="AB96"/>
      <c r="AC96"/>
      <c r="AD96"/>
    </row>
    <row r="97" spans="1:30" ht="20.25" thickBot="1" x14ac:dyDescent="0.45">
      <c r="A97" s="66"/>
      <c r="B97" s="4"/>
      <c r="C97" s="4"/>
      <c r="D97" s="4"/>
      <c r="E97" s="66"/>
      <c r="F97" s="66"/>
      <c r="G97" s="66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/>
      <c r="W97"/>
      <c r="X97"/>
      <c r="Y97"/>
      <c r="Z97"/>
      <c r="AA97"/>
      <c r="AB97"/>
      <c r="AC97"/>
      <c r="AD97"/>
    </row>
    <row r="98" spans="1:30" ht="20.25" thickBot="1" x14ac:dyDescent="0.45">
      <c r="A98" s="66"/>
      <c r="B98" s="4"/>
      <c r="C98" s="4"/>
      <c r="D98" s="4"/>
      <c r="E98" s="66"/>
      <c r="F98" s="66"/>
      <c r="G98" s="66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/>
      <c r="W98"/>
      <c r="X98"/>
      <c r="Y98"/>
      <c r="Z98"/>
      <c r="AA98"/>
      <c r="AB98"/>
      <c r="AC98"/>
      <c r="AD98"/>
    </row>
    <row r="99" spans="1:30" ht="20.25" thickBot="1" x14ac:dyDescent="0.45">
      <c r="A99" s="66"/>
      <c r="B99" s="4"/>
      <c r="C99" s="4"/>
      <c r="D99" s="4"/>
      <c r="E99" s="66"/>
      <c r="F99" s="66"/>
      <c r="G99" s="66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/>
      <c r="W99"/>
      <c r="X99"/>
      <c r="Y99"/>
      <c r="Z99"/>
      <c r="AA99"/>
      <c r="AB99"/>
      <c r="AC99"/>
      <c r="AD99"/>
    </row>
    <row r="100" spans="1:30" ht="20.25" thickBot="1" x14ac:dyDescent="0.45">
      <c r="A100" s="66"/>
      <c r="B100" s="4"/>
      <c r="C100" s="4"/>
      <c r="D100" s="4"/>
      <c r="E100" s="66"/>
      <c r="F100" s="66"/>
      <c r="G100" s="66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/>
      <c r="W100"/>
      <c r="X100"/>
      <c r="Y100"/>
      <c r="Z100"/>
      <c r="AA100"/>
      <c r="AB100"/>
      <c r="AC100"/>
      <c r="AD100"/>
    </row>
    <row r="101" spans="1:30" ht="20.25" thickBot="1" x14ac:dyDescent="0.45">
      <c r="A101" s="66"/>
      <c r="B101" s="4"/>
      <c r="C101" s="4"/>
      <c r="D101" s="4"/>
      <c r="E101" s="66"/>
      <c r="F101" s="66"/>
      <c r="G101" s="66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/>
      <c r="W101"/>
      <c r="X101"/>
      <c r="Y101"/>
      <c r="Z101"/>
      <c r="AA101"/>
      <c r="AB101"/>
      <c r="AC101"/>
      <c r="AD101"/>
    </row>
    <row r="102" spans="1:30" ht="20.25" thickBot="1" x14ac:dyDescent="0.45">
      <c r="A102" s="66"/>
      <c r="B102" s="4"/>
      <c r="C102" s="4"/>
      <c r="D102" s="4"/>
      <c r="E102" s="66"/>
      <c r="F102" s="66"/>
      <c r="G102" s="66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/>
      <c r="W102"/>
      <c r="X102"/>
      <c r="Y102"/>
      <c r="Z102"/>
      <c r="AA102"/>
      <c r="AB102"/>
      <c r="AC102"/>
      <c r="AD102"/>
    </row>
    <row r="103" spans="1:30" ht="20.25" thickBot="1" x14ac:dyDescent="0.45">
      <c r="A103" s="66"/>
      <c r="B103" s="4"/>
      <c r="C103" s="4"/>
      <c r="D103" s="4"/>
      <c r="E103" s="66"/>
      <c r="F103" s="66"/>
      <c r="G103" s="66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/>
      <c r="W103"/>
      <c r="X103"/>
      <c r="Y103"/>
      <c r="Z103"/>
      <c r="AA103"/>
      <c r="AB103"/>
      <c r="AC103"/>
      <c r="AD103"/>
    </row>
    <row r="104" spans="1:30" ht="20.25" thickBot="1" x14ac:dyDescent="0.45">
      <c r="A104" s="66"/>
      <c r="B104" s="4"/>
      <c r="C104" s="4"/>
      <c r="D104" s="4"/>
      <c r="E104" s="66"/>
      <c r="F104" s="66"/>
      <c r="G104" s="66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/>
      <c r="W104"/>
      <c r="X104"/>
      <c r="Y104"/>
      <c r="Z104"/>
      <c r="AA104"/>
      <c r="AB104"/>
      <c r="AC104"/>
      <c r="AD104"/>
    </row>
    <row r="105" spans="1:30" ht="20.25" thickBot="1" x14ac:dyDescent="0.45">
      <c r="A105" s="66"/>
      <c r="B105" s="4"/>
      <c r="C105" s="4"/>
      <c r="D105" s="4"/>
      <c r="E105" s="66"/>
      <c r="F105" s="66"/>
      <c r="G105" s="66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/>
      <c r="W105"/>
      <c r="X105"/>
      <c r="Y105"/>
      <c r="Z105"/>
      <c r="AA105"/>
      <c r="AB105"/>
      <c r="AC105"/>
      <c r="AD105"/>
    </row>
    <row r="106" spans="1:30" ht="20.25" thickBot="1" x14ac:dyDescent="0.45">
      <c r="A106" s="66"/>
      <c r="B106" s="4"/>
      <c r="C106" s="4"/>
      <c r="D106" s="4"/>
      <c r="E106" s="66"/>
      <c r="F106" s="66"/>
      <c r="G106" s="66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/>
      <c r="W106"/>
      <c r="X106"/>
      <c r="Y106"/>
      <c r="Z106"/>
      <c r="AA106"/>
      <c r="AB106"/>
      <c r="AC106"/>
      <c r="AD106"/>
    </row>
    <row r="107" spans="1:30" ht="20.25" thickBot="1" x14ac:dyDescent="0.45">
      <c r="A107" s="66"/>
      <c r="B107" s="4"/>
      <c r="C107" s="4"/>
      <c r="D107" s="4"/>
      <c r="E107" s="66"/>
      <c r="F107" s="66"/>
      <c r="G107" s="66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/>
      <c r="W107"/>
      <c r="X107"/>
      <c r="Y107"/>
      <c r="Z107"/>
      <c r="AA107"/>
      <c r="AB107"/>
      <c r="AC107"/>
      <c r="AD107"/>
    </row>
    <row r="108" spans="1:30" ht="20.25" thickBot="1" x14ac:dyDescent="0.45">
      <c r="A108" s="66"/>
      <c r="B108" s="4"/>
      <c r="C108" s="4"/>
      <c r="D108" s="4"/>
      <c r="E108" s="66"/>
      <c r="F108" s="66"/>
      <c r="G108" s="66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/>
      <c r="W108"/>
      <c r="X108"/>
      <c r="Y108"/>
      <c r="Z108"/>
      <c r="AA108"/>
      <c r="AB108"/>
      <c r="AC108"/>
      <c r="AD108"/>
    </row>
    <row r="109" spans="1:30" ht="20.25" thickBot="1" x14ac:dyDescent="0.45">
      <c r="A109" s="66"/>
      <c r="B109" s="4"/>
      <c r="C109" s="4"/>
      <c r="D109" s="4"/>
      <c r="E109" s="66"/>
      <c r="F109" s="66"/>
      <c r="G109" s="66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/>
      <c r="W109"/>
      <c r="X109"/>
      <c r="Y109"/>
      <c r="Z109"/>
      <c r="AA109"/>
      <c r="AB109"/>
      <c r="AC109"/>
      <c r="AD109"/>
    </row>
    <row r="110" spans="1:30" ht="20.25" thickBot="1" x14ac:dyDescent="0.45">
      <c r="A110" s="66"/>
      <c r="B110" s="4"/>
      <c r="C110" s="4"/>
      <c r="D110" s="4"/>
      <c r="E110" s="66"/>
      <c r="F110" s="66"/>
      <c r="G110" s="66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/>
      <c r="W110"/>
      <c r="X110"/>
      <c r="Y110"/>
      <c r="Z110"/>
      <c r="AA110"/>
      <c r="AB110"/>
      <c r="AC110"/>
      <c r="AD110"/>
    </row>
    <row r="111" spans="1:30" ht="20.25" thickBot="1" x14ac:dyDescent="0.45">
      <c r="A111" s="66"/>
      <c r="B111" s="4"/>
      <c r="C111" s="4"/>
      <c r="D111" s="4"/>
      <c r="E111" s="66"/>
      <c r="F111" s="66"/>
      <c r="G111" s="66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/>
      <c r="W111"/>
      <c r="X111"/>
      <c r="Y111"/>
      <c r="Z111"/>
      <c r="AA111"/>
      <c r="AB111"/>
      <c r="AC111"/>
      <c r="AD111"/>
    </row>
    <row r="112" spans="1:30" ht="20.25" thickBot="1" x14ac:dyDescent="0.45">
      <c r="A112" s="66"/>
      <c r="B112" s="4"/>
      <c r="C112" s="4"/>
      <c r="D112" s="4"/>
      <c r="E112" s="66"/>
      <c r="F112" s="66"/>
      <c r="G112" s="66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/>
      <c r="W112"/>
      <c r="X112"/>
      <c r="Y112"/>
      <c r="Z112"/>
      <c r="AA112"/>
      <c r="AB112"/>
      <c r="AC112"/>
      <c r="AD112"/>
    </row>
    <row r="113" spans="1:30" ht="20.25" thickBot="1" x14ac:dyDescent="0.45">
      <c r="A113" s="66"/>
      <c r="B113" s="4"/>
      <c r="C113" s="4"/>
      <c r="D113" s="4"/>
      <c r="E113" s="66"/>
      <c r="F113" s="66"/>
      <c r="G113" s="66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/>
      <c r="W113"/>
      <c r="X113"/>
      <c r="Y113"/>
      <c r="Z113"/>
      <c r="AA113"/>
      <c r="AB113"/>
      <c r="AC113"/>
      <c r="AD113"/>
    </row>
    <row r="114" spans="1:30" ht="20.25" thickBot="1" x14ac:dyDescent="0.45">
      <c r="A114" s="66"/>
      <c r="B114" s="4"/>
      <c r="C114" s="4"/>
      <c r="D114" s="4"/>
      <c r="E114" s="66"/>
      <c r="F114" s="66"/>
      <c r="G114" s="66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/>
      <c r="W114"/>
      <c r="X114"/>
      <c r="Y114"/>
      <c r="Z114"/>
      <c r="AA114"/>
      <c r="AB114"/>
      <c r="AC114"/>
      <c r="AD114"/>
    </row>
    <row r="115" spans="1:30" ht="20.25" thickBot="1" x14ac:dyDescent="0.45">
      <c r="A115" s="66"/>
      <c r="B115" s="4"/>
      <c r="C115" s="4"/>
      <c r="D115" s="4"/>
      <c r="E115" s="66"/>
      <c r="F115" s="66"/>
      <c r="G115" s="66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/>
      <c r="W115"/>
      <c r="X115"/>
      <c r="Y115"/>
      <c r="Z115"/>
      <c r="AA115"/>
      <c r="AB115"/>
      <c r="AC115"/>
      <c r="AD115"/>
    </row>
    <row r="116" spans="1:30" ht="20.25" thickBot="1" x14ac:dyDescent="0.45">
      <c r="A116" s="66"/>
      <c r="B116" s="4"/>
      <c r="C116" s="4"/>
      <c r="D116" s="4"/>
      <c r="E116" s="66"/>
      <c r="F116" s="66"/>
      <c r="G116" s="66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/>
      <c r="W116"/>
      <c r="X116"/>
      <c r="Y116"/>
      <c r="Z116"/>
      <c r="AA116"/>
      <c r="AB116"/>
      <c r="AC116"/>
      <c r="AD116"/>
    </row>
    <row r="117" spans="1:30" ht="20.25" thickBot="1" x14ac:dyDescent="0.45">
      <c r="A117" s="66"/>
      <c r="B117" s="4"/>
      <c r="C117" s="4"/>
      <c r="D117" s="4"/>
      <c r="E117" s="66"/>
      <c r="F117" s="66"/>
      <c r="G117" s="66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/>
      <c r="W117"/>
      <c r="X117"/>
      <c r="Y117"/>
      <c r="Z117"/>
      <c r="AA117"/>
      <c r="AB117"/>
      <c r="AC117"/>
      <c r="AD117"/>
    </row>
    <row r="118" spans="1:30" ht="20.25" thickBot="1" x14ac:dyDescent="0.45">
      <c r="A118" s="66"/>
      <c r="B118" s="4"/>
      <c r="C118" s="4"/>
      <c r="D118" s="4"/>
      <c r="E118" s="66"/>
      <c r="F118" s="66"/>
      <c r="G118" s="66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/>
      <c r="W118"/>
      <c r="X118"/>
      <c r="Y118"/>
      <c r="Z118"/>
      <c r="AA118"/>
      <c r="AB118"/>
      <c r="AC118"/>
      <c r="AD118"/>
    </row>
    <row r="119" spans="1:30" ht="20.25" thickBot="1" x14ac:dyDescent="0.45">
      <c r="A119" s="66"/>
      <c r="B119" s="4"/>
      <c r="C119" s="4"/>
      <c r="D119" s="4"/>
      <c r="E119" s="66"/>
      <c r="F119" s="66"/>
      <c r="G119" s="66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/>
      <c r="W119"/>
      <c r="X119"/>
      <c r="Y119"/>
      <c r="Z119"/>
      <c r="AA119"/>
      <c r="AB119"/>
      <c r="AC119"/>
      <c r="AD119"/>
    </row>
    <row r="120" spans="1:30" ht="20.25" thickBot="1" x14ac:dyDescent="0.45">
      <c r="A120" s="66"/>
      <c r="B120" s="4"/>
      <c r="C120" s="4"/>
      <c r="D120" s="4"/>
      <c r="E120" s="66"/>
      <c r="F120" s="66"/>
      <c r="G120" s="66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/>
      <c r="W120"/>
      <c r="X120"/>
      <c r="Y120"/>
      <c r="Z120"/>
      <c r="AA120"/>
      <c r="AB120"/>
      <c r="AC120"/>
      <c r="AD120"/>
    </row>
    <row r="121" spans="1:30" ht="20.25" thickBot="1" x14ac:dyDescent="0.45">
      <c r="A121" s="66"/>
      <c r="B121" s="4"/>
      <c r="C121" s="4"/>
      <c r="D121" s="4"/>
      <c r="E121" s="66"/>
      <c r="F121" s="66"/>
      <c r="G121" s="66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/>
      <c r="W121"/>
      <c r="X121"/>
      <c r="Y121"/>
      <c r="Z121"/>
      <c r="AA121"/>
      <c r="AB121"/>
      <c r="AC121"/>
      <c r="AD121"/>
    </row>
    <row r="122" spans="1:30" ht="20.25" thickBot="1" x14ac:dyDescent="0.45">
      <c r="A122" s="66"/>
      <c r="B122" s="4"/>
      <c r="C122" s="4"/>
      <c r="D122" s="4"/>
      <c r="E122" s="66"/>
      <c r="F122" s="66"/>
      <c r="G122" s="66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/>
      <c r="W122"/>
      <c r="X122"/>
      <c r="Y122"/>
      <c r="Z122"/>
      <c r="AA122"/>
      <c r="AB122"/>
      <c r="AC122"/>
      <c r="AD122"/>
    </row>
    <row r="123" spans="1:30" ht="20.25" thickBot="1" x14ac:dyDescent="0.45">
      <c r="A123" s="66"/>
      <c r="B123" s="4"/>
      <c r="C123" s="4"/>
      <c r="D123" s="4"/>
      <c r="E123" s="66"/>
      <c r="F123" s="66"/>
      <c r="G123" s="66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/>
      <c r="W123"/>
      <c r="X123"/>
      <c r="Y123"/>
      <c r="Z123"/>
      <c r="AA123"/>
      <c r="AB123"/>
      <c r="AC123"/>
      <c r="AD123"/>
    </row>
    <row r="124" spans="1:30" ht="20.25" thickBot="1" x14ac:dyDescent="0.45">
      <c r="A124" s="66"/>
      <c r="B124" s="4"/>
      <c r="C124" s="4"/>
      <c r="D124" s="4"/>
      <c r="E124" s="66"/>
      <c r="F124" s="66"/>
      <c r="G124" s="66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/>
      <c r="W124"/>
      <c r="X124"/>
      <c r="Y124"/>
      <c r="Z124"/>
      <c r="AA124"/>
      <c r="AB124"/>
      <c r="AC124"/>
      <c r="AD124"/>
    </row>
    <row r="125" spans="1:30" ht="20.25" thickBot="1" x14ac:dyDescent="0.45">
      <c r="A125" s="66"/>
      <c r="B125" s="4"/>
      <c r="C125" s="4"/>
      <c r="D125" s="4"/>
      <c r="E125" s="66"/>
      <c r="F125" s="66"/>
      <c r="G125" s="66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/>
      <c r="W125"/>
      <c r="X125"/>
      <c r="Y125"/>
      <c r="Z125"/>
      <c r="AA125"/>
      <c r="AB125"/>
      <c r="AC125"/>
      <c r="AD125"/>
    </row>
    <row r="126" spans="1:30" ht="20.25" thickBot="1" x14ac:dyDescent="0.45">
      <c r="A126" s="66"/>
      <c r="B126" s="4"/>
      <c r="C126" s="4"/>
      <c r="D126" s="4"/>
      <c r="E126" s="66"/>
      <c r="F126" s="66"/>
      <c r="G126" s="66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/>
      <c r="W126"/>
      <c r="X126"/>
      <c r="Y126"/>
      <c r="Z126"/>
      <c r="AA126"/>
      <c r="AB126"/>
      <c r="AC126"/>
      <c r="AD126"/>
    </row>
    <row r="127" spans="1:30" ht="20.25" thickBot="1" x14ac:dyDescent="0.45">
      <c r="A127" s="66"/>
      <c r="B127" s="4"/>
      <c r="C127" s="4"/>
      <c r="D127" s="4"/>
      <c r="E127" s="66"/>
      <c r="F127" s="66"/>
      <c r="G127" s="66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/>
      <c r="W127"/>
      <c r="X127"/>
      <c r="Y127"/>
      <c r="Z127"/>
      <c r="AA127"/>
      <c r="AB127"/>
      <c r="AC127"/>
      <c r="AD127"/>
    </row>
    <row r="128" spans="1:30" ht="20.25" thickBot="1" x14ac:dyDescent="0.45">
      <c r="A128" s="66"/>
      <c r="B128" s="4"/>
      <c r="C128" s="4"/>
      <c r="D128" s="4"/>
      <c r="E128" s="66"/>
      <c r="F128" s="66"/>
      <c r="G128" s="66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/>
      <c r="W128"/>
      <c r="X128"/>
      <c r="Y128"/>
      <c r="Z128"/>
      <c r="AA128"/>
      <c r="AB128"/>
      <c r="AC128"/>
      <c r="AD128"/>
    </row>
    <row r="129" spans="1:30" ht="20.25" thickBot="1" x14ac:dyDescent="0.45">
      <c r="A129" s="66"/>
      <c r="B129" s="4"/>
      <c r="C129" s="4"/>
      <c r="D129" s="4"/>
      <c r="E129" s="66"/>
      <c r="F129" s="66"/>
      <c r="G129" s="66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/>
      <c r="W129"/>
      <c r="X129"/>
      <c r="Y129"/>
      <c r="Z129"/>
      <c r="AA129"/>
      <c r="AB129"/>
      <c r="AC129"/>
      <c r="AD129"/>
    </row>
    <row r="130" spans="1:30" ht="20.25" thickBot="1" x14ac:dyDescent="0.45">
      <c r="A130" s="66"/>
      <c r="B130" s="4"/>
      <c r="C130" s="4"/>
      <c r="D130" s="4"/>
      <c r="E130" s="66"/>
      <c r="F130" s="66"/>
      <c r="G130" s="66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/>
      <c r="W130"/>
      <c r="X130"/>
      <c r="Y130"/>
      <c r="Z130"/>
      <c r="AA130"/>
      <c r="AB130"/>
      <c r="AC130"/>
      <c r="AD130"/>
    </row>
    <row r="131" spans="1:30" ht="20.25" thickBot="1" x14ac:dyDescent="0.45">
      <c r="A131" s="66"/>
      <c r="B131" s="4"/>
      <c r="C131" s="4"/>
      <c r="D131" s="4"/>
      <c r="E131" s="66"/>
      <c r="F131" s="66"/>
      <c r="G131" s="66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/>
      <c r="W131"/>
      <c r="X131"/>
      <c r="Y131"/>
      <c r="Z131"/>
      <c r="AA131"/>
      <c r="AB131"/>
      <c r="AC131"/>
      <c r="AD131"/>
    </row>
    <row r="132" spans="1:30" ht="20.25" thickBot="1" x14ac:dyDescent="0.45">
      <c r="A132" s="66"/>
      <c r="B132" s="4"/>
      <c r="C132" s="4"/>
      <c r="D132" s="4"/>
      <c r="E132" s="66"/>
      <c r="F132" s="66"/>
      <c r="G132" s="66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/>
      <c r="W132"/>
      <c r="X132"/>
      <c r="Y132"/>
      <c r="Z132"/>
      <c r="AA132"/>
      <c r="AB132"/>
      <c r="AC132"/>
      <c r="AD132"/>
    </row>
    <row r="133" spans="1:30" ht="20.25" thickBot="1" x14ac:dyDescent="0.45">
      <c r="A133" s="66"/>
      <c r="B133" s="4"/>
      <c r="C133" s="4"/>
      <c r="D133" s="4"/>
      <c r="E133" s="66"/>
      <c r="F133" s="66"/>
      <c r="G133" s="66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/>
      <c r="W133"/>
      <c r="X133"/>
      <c r="Y133"/>
      <c r="Z133"/>
      <c r="AA133"/>
      <c r="AB133"/>
      <c r="AC133"/>
      <c r="AD133"/>
    </row>
    <row r="134" spans="1:30" ht="20.25" thickBot="1" x14ac:dyDescent="0.45">
      <c r="A134" s="66"/>
      <c r="B134" s="4"/>
      <c r="C134" s="4"/>
      <c r="D134" s="4"/>
      <c r="E134" s="66"/>
      <c r="F134" s="66"/>
      <c r="G134" s="66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/>
      <c r="W134"/>
      <c r="X134"/>
      <c r="Y134"/>
      <c r="Z134"/>
      <c r="AA134"/>
      <c r="AB134"/>
      <c r="AC134"/>
      <c r="AD134"/>
    </row>
    <row r="135" spans="1:30" ht="20.25" thickBot="1" x14ac:dyDescent="0.45">
      <c r="A135" s="66"/>
      <c r="B135" s="4"/>
      <c r="C135" s="4"/>
      <c r="D135" s="4"/>
      <c r="E135" s="66"/>
      <c r="F135" s="66"/>
      <c r="G135" s="66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/>
      <c r="W135"/>
      <c r="X135"/>
      <c r="Y135"/>
      <c r="Z135"/>
      <c r="AA135"/>
      <c r="AB135"/>
      <c r="AC135"/>
      <c r="AD135"/>
    </row>
    <row r="136" spans="1:30" ht="20.25" thickBot="1" x14ac:dyDescent="0.45">
      <c r="A136" s="66"/>
      <c r="B136" s="4"/>
      <c r="C136" s="4"/>
      <c r="D136" s="4"/>
      <c r="E136" s="66"/>
      <c r="F136" s="66"/>
      <c r="G136" s="66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/>
      <c r="W136"/>
      <c r="X136"/>
      <c r="Y136"/>
      <c r="Z136"/>
      <c r="AA136"/>
      <c r="AB136"/>
      <c r="AC136"/>
      <c r="AD136"/>
    </row>
    <row r="137" spans="1:30" ht="20.25" thickBot="1" x14ac:dyDescent="0.45">
      <c r="A137" s="66"/>
      <c r="B137" s="4"/>
      <c r="C137" s="4"/>
      <c r="D137" s="4"/>
      <c r="E137" s="66"/>
      <c r="F137" s="66"/>
      <c r="G137" s="66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/>
      <c r="W137"/>
      <c r="X137"/>
      <c r="Y137"/>
      <c r="Z137"/>
      <c r="AA137"/>
      <c r="AB137"/>
      <c r="AC137"/>
      <c r="AD137"/>
    </row>
    <row r="138" spans="1:30" ht="20.25" thickBot="1" x14ac:dyDescent="0.45">
      <c r="A138" s="66"/>
      <c r="B138" s="4"/>
      <c r="C138" s="4"/>
      <c r="D138" s="4"/>
      <c r="E138" s="66"/>
      <c r="F138" s="66"/>
      <c r="G138" s="66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/>
      <c r="W138"/>
      <c r="X138"/>
      <c r="Y138"/>
      <c r="Z138"/>
      <c r="AA138"/>
      <c r="AB138"/>
      <c r="AC138"/>
      <c r="AD138"/>
    </row>
    <row r="139" spans="1:30" ht="20.25" thickBot="1" x14ac:dyDescent="0.45">
      <c r="A139" s="66"/>
      <c r="B139" s="4"/>
      <c r="C139" s="4"/>
      <c r="D139" s="4"/>
      <c r="E139" s="66"/>
      <c r="F139" s="66"/>
      <c r="G139" s="66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/>
      <c r="W139"/>
      <c r="X139"/>
      <c r="Y139"/>
      <c r="Z139"/>
      <c r="AA139"/>
      <c r="AB139"/>
      <c r="AC139"/>
      <c r="AD139"/>
    </row>
    <row r="140" spans="1:30" ht="20.25" thickBot="1" x14ac:dyDescent="0.45">
      <c r="A140" s="66"/>
      <c r="B140" s="4"/>
      <c r="C140" s="4"/>
      <c r="D140" s="4"/>
      <c r="E140" s="66"/>
      <c r="F140" s="66"/>
      <c r="G140" s="66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/>
      <c r="W140"/>
      <c r="X140"/>
      <c r="Y140"/>
      <c r="Z140"/>
      <c r="AA140"/>
      <c r="AB140"/>
      <c r="AC140"/>
      <c r="AD140"/>
    </row>
    <row r="141" spans="1:30" ht="20.25" thickBot="1" x14ac:dyDescent="0.45">
      <c r="A141" s="66"/>
      <c r="B141" s="4"/>
      <c r="C141" s="4"/>
      <c r="D141" s="4"/>
      <c r="E141" s="66"/>
      <c r="F141" s="66"/>
      <c r="G141" s="66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/>
      <c r="W141"/>
      <c r="X141"/>
      <c r="Y141"/>
      <c r="Z141"/>
      <c r="AA141"/>
      <c r="AB141"/>
      <c r="AC141"/>
      <c r="AD141"/>
    </row>
    <row r="142" spans="1:30" ht="20.25" thickBot="1" x14ac:dyDescent="0.45">
      <c r="A142" s="66"/>
      <c r="B142" s="4"/>
      <c r="C142" s="4"/>
      <c r="D142" s="4"/>
      <c r="E142" s="66"/>
      <c r="F142" s="66"/>
      <c r="G142" s="66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/>
      <c r="W142"/>
      <c r="X142"/>
      <c r="Y142"/>
      <c r="Z142"/>
      <c r="AA142"/>
      <c r="AB142"/>
      <c r="AC142"/>
      <c r="AD142"/>
    </row>
    <row r="143" spans="1:30" ht="20.25" thickBot="1" x14ac:dyDescent="0.45">
      <c r="A143" s="66"/>
      <c r="B143" s="4"/>
      <c r="C143" s="4"/>
      <c r="D143" s="4"/>
      <c r="E143" s="66"/>
      <c r="F143" s="66"/>
      <c r="G143" s="66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/>
      <c r="W143"/>
      <c r="X143"/>
      <c r="Y143"/>
      <c r="Z143"/>
      <c r="AA143"/>
      <c r="AB143"/>
      <c r="AC143"/>
      <c r="AD143"/>
    </row>
    <row r="144" spans="1:30" ht="20.25" thickBot="1" x14ac:dyDescent="0.45">
      <c r="A144" s="66"/>
      <c r="B144" s="4"/>
      <c r="C144" s="4"/>
      <c r="D144" s="4"/>
      <c r="E144" s="66"/>
      <c r="F144" s="66"/>
      <c r="G144" s="66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/>
      <c r="W144"/>
      <c r="X144"/>
      <c r="Y144"/>
      <c r="Z144"/>
      <c r="AA144"/>
      <c r="AB144"/>
      <c r="AC144"/>
      <c r="AD144"/>
    </row>
    <row r="145" spans="1:30" ht="20.25" thickBot="1" x14ac:dyDescent="0.45">
      <c r="A145" s="66"/>
      <c r="B145" s="4"/>
      <c r="C145" s="4"/>
      <c r="D145" s="4"/>
      <c r="E145" s="66"/>
      <c r="F145" s="66"/>
      <c r="G145" s="66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/>
      <c r="W145"/>
      <c r="X145"/>
      <c r="Y145"/>
      <c r="Z145"/>
      <c r="AA145"/>
      <c r="AB145"/>
      <c r="AC145"/>
      <c r="AD145"/>
    </row>
    <row r="146" spans="1:30" ht="20.25" thickBot="1" x14ac:dyDescent="0.45">
      <c r="A146" s="66"/>
      <c r="B146" s="4"/>
      <c r="C146" s="4"/>
      <c r="D146" s="4"/>
      <c r="E146" s="66"/>
      <c r="F146" s="66"/>
      <c r="G146" s="66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/>
      <c r="W146"/>
      <c r="X146"/>
      <c r="Y146"/>
      <c r="Z146"/>
      <c r="AA146"/>
      <c r="AB146"/>
      <c r="AC146"/>
      <c r="AD146"/>
    </row>
    <row r="147" spans="1:30" ht="20.25" thickBot="1" x14ac:dyDescent="0.45">
      <c r="A147" s="66"/>
      <c r="B147" s="4"/>
      <c r="C147" s="4"/>
      <c r="D147" s="4"/>
      <c r="E147" s="66"/>
      <c r="F147" s="66"/>
      <c r="G147" s="66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/>
      <c r="W147"/>
      <c r="X147"/>
      <c r="Y147"/>
      <c r="Z147"/>
      <c r="AA147"/>
      <c r="AB147"/>
      <c r="AC147"/>
      <c r="AD147"/>
    </row>
    <row r="148" spans="1:30" ht="20.25" thickBot="1" x14ac:dyDescent="0.45">
      <c r="A148" s="66"/>
      <c r="B148" s="4"/>
      <c r="C148" s="4"/>
      <c r="D148" s="4"/>
      <c r="E148" s="66"/>
      <c r="F148" s="66"/>
      <c r="G148" s="66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/>
      <c r="W148"/>
      <c r="X148"/>
      <c r="Y148"/>
      <c r="Z148"/>
      <c r="AA148"/>
      <c r="AB148"/>
      <c r="AC148"/>
      <c r="AD148"/>
    </row>
    <row r="149" spans="1:30" ht="20.25" thickBot="1" x14ac:dyDescent="0.45">
      <c r="A149" s="66"/>
      <c r="B149" s="4"/>
      <c r="C149" s="4"/>
      <c r="D149" s="4"/>
      <c r="E149" s="66"/>
      <c r="F149" s="66"/>
      <c r="G149" s="66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/>
      <c r="W149"/>
      <c r="X149"/>
      <c r="Y149"/>
      <c r="Z149"/>
      <c r="AA149"/>
      <c r="AB149"/>
      <c r="AC149"/>
      <c r="AD149"/>
    </row>
    <row r="150" spans="1:30" ht="20.25" thickBot="1" x14ac:dyDescent="0.45">
      <c r="A150" s="66"/>
      <c r="B150" s="4"/>
      <c r="C150" s="4"/>
      <c r="D150" s="4"/>
      <c r="E150" s="66"/>
      <c r="F150" s="66"/>
      <c r="G150" s="66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/>
      <c r="W150"/>
      <c r="X150"/>
      <c r="Y150"/>
      <c r="Z150"/>
      <c r="AA150"/>
      <c r="AB150"/>
      <c r="AC150"/>
      <c r="AD150"/>
    </row>
    <row r="151" spans="1:30" ht="20.25" thickBot="1" x14ac:dyDescent="0.45">
      <c r="A151" s="66"/>
      <c r="B151" s="4"/>
      <c r="C151" s="4"/>
      <c r="D151" s="4"/>
      <c r="E151" s="66"/>
      <c r="F151" s="66"/>
      <c r="G151" s="66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/>
      <c r="W151"/>
      <c r="X151"/>
      <c r="Y151"/>
      <c r="Z151"/>
      <c r="AA151"/>
      <c r="AB151"/>
      <c r="AC151"/>
      <c r="AD151"/>
    </row>
    <row r="152" spans="1:30" ht="20.25" thickBot="1" x14ac:dyDescent="0.45">
      <c r="A152" s="66"/>
      <c r="B152" s="4"/>
      <c r="C152" s="4"/>
      <c r="D152" s="4"/>
      <c r="E152" s="66"/>
      <c r="F152" s="66"/>
      <c r="G152" s="66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/>
      <c r="W152"/>
      <c r="X152"/>
      <c r="Y152"/>
      <c r="Z152"/>
      <c r="AA152"/>
      <c r="AB152"/>
      <c r="AC152"/>
      <c r="AD152"/>
    </row>
    <row r="153" spans="1:30" ht="20.25" thickBot="1" x14ac:dyDescent="0.45">
      <c r="A153" s="66"/>
      <c r="B153" s="4"/>
      <c r="C153" s="4"/>
      <c r="D153" s="4"/>
      <c r="E153" s="66"/>
      <c r="F153" s="66"/>
      <c r="G153" s="66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/>
      <c r="W153"/>
      <c r="X153"/>
      <c r="Y153"/>
      <c r="Z153"/>
      <c r="AA153"/>
      <c r="AB153"/>
      <c r="AC153"/>
      <c r="AD153"/>
    </row>
    <row r="154" spans="1:30" ht="20.25" thickBot="1" x14ac:dyDescent="0.45">
      <c r="A154" s="66"/>
      <c r="B154" s="4"/>
      <c r="C154" s="4"/>
      <c r="D154" s="4"/>
      <c r="E154" s="66"/>
      <c r="F154" s="66"/>
      <c r="G154" s="66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/>
      <c r="W154"/>
      <c r="X154"/>
      <c r="Y154"/>
      <c r="Z154"/>
      <c r="AA154"/>
      <c r="AB154"/>
      <c r="AC154"/>
      <c r="AD154"/>
    </row>
    <row r="155" spans="1:30" ht="20.25" thickBot="1" x14ac:dyDescent="0.45">
      <c r="A155" s="66"/>
      <c r="B155" s="4"/>
      <c r="C155" s="4"/>
      <c r="D155" s="4"/>
      <c r="E155" s="66"/>
      <c r="F155" s="66"/>
      <c r="G155" s="66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/>
      <c r="W155"/>
      <c r="X155"/>
      <c r="Y155"/>
      <c r="Z155"/>
      <c r="AA155"/>
      <c r="AB155"/>
      <c r="AC155"/>
      <c r="AD155"/>
    </row>
    <row r="156" spans="1:30" ht="20.25" thickBot="1" x14ac:dyDescent="0.45">
      <c r="A156" s="66"/>
      <c r="B156" s="4"/>
      <c r="C156" s="4"/>
      <c r="D156" s="4"/>
      <c r="E156" s="66"/>
      <c r="F156" s="66"/>
      <c r="G156" s="66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/>
      <c r="W156"/>
      <c r="X156"/>
      <c r="Y156"/>
      <c r="Z156"/>
      <c r="AA156"/>
      <c r="AB156"/>
      <c r="AC156"/>
      <c r="AD156"/>
    </row>
    <row r="157" spans="1:30" ht="20.25" thickBot="1" x14ac:dyDescent="0.45">
      <c r="A157" s="66"/>
      <c r="B157" s="4"/>
      <c r="C157" s="4"/>
      <c r="D157" s="4"/>
      <c r="E157" s="66"/>
      <c r="F157" s="66"/>
      <c r="G157" s="66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/>
      <c r="W157"/>
      <c r="X157"/>
      <c r="Y157"/>
      <c r="Z157"/>
      <c r="AA157"/>
      <c r="AB157"/>
      <c r="AC157"/>
      <c r="AD157"/>
    </row>
    <row r="158" spans="1:30" ht="20.25" thickBot="1" x14ac:dyDescent="0.45">
      <c r="A158" s="66"/>
      <c r="B158" s="4"/>
      <c r="C158" s="4"/>
      <c r="D158" s="4"/>
      <c r="E158" s="66"/>
      <c r="F158" s="66"/>
      <c r="G158" s="66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/>
      <c r="W158"/>
      <c r="X158"/>
      <c r="Y158"/>
      <c r="Z158"/>
      <c r="AA158"/>
      <c r="AB158"/>
      <c r="AC158"/>
      <c r="AD158"/>
    </row>
    <row r="159" spans="1:30" ht="20.25" thickBot="1" x14ac:dyDescent="0.45">
      <c r="A159" s="66"/>
      <c r="B159" s="4"/>
      <c r="C159" s="4"/>
      <c r="D159" s="4"/>
      <c r="E159" s="66"/>
      <c r="F159" s="66"/>
      <c r="G159" s="66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/>
      <c r="W159"/>
      <c r="X159"/>
      <c r="Y159"/>
      <c r="Z159"/>
      <c r="AA159"/>
      <c r="AB159"/>
      <c r="AC159"/>
      <c r="AD159"/>
    </row>
    <row r="160" spans="1:30" ht="20.25" thickBot="1" x14ac:dyDescent="0.45">
      <c r="A160" s="66"/>
      <c r="B160" s="4"/>
      <c r="C160" s="4"/>
      <c r="D160" s="4"/>
      <c r="E160" s="66"/>
      <c r="F160" s="66"/>
      <c r="G160" s="66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/>
      <c r="W160"/>
      <c r="X160"/>
      <c r="Y160"/>
      <c r="Z160"/>
      <c r="AA160"/>
      <c r="AB160"/>
      <c r="AC160"/>
      <c r="AD160"/>
    </row>
    <row r="161" spans="1:30" ht="20.25" thickBot="1" x14ac:dyDescent="0.45">
      <c r="A161" s="66"/>
      <c r="B161" s="4"/>
      <c r="C161" s="4"/>
      <c r="D161" s="4"/>
      <c r="E161" s="66"/>
      <c r="F161" s="66"/>
      <c r="G161" s="66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/>
      <c r="W161"/>
      <c r="X161"/>
      <c r="Y161"/>
      <c r="Z161"/>
      <c r="AA161"/>
      <c r="AB161"/>
      <c r="AC161"/>
      <c r="AD161"/>
    </row>
  </sheetData>
  <sortState xmlns:xlrd2="http://schemas.microsoft.com/office/spreadsheetml/2017/richdata2" ref="A2:AD164">
    <sortCondition ref="G2:G164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F61"/>
  <sheetViews>
    <sheetView workbookViewId="0">
      <selection activeCell="F61" sqref="F2:F61"/>
    </sheetView>
  </sheetViews>
  <sheetFormatPr defaultColWidth="9" defaultRowHeight="19.5" x14ac:dyDescent="0.4"/>
  <cols>
    <col min="1" max="1" width="11.5" style="42" bestFit="1" customWidth="1"/>
    <col min="2" max="2" width="21" style="42" customWidth="1"/>
    <col min="3" max="3" width="13.125" style="42" customWidth="1"/>
    <col min="4" max="4" width="30.375" style="8" customWidth="1"/>
    <col min="5" max="5" width="32.625" style="8" customWidth="1"/>
    <col min="6" max="6" width="51.375" style="8" customWidth="1"/>
    <col min="7" max="16384" width="9" style="8"/>
  </cols>
  <sheetData>
    <row r="1" spans="1:6" ht="25.5" x14ac:dyDescent="0.4">
      <c r="A1" s="37" t="s">
        <v>55</v>
      </c>
      <c r="B1" s="37" t="s">
        <v>12</v>
      </c>
      <c r="C1" s="37" t="s">
        <v>13</v>
      </c>
      <c r="D1" s="37" t="s">
        <v>21</v>
      </c>
      <c r="E1" s="37" t="s">
        <v>22</v>
      </c>
    </row>
    <row r="2" spans="1:6" x14ac:dyDescent="0.4">
      <c r="A2" s="43">
        <v>5209937</v>
      </c>
      <c r="B2" s="43" t="str">
        <f>_xlfn.XLOOKUP(A2,'Resumo '!$D$5:$D$56,'Resumo '!$E$5:$E$56)</f>
        <v>Inaciolândia</v>
      </c>
      <c r="C2" s="43" t="s">
        <v>3</v>
      </c>
      <c r="D2" s="117" t="s">
        <v>434</v>
      </c>
      <c r="E2" s="117" t="s">
        <v>435</v>
      </c>
      <c r="F2" s="8" t="s">
        <v>736</v>
      </c>
    </row>
    <row r="3" spans="1:6" ht="25.5" x14ac:dyDescent="0.4">
      <c r="A3" s="43">
        <v>5210802</v>
      </c>
      <c r="B3" s="43" t="str">
        <f>_xlfn.XLOOKUP(A3,'Resumo '!$D$5:$D$56,'Resumo '!$E$5:$E$56)</f>
        <v>Itajá</v>
      </c>
      <c r="C3" s="43" t="s">
        <v>3</v>
      </c>
      <c r="D3" s="117" t="s">
        <v>363</v>
      </c>
      <c r="E3" s="117" t="s">
        <v>364</v>
      </c>
      <c r="F3" s="117" t="s">
        <v>364</v>
      </c>
    </row>
    <row r="4" spans="1:6" x14ac:dyDescent="0.4">
      <c r="A4" s="43">
        <v>5211305</v>
      </c>
      <c r="B4" s="43" t="str">
        <f>_xlfn.XLOOKUP(A4,'Resumo '!$D$5:$D$56,'Resumo '!$E$5:$E$56)</f>
        <v>Itarumã</v>
      </c>
      <c r="C4" s="43" t="s">
        <v>3</v>
      </c>
      <c r="D4" s="117" t="s">
        <v>395</v>
      </c>
      <c r="E4" s="117" t="s">
        <v>396</v>
      </c>
      <c r="F4" s="117" t="s">
        <v>396</v>
      </c>
    </row>
    <row r="5" spans="1:6" ht="39" x14ac:dyDescent="0.4">
      <c r="A5" s="43">
        <v>5205471</v>
      </c>
      <c r="B5" s="43" t="str">
        <f>_xlfn.XLOOKUP(A5,'Resumo '!$D$5:$D$56,'Resumo '!$E$5:$E$56)</f>
        <v>Chapadão do Céu</v>
      </c>
      <c r="C5" s="43" t="s">
        <v>3</v>
      </c>
      <c r="D5" s="117" t="s">
        <v>471</v>
      </c>
      <c r="E5" s="117" t="s">
        <v>472</v>
      </c>
      <c r="F5" s="8" t="s">
        <v>737</v>
      </c>
    </row>
    <row r="6" spans="1:6" x14ac:dyDescent="0.4">
      <c r="A6" s="43">
        <v>5211909</v>
      </c>
      <c r="B6" s="43" t="str">
        <f>_xlfn.XLOOKUP(A6,'Resumo '!$D$5:$D$56,'Resumo '!$E$5:$E$56)</f>
        <v>Jataí</v>
      </c>
      <c r="C6" s="43" t="s">
        <v>3</v>
      </c>
      <c r="D6" s="117" t="s">
        <v>91</v>
      </c>
      <c r="E6" s="117" t="s">
        <v>92</v>
      </c>
      <c r="F6" s="117" t="s">
        <v>92</v>
      </c>
    </row>
    <row r="7" spans="1:6" ht="38.25" x14ac:dyDescent="0.4">
      <c r="A7" s="43">
        <v>5220207</v>
      </c>
      <c r="B7" s="43" t="str">
        <f>_xlfn.XLOOKUP(A7,'Resumo '!$D$5:$D$56,'Resumo '!$E$5:$E$56)</f>
        <v>São Miguel do Araguaia</v>
      </c>
      <c r="C7" s="43" t="s">
        <v>3</v>
      </c>
      <c r="D7" s="117" t="s">
        <v>477</v>
      </c>
      <c r="E7" s="117" t="s">
        <v>478</v>
      </c>
      <c r="F7" s="8" t="s">
        <v>738</v>
      </c>
    </row>
    <row r="8" spans="1:6" x14ac:dyDescent="0.4">
      <c r="A8" s="43">
        <v>5204102</v>
      </c>
      <c r="B8" s="43" t="str">
        <f>_xlfn.XLOOKUP(A8,'Resumo '!$D$5:$D$56,'Resumo '!$E$5:$E$56)</f>
        <v>Cachoeira Alta</v>
      </c>
      <c r="C8" s="43" t="s">
        <v>3</v>
      </c>
      <c r="D8" s="117" t="s">
        <v>370</v>
      </c>
      <c r="E8" s="117" t="s">
        <v>371</v>
      </c>
      <c r="F8" s="117" t="s">
        <v>371</v>
      </c>
    </row>
    <row r="9" spans="1:6" x14ac:dyDescent="0.4">
      <c r="A9" s="43">
        <v>5220504</v>
      </c>
      <c r="B9" s="43" t="str">
        <f>_xlfn.XLOOKUP(A9,'Resumo '!$D$5:$D$56,'Resumo '!$E$5:$E$56)</f>
        <v>Serranópolis</v>
      </c>
      <c r="C9" s="43" t="s">
        <v>3</v>
      </c>
      <c r="D9" s="117" t="s">
        <v>113</v>
      </c>
      <c r="E9" s="117" t="s">
        <v>114</v>
      </c>
      <c r="F9" s="8" t="s">
        <v>739</v>
      </c>
    </row>
    <row r="10" spans="1:6" x14ac:dyDescent="0.4">
      <c r="A10" s="43">
        <v>5215652</v>
      </c>
      <c r="B10" s="43" t="str">
        <f>_xlfn.XLOOKUP(A10,'Resumo '!$D$5:$D$56,'Resumo '!$E$5:$E$56)</f>
        <v>Palestina de Goiás</v>
      </c>
      <c r="C10" s="43" t="s">
        <v>3</v>
      </c>
      <c r="D10" s="117" t="s">
        <v>84</v>
      </c>
      <c r="E10" s="117" t="s">
        <v>85</v>
      </c>
      <c r="F10" s="8" t="s">
        <v>740</v>
      </c>
    </row>
    <row r="11" spans="1:6" x14ac:dyDescent="0.4">
      <c r="A11" s="43">
        <v>5220504</v>
      </c>
      <c r="B11" s="43" t="str">
        <f>_xlfn.XLOOKUP(A11,'Resumo '!$D$5:$D$56,'Resumo '!$E$5:$E$56)</f>
        <v>Serranópolis</v>
      </c>
      <c r="C11" s="43" t="s">
        <v>3</v>
      </c>
      <c r="D11" s="117" t="s">
        <v>70</v>
      </c>
      <c r="E11" s="117" t="s">
        <v>71</v>
      </c>
      <c r="F11" s="8" t="s">
        <v>741</v>
      </c>
    </row>
    <row r="12" spans="1:6" x14ac:dyDescent="0.4">
      <c r="A12" s="43">
        <v>5205059</v>
      </c>
      <c r="B12" s="43" t="str">
        <f>_xlfn.XLOOKUP(A12,'Resumo '!$D$5:$D$56,'Resumo '!$E$5:$E$56)</f>
        <v>Castelândia</v>
      </c>
      <c r="C12" s="43" t="s">
        <v>3</v>
      </c>
      <c r="D12" s="117" t="s">
        <v>347</v>
      </c>
      <c r="E12" s="117" t="s">
        <v>348</v>
      </c>
      <c r="F12" s="8" t="s">
        <v>741</v>
      </c>
    </row>
    <row r="13" spans="1:6" x14ac:dyDescent="0.4">
      <c r="A13" s="43">
        <v>5213756</v>
      </c>
      <c r="B13" s="43" t="str">
        <f>_xlfn.XLOOKUP(A13,'Resumo '!$D$5:$D$56,'Resumo '!$E$5:$E$56)</f>
        <v>Montividiu</v>
      </c>
      <c r="C13" s="43" t="s">
        <v>4</v>
      </c>
      <c r="D13" s="117" t="s">
        <v>292</v>
      </c>
      <c r="E13" s="117" t="s">
        <v>293</v>
      </c>
      <c r="F13" s="8" t="s">
        <v>742</v>
      </c>
    </row>
    <row r="14" spans="1:6" ht="25.5" x14ac:dyDescent="0.4">
      <c r="A14" s="43">
        <v>5218805</v>
      </c>
      <c r="B14" s="43" t="str">
        <f>_xlfn.XLOOKUP(A14,'Resumo '!$D$5:$D$56,'Resumo '!$E$5:$E$56)</f>
        <v>Rio Verde</v>
      </c>
      <c r="C14" s="43" t="s">
        <v>4</v>
      </c>
      <c r="D14" s="117" t="s">
        <v>264</v>
      </c>
      <c r="E14" s="117" t="s">
        <v>265</v>
      </c>
      <c r="F14" s="8" t="s">
        <v>743</v>
      </c>
    </row>
    <row r="15" spans="1:6" x14ac:dyDescent="0.4">
      <c r="A15" s="43">
        <v>5205059</v>
      </c>
      <c r="B15" s="43" t="str">
        <f>_xlfn.XLOOKUP(A15,'Resumo '!$D$5:$D$56,'Resumo '!$E$5:$E$56)</f>
        <v>Castelândia</v>
      </c>
      <c r="C15" s="43" t="s">
        <v>4</v>
      </c>
      <c r="D15" s="117" t="s">
        <v>403</v>
      </c>
      <c r="E15" s="117" t="s">
        <v>404</v>
      </c>
      <c r="F15" s="117" t="s">
        <v>404</v>
      </c>
    </row>
    <row r="16" spans="1:6" ht="25.5" x14ac:dyDescent="0.4">
      <c r="A16" s="43">
        <v>5220504</v>
      </c>
      <c r="B16" s="43" t="str">
        <f>_xlfn.XLOOKUP(A16,'Resumo '!$D$5:$D$56,'Resumo '!$E$5:$E$56)</f>
        <v>Serranópolis</v>
      </c>
      <c r="C16" s="43" t="s">
        <v>4</v>
      </c>
      <c r="D16" s="117" t="s">
        <v>135</v>
      </c>
      <c r="E16" s="117" t="s">
        <v>136</v>
      </c>
      <c r="F16" s="8" t="s">
        <v>213</v>
      </c>
    </row>
    <row r="17" spans="1:6" ht="25.5" x14ac:dyDescent="0.4">
      <c r="A17" s="43">
        <v>5205471</v>
      </c>
      <c r="B17" s="43" t="str">
        <f>_xlfn.XLOOKUP(A17,'Resumo '!$D$5:$D$56,'Resumo '!$E$5:$E$56)</f>
        <v>Chapadão do Céu</v>
      </c>
      <c r="C17" s="43" t="s">
        <v>4</v>
      </c>
      <c r="D17" s="117" t="s">
        <v>449</v>
      </c>
      <c r="E17" s="117" t="s">
        <v>450</v>
      </c>
      <c r="F17" s="8" t="s">
        <v>744</v>
      </c>
    </row>
    <row r="18" spans="1:6" ht="38.25" x14ac:dyDescent="0.4">
      <c r="A18" s="43">
        <v>5211909</v>
      </c>
      <c r="B18" s="43" t="str">
        <f>_xlfn.XLOOKUP(A18,'Resumo '!$D$5:$D$56,'Resumo '!$E$5:$E$56)</f>
        <v>Jataí</v>
      </c>
      <c r="C18" s="43" t="s">
        <v>4</v>
      </c>
      <c r="D18" s="117" t="s">
        <v>258</v>
      </c>
      <c r="E18" s="117" t="s">
        <v>259</v>
      </c>
      <c r="F18" s="8" t="s">
        <v>745</v>
      </c>
    </row>
    <row r="19" spans="1:6" ht="25.5" x14ac:dyDescent="0.4">
      <c r="A19" s="43">
        <v>5205059</v>
      </c>
      <c r="B19" s="43" t="str">
        <f>_xlfn.XLOOKUP(A19,'Resumo '!$D$5:$D$56,'Resumo '!$E$5:$E$56)</f>
        <v>Castelândia</v>
      </c>
      <c r="C19" s="43" t="s">
        <v>4</v>
      </c>
      <c r="D19" s="117" t="s">
        <v>463</v>
      </c>
      <c r="E19" s="117" t="s">
        <v>464</v>
      </c>
      <c r="F19" s="8" t="s">
        <v>746</v>
      </c>
    </row>
    <row r="20" spans="1:6" x14ac:dyDescent="0.4">
      <c r="A20" s="43">
        <v>5204409</v>
      </c>
      <c r="B20" s="43" t="str">
        <f>_xlfn.XLOOKUP(A20,'Resumo '!$D$5:$D$56,'Resumo '!$E$5:$E$56)</f>
        <v>Caiapônia</v>
      </c>
      <c r="C20" s="43" t="s">
        <v>4</v>
      </c>
      <c r="D20" s="117" t="s">
        <v>429</v>
      </c>
      <c r="E20" s="117" t="s">
        <v>417</v>
      </c>
      <c r="F20" s="8" t="s">
        <v>745</v>
      </c>
    </row>
    <row r="21" spans="1:6" x14ac:dyDescent="0.4">
      <c r="A21" s="43">
        <v>5213103</v>
      </c>
      <c r="B21" s="43" t="str">
        <f>_xlfn.XLOOKUP(A21,'Resumo '!$D$5:$D$56,'Resumo '!$E$5:$E$56)</f>
        <v>Mineiros</v>
      </c>
      <c r="C21" s="43" t="s">
        <v>4</v>
      </c>
      <c r="D21" s="117" t="s">
        <v>244</v>
      </c>
      <c r="E21" s="117" t="s">
        <v>245</v>
      </c>
      <c r="F21" s="8" t="s">
        <v>747</v>
      </c>
    </row>
    <row r="22" spans="1:6" x14ac:dyDescent="0.4">
      <c r="A22" s="43">
        <v>5201504</v>
      </c>
      <c r="B22" s="43" t="str">
        <f>_xlfn.XLOOKUP(A22,'Resumo '!$D$5:$D$56,'Resumo '!$E$5:$E$56)</f>
        <v>Aporé</v>
      </c>
      <c r="C22" s="43" t="s">
        <v>4</v>
      </c>
      <c r="D22" s="117" t="s">
        <v>232</v>
      </c>
      <c r="E22" s="117" t="s">
        <v>233</v>
      </c>
      <c r="F22" s="8" t="s">
        <v>741</v>
      </c>
    </row>
    <row r="23" spans="1:6" x14ac:dyDescent="0.4">
      <c r="A23" s="43">
        <v>5213103</v>
      </c>
      <c r="B23" s="43" t="str">
        <f>_xlfn.XLOOKUP(A23,'Resumo '!$D$5:$D$56,'Resumo '!$E$5:$E$56)</f>
        <v>Mineiros</v>
      </c>
      <c r="C23" s="43" t="s">
        <v>4</v>
      </c>
      <c r="D23" s="117" t="s">
        <v>239</v>
      </c>
      <c r="E23" s="117" t="s">
        <v>193</v>
      </c>
      <c r="F23" s="8" t="s">
        <v>667</v>
      </c>
    </row>
    <row r="24" spans="1:6" x14ac:dyDescent="0.4">
      <c r="A24" s="43">
        <v>5218805</v>
      </c>
      <c r="B24" s="43" t="str">
        <f>_xlfn.XLOOKUP(A24,'Resumo '!$D$5:$D$56,'Resumo '!$E$5:$E$56)</f>
        <v>Rio Verde</v>
      </c>
      <c r="C24" s="43" t="s">
        <v>4</v>
      </c>
      <c r="D24" s="117" t="s">
        <v>251</v>
      </c>
      <c r="E24" s="117" t="s">
        <v>252</v>
      </c>
      <c r="F24" s="8" t="s">
        <v>748</v>
      </c>
    </row>
    <row r="25" spans="1:6" ht="25.5" x14ac:dyDescent="0.4">
      <c r="A25" s="43">
        <v>5218508</v>
      </c>
      <c r="B25" s="43" t="str">
        <f>_xlfn.XLOOKUP(A25,'Resumo '!$D$5:$D$56,'Resumo '!$E$5:$E$56)</f>
        <v>Quirinópolis</v>
      </c>
      <c r="C25" s="43" t="s">
        <v>4</v>
      </c>
      <c r="D25" s="117" t="s">
        <v>278</v>
      </c>
      <c r="E25" s="117" t="s">
        <v>279</v>
      </c>
      <c r="F25" s="117" t="s">
        <v>279</v>
      </c>
    </row>
    <row r="26" spans="1:6" ht="51" x14ac:dyDescent="0.4">
      <c r="A26" s="43">
        <v>5219407</v>
      </c>
      <c r="B26" s="43" t="str">
        <f>_xlfn.XLOOKUP(A26,'Resumo '!$D$5:$D$56,'Resumo '!$E$5:$E$56)</f>
        <v>Santa Rita do Araguaia</v>
      </c>
      <c r="C26" s="43" t="s">
        <v>4</v>
      </c>
      <c r="D26" s="117" t="s">
        <v>219</v>
      </c>
      <c r="E26" s="117" t="s">
        <v>220</v>
      </c>
      <c r="F26" s="8" t="s">
        <v>745</v>
      </c>
    </row>
    <row r="27" spans="1:6" x14ac:dyDescent="0.4">
      <c r="A27" s="43">
        <v>5201504</v>
      </c>
      <c r="B27" s="43" t="str">
        <f>_xlfn.XLOOKUP(A27,'Resumo '!$D$5:$D$56,'Resumo '!$E$5:$E$56)</f>
        <v>Aporé</v>
      </c>
      <c r="C27" s="43" t="s">
        <v>4</v>
      </c>
      <c r="D27" s="117" t="s">
        <v>271</v>
      </c>
      <c r="E27" s="117" t="s">
        <v>272</v>
      </c>
      <c r="F27" s="8" t="s">
        <v>744</v>
      </c>
    </row>
    <row r="28" spans="1:6" x14ac:dyDescent="0.4">
      <c r="A28" s="43">
        <v>5107198</v>
      </c>
      <c r="B28" s="43" t="str">
        <f>_xlfn.XLOOKUP(A28,'Resumo '!$D$5:$D$56,'Resumo '!$E$5:$E$56)</f>
        <v>Ribeirãozinho</v>
      </c>
      <c r="C28" s="43" t="s">
        <v>4</v>
      </c>
      <c r="D28" s="117" t="s">
        <v>122</v>
      </c>
      <c r="E28" s="117" t="s">
        <v>123</v>
      </c>
      <c r="F28" s="8" t="s">
        <v>745</v>
      </c>
    </row>
    <row r="29" spans="1:6" x14ac:dyDescent="0.4">
      <c r="A29" s="43">
        <v>5221551</v>
      </c>
      <c r="B29" s="43" t="str">
        <f>_xlfn.XLOOKUP(A29,'Resumo '!$D$5:$D$56,'Resumo '!$E$5:$E$56)</f>
        <v>Turvelândia</v>
      </c>
      <c r="C29" s="43" t="s">
        <v>4</v>
      </c>
      <c r="D29" s="117" t="s">
        <v>171</v>
      </c>
      <c r="E29" s="117" t="s">
        <v>172</v>
      </c>
      <c r="F29" s="117" t="s">
        <v>750</v>
      </c>
    </row>
    <row r="30" spans="1:6" ht="25.5" x14ac:dyDescent="0.4">
      <c r="A30" s="43">
        <v>5220504</v>
      </c>
      <c r="B30" s="43" t="str">
        <f>_xlfn.XLOOKUP(A30,'Resumo '!$D$5:$D$56,'Resumo '!$E$5:$E$56)</f>
        <v>Serranópolis</v>
      </c>
      <c r="C30" s="43" t="s">
        <v>4</v>
      </c>
      <c r="D30" s="117" t="s">
        <v>212</v>
      </c>
      <c r="E30" s="117" t="s">
        <v>213</v>
      </c>
      <c r="F30" s="117" t="s">
        <v>213</v>
      </c>
    </row>
    <row r="31" spans="1:6" ht="25.5" x14ac:dyDescent="0.4">
      <c r="A31" s="43">
        <v>5204102</v>
      </c>
      <c r="B31" s="43" t="str">
        <f>_xlfn.XLOOKUP(A31,'Resumo '!$D$5:$D$56,'Resumo '!$E$5:$E$56)</f>
        <v>Cachoeira Alta</v>
      </c>
      <c r="C31" s="43" t="s">
        <v>4</v>
      </c>
      <c r="D31" s="117" t="s">
        <v>409</v>
      </c>
      <c r="E31" s="117" t="s">
        <v>410</v>
      </c>
      <c r="F31" s="8" t="s">
        <v>741</v>
      </c>
    </row>
    <row r="32" spans="1:6" ht="25.5" x14ac:dyDescent="0.4">
      <c r="A32" s="43">
        <v>5003256</v>
      </c>
      <c r="B32" s="43" t="str">
        <f>_xlfn.XLOOKUP(A32,'Resumo '!$D$5:$D$56,'Resumo '!$E$5:$E$56)</f>
        <v>Costa Rica</v>
      </c>
      <c r="C32" s="43" t="s">
        <v>4</v>
      </c>
      <c r="D32" s="117" t="s">
        <v>331</v>
      </c>
      <c r="E32" s="117" t="s">
        <v>332</v>
      </c>
      <c r="F32" s="8" t="s">
        <v>751</v>
      </c>
    </row>
    <row r="33" spans="1:6" x14ac:dyDescent="0.4">
      <c r="A33" s="43">
        <v>5213004</v>
      </c>
      <c r="B33" s="43" t="str">
        <f>_xlfn.XLOOKUP(A33,'Resumo '!$D$5:$D$56,'Resumo '!$E$5:$E$56)</f>
        <v>Maurilândia</v>
      </c>
      <c r="C33" s="43" t="s">
        <v>4</v>
      </c>
      <c r="D33" s="117" t="s">
        <v>163</v>
      </c>
      <c r="E33" s="117" t="s">
        <v>164</v>
      </c>
      <c r="F33" s="8" t="s">
        <v>741</v>
      </c>
    </row>
    <row r="34" spans="1:6" x14ac:dyDescent="0.4">
      <c r="A34" s="43">
        <v>5219308</v>
      </c>
      <c r="B34" s="43" t="str">
        <f>_xlfn.XLOOKUP(A34,'Resumo '!$D$5:$D$56,'Resumo '!$E$5:$E$56)</f>
        <v>Santa Helena de Goiás</v>
      </c>
      <c r="C34" s="43" t="s">
        <v>4</v>
      </c>
      <c r="D34" s="117" t="s">
        <v>198</v>
      </c>
      <c r="E34" s="117" t="s">
        <v>199</v>
      </c>
      <c r="F34" s="117" t="s">
        <v>404</v>
      </c>
    </row>
    <row r="35" spans="1:6" x14ac:dyDescent="0.4">
      <c r="A35" s="43">
        <v>5006309</v>
      </c>
      <c r="B35" s="43" t="str">
        <f>_xlfn.XLOOKUP(A35,'Resumo '!$D$5:$D$56,'Resumo '!$E$5:$E$56)</f>
        <v>Paranaíba</v>
      </c>
      <c r="C35" s="43" t="s">
        <v>4</v>
      </c>
      <c r="D35" s="117" t="s">
        <v>147</v>
      </c>
      <c r="E35" s="117" t="s">
        <v>148</v>
      </c>
      <c r="F35" s="117" t="s">
        <v>404</v>
      </c>
    </row>
    <row r="36" spans="1:6" x14ac:dyDescent="0.4">
      <c r="A36" s="43">
        <v>5006309</v>
      </c>
      <c r="B36" s="43" t="str">
        <f>_xlfn.XLOOKUP(A36,'Resumo '!$D$5:$D$56,'Resumo '!$E$5:$E$56)</f>
        <v>Paranaíba</v>
      </c>
      <c r="C36" s="43" t="s">
        <v>4</v>
      </c>
      <c r="D36" s="117" t="s">
        <v>192</v>
      </c>
      <c r="E36" s="117" t="s">
        <v>193</v>
      </c>
      <c r="F36" s="8" t="s">
        <v>667</v>
      </c>
    </row>
    <row r="37" spans="1:6" x14ac:dyDescent="0.4">
      <c r="A37" s="43">
        <v>5213756</v>
      </c>
      <c r="B37" s="43" t="str">
        <f>_xlfn.XLOOKUP(A37,'Resumo '!$D$5:$D$56,'Resumo '!$E$5:$E$56)</f>
        <v>Montividiu</v>
      </c>
      <c r="C37" s="43" t="s">
        <v>4</v>
      </c>
      <c r="D37" s="117" t="s">
        <v>286</v>
      </c>
      <c r="E37" s="117" t="s">
        <v>287</v>
      </c>
      <c r="F37" s="8" t="s">
        <v>752</v>
      </c>
    </row>
    <row r="38" spans="1:6" ht="25.5" x14ac:dyDescent="0.4">
      <c r="A38" s="43">
        <v>5100607</v>
      </c>
      <c r="B38" s="43" t="str">
        <f>_xlfn.XLOOKUP(A38,'Resumo '!$D$5:$D$56,'Resumo '!$E$5:$E$56)</f>
        <v>Alto Taquari</v>
      </c>
      <c r="C38" s="43" t="s">
        <v>4</v>
      </c>
      <c r="D38" s="117" t="s">
        <v>354</v>
      </c>
      <c r="E38" s="117" t="s">
        <v>355</v>
      </c>
      <c r="F38" s="8" t="s">
        <v>753</v>
      </c>
    </row>
    <row r="39" spans="1:6" x14ac:dyDescent="0.4">
      <c r="A39" s="43">
        <v>5211909</v>
      </c>
      <c r="B39" s="43" t="str">
        <f>_xlfn.XLOOKUP(A39,'Resumo '!$D$5:$D$56,'Resumo '!$E$5:$E$56)</f>
        <v>Jataí</v>
      </c>
      <c r="C39" s="43" t="s">
        <v>4</v>
      </c>
      <c r="D39" s="117" t="s">
        <v>299</v>
      </c>
      <c r="E39" s="117" t="s">
        <v>300</v>
      </c>
      <c r="F39" s="8" t="s">
        <v>754</v>
      </c>
    </row>
    <row r="40" spans="1:6" x14ac:dyDescent="0.4">
      <c r="A40" s="43">
        <v>5215652</v>
      </c>
      <c r="B40" s="43" t="str">
        <f>_xlfn.XLOOKUP(A40,'Resumo '!$D$5:$D$56,'Resumo '!$E$5:$E$56)</f>
        <v>Palestina de Goiás</v>
      </c>
      <c r="C40" s="43" t="s">
        <v>4</v>
      </c>
      <c r="D40" s="117" t="s">
        <v>99</v>
      </c>
      <c r="E40" s="117" t="s">
        <v>100</v>
      </c>
      <c r="F40" s="8" t="s">
        <v>749</v>
      </c>
    </row>
    <row r="41" spans="1:6" ht="25.5" x14ac:dyDescent="0.4">
      <c r="A41" s="43">
        <v>5002902</v>
      </c>
      <c r="B41" s="43" t="str">
        <f>_xlfn.XLOOKUP(A41,'Resumo '!$D$5:$D$56,'Resumo '!$E$5:$E$56)</f>
        <v>Cassilândia</v>
      </c>
      <c r="C41" s="43" t="s">
        <v>4</v>
      </c>
      <c r="D41" s="117" t="s">
        <v>455</v>
      </c>
      <c r="E41" s="117" t="s">
        <v>456</v>
      </c>
      <c r="F41" s="8" t="s">
        <v>741</v>
      </c>
    </row>
    <row r="42" spans="1:6" ht="38.25" x14ac:dyDescent="0.4">
      <c r="A42" s="43">
        <v>5204409</v>
      </c>
      <c r="B42" s="43" t="str">
        <f>_xlfn.XLOOKUP(A42,'Resumo '!$D$5:$D$56,'Resumo '!$E$5:$E$56)</f>
        <v>Caiapônia</v>
      </c>
      <c r="C42" s="43" t="s">
        <v>4</v>
      </c>
      <c r="D42" s="117" t="s">
        <v>384</v>
      </c>
      <c r="E42" s="117" t="s">
        <v>385</v>
      </c>
      <c r="F42" s="8" t="s">
        <v>741</v>
      </c>
    </row>
    <row r="43" spans="1:6" ht="38.25" x14ac:dyDescent="0.4">
      <c r="A43" s="43">
        <v>5216452</v>
      </c>
      <c r="B43" s="43" t="str">
        <f>_xlfn.XLOOKUP(A43,'Resumo '!$D$5:$D$56,'Resumo '!$E$5:$E$56)</f>
        <v>Perolândia</v>
      </c>
      <c r="C43" s="43" t="s">
        <v>4</v>
      </c>
      <c r="D43" s="117" t="s">
        <v>178</v>
      </c>
      <c r="E43" s="117" t="s">
        <v>179</v>
      </c>
      <c r="F43" s="8" t="s">
        <v>749</v>
      </c>
    </row>
    <row r="44" spans="1:6" ht="25.5" x14ac:dyDescent="0.4">
      <c r="A44" s="43">
        <v>5205059</v>
      </c>
      <c r="B44" s="43" t="str">
        <f>_xlfn.XLOOKUP(A44,'Resumo '!$D$5:$D$56,'Resumo '!$E$5:$E$56)</f>
        <v>Castelândia</v>
      </c>
      <c r="C44" s="43" t="s">
        <v>4</v>
      </c>
      <c r="D44" s="117" t="s">
        <v>442</v>
      </c>
      <c r="E44" s="117" t="s">
        <v>443</v>
      </c>
      <c r="F44" s="8" t="s">
        <v>755</v>
      </c>
    </row>
    <row r="45" spans="1:6" x14ac:dyDescent="0.4">
      <c r="A45" s="43">
        <v>5201454</v>
      </c>
      <c r="B45" s="43" t="str">
        <f>_xlfn.XLOOKUP(A45,'Resumo '!$D$5:$D$56,'Resumo '!$E$5:$E$56)</f>
        <v>Aparecida do Rio Doce</v>
      </c>
      <c r="C45" s="43" t="s">
        <v>4</v>
      </c>
      <c r="D45" s="117" t="s">
        <v>377</v>
      </c>
      <c r="E45" s="117" t="s">
        <v>378</v>
      </c>
      <c r="F45" s="8" t="s">
        <v>756</v>
      </c>
    </row>
    <row r="46" spans="1:6" ht="25.5" x14ac:dyDescent="0.4">
      <c r="A46" s="43">
        <v>5215652</v>
      </c>
      <c r="B46" s="43" t="str">
        <f>_xlfn.XLOOKUP(A46,'Resumo '!$D$5:$D$56,'Resumo '!$E$5:$E$56)</f>
        <v>Palestina de Goiás</v>
      </c>
      <c r="C46" s="43" t="s">
        <v>4</v>
      </c>
      <c r="D46" s="117" t="s">
        <v>225</v>
      </c>
      <c r="E46" s="117" t="s">
        <v>92</v>
      </c>
      <c r="F46" s="8" t="s">
        <v>741</v>
      </c>
    </row>
    <row r="47" spans="1:6" x14ac:dyDescent="0.4">
      <c r="A47" s="43">
        <v>5006309</v>
      </c>
      <c r="B47" s="43" t="str">
        <f>_xlfn.XLOOKUP(A47,'Resumo '!$D$5:$D$56,'Resumo '!$E$5:$E$56)</f>
        <v>Paranaíba</v>
      </c>
      <c r="C47" s="43" t="s">
        <v>4</v>
      </c>
      <c r="D47" s="117" t="s">
        <v>77</v>
      </c>
      <c r="E47" s="117" t="s">
        <v>78</v>
      </c>
      <c r="F47" s="117" t="s">
        <v>78</v>
      </c>
    </row>
    <row r="48" spans="1:6" x14ac:dyDescent="0.4">
      <c r="A48" s="43">
        <v>5209937</v>
      </c>
      <c r="B48" s="43" t="str">
        <f>_xlfn.XLOOKUP(A48,'Resumo '!$D$5:$D$56,'Resumo '!$E$5:$E$56)</f>
        <v>Inaciolândia</v>
      </c>
      <c r="C48" s="43" t="s">
        <v>4</v>
      </c>
      <c r="D48" s="117" t="s">
        <v>416</v>
      </c>
      <c r="E48" s="117" t="s">
        <v>417</v>
      </c>
      <c r="F48" s="117" t="s">
        <v>417</v>
      </c>
    </row>
    <row r="49" spans="1:6" x14ac:dyDescent="0.4">
      <c r="A49" s="43">
        <v>5219308</v>
      </c>
      <c r="B49" s="43" t="str">
        <f>_xlfn.XLOOKUP(A49,'Resumo '!$D$5:$D$56,'Resumo '!$E$5:$E$56)</f>
        <v>Santa Helena de Goiás</v>
      </c>
      <c r="C49" s="43" t="s">
        <v>4</v>
      </c>
      <c r="D49" s="117" t="s">
        <v>155</v>
      </c>
      <c r="E49" s="117" t="s">
        <v>92</v>
      </c>
      <c r="F49" s="117" t="s">
        <v>92</v>
      </c>
    </row>
    <row r="50" spans="1:6" x14ac:dyDescent="0.4">
      <c r="A50" s="43">
        <v>5200902</v>
      </c>
      <c r="B50" s="43" t="str">
        <f>_xlfn.XLOOKUP(A50,'Resumo '!$D$5:$D$56,'Resumo '!$E$5:$E$56)</f>
        <v>Amorinópolis</v>
      </c>
      <c r="C50" s="43" t="s">
        <v>4</v>
      </c>
      <c r="D50" s="117" t="s">
        <v>388</v>
      </c>
      <c r="E50" s="117" t="s">
        <v>389</v>
      </c>
      <c r="F50" s="117" t="s">
        <v>389</v>
      </c>
    </row>
    <row r="51" spans="1:6" x14ac:dyDescent="0.4">
      <c r="A51" s="43">
        <v>5219407</v>
      </c>
      <c r="B51" s="43" t="str">
        <f>_xlfn.XLOOKUP(A51,'Resumo '!$D$5:$D$56,'Resumo '!$E$5:$E$56)</f>
        <v>Santa Rita do Araguaia</v>
      </c>
      <c r="C51" s="43" t="s">
        <v>4</v>
      </c>
      <c r="D51" s="117" t="s">
        <v>305</v>
      </c>
      <c r="E51" s="117" t="s">
        <v>306</v>
      </c>
      <c r="F51" s="117" t="s">
        <v>306</v>
      </c>
    </row>
    <row r="52" spans="1:6" ht="38.25" x14ac:dyDescent="0.4">
      <c r="A52" s="43">
        <v>5216452</v>
      </c>
      <c r="B52" s="43" t="str">
        <f>_xlfn.XLOOKUP(A52,'Resumo '!$D$5:$D$56,'Resumo '!$E$5:$E$56)</f>
        <v>Perolândia</v>
      </c>
      <c r="C52" s="43" t="s">
        <v>4</v>
      </c>
      <c r="D52" s="117" t="s">
        <v>185</v>
      </c>
      <c r="E52" s="117" t="s">
        <v>186</v>
      </c>
      <c r="F52" s="117" t="s">
        <v>186</v>
      </c>
    </row>
    <row r="53" spans="1:6" x14ac:dyDescent="0.4">
      <c r="A53" s="43">
        <v>5218805</v>
      </c>
      <c r="B53" s="43" t="str">
        <f>_xlfn.XLOOKUP(A53,'Resumo '!$D$5:$D$56,'Resumo '!$E$5:$E$56)</f>
        <v>Rio Verde</v>
      </c>
      <c r="C53" s="43" t="s">
        <v>4</v>
      </c>
      <c r="D53" s="117" t="s">
        <v>142</v>
      </c>
      <c r="E53" s="117" t="s">
        <v>92</v>
      </c>
      <c r="F53" s="117" t="s">
        <v>92</v>
      </c>
    </row>
    <row r="54" spans="1:6" x14ac:dyDescent="0.4">
      <c r="A54" s="43">
        <v>5107198</v>
      </c>
      <c r="B54" s="43" t="str">
        <f>_xlfn.XLOOKUP(A54,'Resumo '!$D$5:$D$56,'Resumo '!$E$5:$E$56)</f>
        <v>Ribeirãozinho</v>
      </c>
      <c r="C54" s="43" t="s">
        <v>4</v>
      </c>
      <c r="D54" s="117" t="s">
        <v>129</v>
      </c>
      <c r="E54" s="117" t="s">
        <v>130</v>
      </c>
      <c r="F54" s="117" t="s">
        <v>130</v>
      </c>
    </row>
    <row r="55" spans="1:6" x14ac:dyDescent="0.4">
      <c r="A55" s="43">
        <v>5209150</v>
      </c>
      <c r="B55" s="43" t="str">
        <f>_xlfn.XLOOKUP(A55,'Resumo '!$D$5:$D$56,'Resumo '!$E$5:$E$56)</f>
        <v>Gouvelândia</v>
      </c>
      <c r="C55" s="43" t="s">
        <v>4</v>
      </c>
      <c r="D55" s="117" t="s">
        <v>486</v>
      </c>
      <c r="E55" s="117" t="s">
        <v>487</v>
      </c>
      <c r="F55" s="117" t="s">
        <v>487</v>
      </c>
    </row>
    <row r="56" spans="1:6" ht="38.25" x14ac:dyDescent="0.4">
      <c r="A56" s="43">
        <v>5002902</v>
      </c>
      <c r="B56" s="43" t="str">
        <f>_xlfn.XLOOKUP(A56,'Resumo '!$D$5:$D$56,'Resumo '!$E$5:$E$56)</f>
        <v>Cassilândia</v>
      </c>
      <c r="C56" s="43" t="s">
        <v>4</v>
      </c>
      <c r="D56" s="117" t="s">
        <v>423</v>
      </c>
      <c r="E56" s="117" t="s">
        <v>424</v>
      </c>
      <c r="F56" s="117" t="s">
        <v>424</v>
      </c>
    </row>
    <row r="57" spans="1:6" x14ac:dyDescent="0.4">
      <c r="A57" s="43">
        <v>5200902</v>
      </c>
      <c r="B57" s="43" t="str">
        <f>_xlfn.XLOOKUP(A57,'Resumo '!$D$5:$D$56,'Resumo '!$E$5:$E$56)</f>
        <v>Amorinópolis</v>
      </c>
      <c r="C57" s="43" t="s">
        <v>4</v>
      </c>
      <c r="D57" s="117" t="s">
        <v>318</v>
      </c>
      <c r="E57" s="117" t="s">
        <v>319</v>
      </c>
      <c r="F57" s="117" t="s">
        <v>319</v>
      </c>
    </row>
    <row r="58" spans="1:6" x14ac:dyDescent="0.4">
      <c r="A58" s="43">
        <v>5216452</v>
      </c>
      <c r="B58" s="43" t="str">
        <f>_xlfn.XLOOKUP(A58,'Resumo '!$D$5:$D$56,'Resumo '!$E$5:$E$56)</f>
        <v>Perolândia</v>
      </c>
      <c r="C58" s="43" t="s">
        <v>4</v>
      </c>
      <c r="D58" s="117" t="s">
        <v>106</v>
      </c>
      <c r="E58" s="117" t="s">
        <v>107</v>
      </c>
      <c r="F58" s="117" t="s">
        <v>107</v>
      </c>
    </row>
    <row r="59" spans="1:6" x14ac:dyDescent="0.4">
      <c r="A59" s="43">
        <v>5200902</v>
      </c>
      <c r="B59" s="43" t="str">
        <f>_xlfn.XLOOKUP(A59,'Resumo '!$D$5:$D$56,'Resumo '!$E$5:$E$56)</f>
        <v>Amorinópolis</v>
      </c>
      <c r="C59" s="43" t="s">
        <v>4</v>
      </c>
      <c r="D59" s="117" t="s">
        <v>312</v>
      </c>
      <c r="E59" s="117" t="s">
        <v>313</v>
      </c>
      <c r="F59" s="117" t="s">
        <v>313</v>
      </c>
    </row>
    <row r="60" spans="1:6" x14ac:dyDescent="0.4">
      <c r="A60" s="43">
        <v>5220405</v>
      </c>
      <c r="B60" s="43" t="str">
        <f>_xlfn.XLOOKUP(A60,'Resumo '!$D$5:$D$56,'Resumo '!$E$5:$E$56)</f>
        <v>São Simão</v>
      </c>
      <c r="C60" s="43" t="s">
        <v>4</v>
      </c>
      <c r="D60" s="117" t="s">
        <v>56</v>
      </c>
      <c r="E60" s="117" t="s">
        <v>207</v>
      </c>
      <c r="F60" s="117" t="s">
        <v>207</v>
      </c>
    </row>
    <row r="61" spans="1:6" x14ac:dyDescent="0.4">
      <c r="A61" s="43">
        <v>5003256</v>
      </c>
      <c r="B61" s="43" t="str">
        <f>_xlfn.XLOOKUP(A61,'Resumo '!$D$5:$D$56,'Resumo '!$E$5:$E$56)</f>
        <v>Costa Rica</v>
      </c>
      <c r="C61" s="43" t="s">
        <v>4</v>
      </c>
      <c r="D61" s="117" t="s">
        <v>338</v>
      </c>
      <c r="E61" s="117" t="s">
        <v>339</v>
      </c>
      <c r="F61" s="117" t="s">
        <v>339</v>
      </c>
    </row>
  </sheetData>
  <sortState xmlns:xlrd2="http://schemas.microsoft.com/office/spreadsheetml/2017/richdata2" ref="A2:E22">
    <sortCondition ref="A2:A2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86"/>
  <sheetViews>
    <sheetView zoomScale="70" zoomScaleNormal="70" workbookViewId="0">
      <selection activeCell="B61" sqref="B2:B61"/>
    </sheetView>
  </sheetViews>
  <sheetFormatPr defaultColWidth="9" defaultRowHeight="19.5" x14ac:dyDescent="0.4"/>
  <cols>
    <col min="1" max="1" width="26.5" style="11" bestFit="1" customWidth="1"/>
    <col min="2" max="2" width="20.375" style="11" customWidth="1"/>
    <col min="3" max="3" width="7.875" style="12" bestFit="1" customWidth="1"/>
    <col min="4" max="4" width="8.875" style="12" customWidth="1"/>
    <col min="5" max="8" width="7.25" style="12" bestFit="1" customWidth="1"/>
    <col min="9" max="9" width="10.375" style="12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9" t="s">
        <v>30</v>
      </c>
      <c r="B1" s="9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9" t="s">
        <v>38</v>
      </c>
    </row>
    <row r="2" spans="1:18" x14ac:dyDescent="0.4">
      <c r="A2" s="11" t="str">
        <f>+Dados!V2</f>
        <v>INACIOLÂNDIA</v>
      </c>
      <c r="B2" s="11" t="str">
        <f>+Dados!G2</f>
        <v>CACS-FUNDEB</v>
      </c>
      <c r="C2" s="11">
        <f>+Dados!H2</f>
        <v>5</v>
      </c>
      <c r="D2" s="11">
        <f>+Dados!I2</f>
        <v>5</v>
      </c>
      <c r="E2" s="11">
        <f>+Dados!J2</f>
        <v>4</v>
      </c>
      <c r="F2" s="11">
        <f>+Dados!K2</f>
        <v>5</v>
      </c>
      <c r="G2" s="11">
        <f>+Dados!L2</f>
        <v>5</v>
      </c>
      <c r="H2" s="11">
        <f>+Dados!M2</f>
        <v>5</v>
      </c>
      <c r="I2" s="11">
        <f>+Dados!N2</f>
        <v>4</v>
      </c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A3" s="11" t="str">
        <f>+Dados!V3</f>
        <v>ITAJÁ</v>
      </c>
      <c r="B3" s="11" t="str">
        <f>+Dados!G3</f>
        <v>CACS-FUNDEB</v>
      </c>
      <c r="C3" s="11">
        <f>+Dados!H3</f>
        <v>5</v>
      </c>
      <c r="D3" s="11">
        <f>+Dados!I3</f>
        <v>5</v>
      </c>
      <c r="E3" s="11">
        <f>+Dados!J3</f>
        <v>5</v>
      </c>
      <c r="F3" s="11">
        <f>+Dados!K3</f>
        <v>5</v>
      </c>
      <c r="G3" s="11">
        <f>+Dados!L3</f>
        <v>4</v>
      </c>
      <c r="H3" s="11">
        <f>+Dados!M3</f>
        <v>4</v>
      </c>
      <c r="I3" s="11">
        <f>+Dados!N3</f>
        <v>5</v>
      </c>
      <c r="N3" s="11">
        <v>1</v>
      </c>
      <c r="O3" s="11">
        <v>2</v>
      </c>
      <c r="P3" s="11">
        <v>3</v>
      </c>
      <c r="Q3" s="11">
        <v>4</v>
      </c>
      <c r="R3" s="11">
        <v>5</v>
      </c>
    </row>
    <row r="4" spans="1:18" x14ac:dyDescent="0.4">
      <c r="A4" s="11" t="str">
        <f>+Dados!V4</f>
        <v>ITARUMÃ</v>
      </c>
      <c r="B4" s="11" t="str">
        <f>+Dados!G4</f>
        <v>CACS-FUNDEB</v>
      </c>
      <c r="C4" s="11">
        <f>+Dados!H4</f>
        <v>4</v>
      </c>
      <c r="D4" s="11">
        <f>+Dados!I4</f>
        <v>4</v>
      </c>
      <c r="E4" s="11">
        <f>+Dados!J4</f>
        <v>4</v>
      </c>
      <c r="F4" s="11">
        <f>+Dados!K4</f>
        <v>4</v>
      </c>
      <c r="G4" s="11">
        <f>+Dados!L4</f>
        <v>4</v>
      </c>
      <c r="H4" s="11">
        <f>+Dados!M4</f>
        <v>4</v>
      </c>
      <c r="I4" s="11">
        <f>+Dados!N4</f>
        <v>5</v>
      </c>
    </row>
    <row r="5" spans="1:18" x14ac:dyDescent="0.4">
      <c r="A5" s="11" t="str">
        <f>+Dados!V5</f>
        <v>CHAPADÃO DO CÉU</v>
      </c>
      <c r="B5" s="11" t="str">
        <f>+Dados!G5</f>
        <v>CACS-FUNDEB</v>
      </c>
      <c r="C5" s="11">
        <f>+Dados!H5</f>
        <v>5</v>
      </c>
      <c r="D5" s="11">
        <f>+Dados!I5</f>
        <v>5</v>
      </c>
      <c r="E5" s="11">
        <f>+Dados!J5</f>
        <v>5</v>
      </c>
      <c r="F5" s="11">
        <f>+Dados!K5</f>
        <v>5</v>
      </c>
      <c r="G5" s="11">
        <f>+Dados!L5</f>
        <v>5</v>
      </c>
      <c r="H5" s="11">
        <f>+Dados!M5</f>
        <v>5</v>
      </c>
      <c r="I5" s="11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11" t="str">
        <f>+Dados!V6</f>
        <v>JATAÍ</v>
      </c>
      <c r="B6" s="11" t="str">
        <f>+Dados!G6</f>
        <v>CACS-FUNDEB</v>
      </c>
      <c r="C6" s="11">
        <f>+Dados!H6</f>
        <v>5</v>
      </c>
      <c r="D6" s="11">
        <f>+Dados!I6</f>
        <v>5</v>
      </c>
      <c r="E6" s="11">
        <f>+Dados!J6</f>
        <v>5</v>
      </c>
      <c r="F6" s="11">
        <f>+Dados!K6</f>
        <v>5</v>
      </c>
      <c r="G6" s="11">
        <f>+Dados!L6</f>
        <v>5</v>
      </c>
      <c r="H6" s="11">
        <f>+Dados!M6</f>
        <v>5</v>
      </c>
      <c r="I6" s="11">
        <f>+Dados!N6</f>
        <v>5</v>
      </c>
      <c r="M6" s="1" t="s">
        <v>32</v>
      </c>
      <c r="N6" s="13">
        <f>COUNTIF(C$2:C$71,$N3)/COUNT(C$2:C$71)</f>
        <v>0</v>
      </c>
      <c r="O6" s="13">
        <f>COUNTIF(C$2:C$71,$O3)/COUNT(C$2:C$71)</f>
        <v>0</v>
      </c>
      <c r="P6" s="13">
        <f>COUNTIF(C$2:C$71,$P3)/COUNT(C$2:C$71)</f>
        <v>0</v>
      </c>
      <c r="Q6" s="13">
        <f>COUNTIF(C$2:C$71,$Q3)/COUNT(C$2:C$71)</f>
        <v>0.23333333333333334</v>
      </c>
      <c r="R6" s="13">
        <f>COUNTIF(C$2:C$71,$R3)/COUNT(C$2:C$71)</f>
        <v>0.76666666666666672</v>
      </c>
    </row>
    <row r="7" spans="1:18" x14ac:dyDescent="0.4">
      <c r="A7" s="11" t="str">
        <f>+Dados!V7</f>
        <v>SÃO MIGUEL DO ARAGUAIA</v>
      </c>
      <c r="B7" s="11" t="str">
        <f>+Dados!G7</f>
        <v>CACS-FUNDEB</v>
      </c>
      <c r="C7" s="11">
        <f>+Dados!H7</f>
        <v>5</v>
      </c>
      <c r="D7" s="11">
        <f>+Dados!I7</f>
        <v>4</v>
      </c>
      <c r="E7" s="11">
        <f>+Dados!J7</f>
        <v>5</v>
      </c>
      <c r="F7" s="11">
        <f>+Dados!K7</f>
        <v>5</v>
      </c>
      <c r="G7" s="11">
        <f>+Dados!L7</f>
        <v>5</v>
      </c>
      <c r="H7" s="11">
        <f>+Dados!M7</f>
        <v>5</v>
      </c>
      <c r="I7" s="11">
        <f>+Dados!N7</f>
        <v>5</v>
      </c>
      <c r="M7" s="1" t="s">
        <v>33</v>
      </c>
      <c r="N7" s="13">
        <f>COUNTIF(D$2:D$71,$N3)/COUNT(D$2:D$71)</f>
        <v>0</v>
      </c>
      <c r="O7" s="13">
        <f>COUNTIF(C$2:C$71,$O4)/COUNT(C$2:C$71)</f>
        <v>0</v>
      </c>
      <c r="P7" s="13">
        <f>COUNTIF(D$2:D$71,$P3)/COUNT(D$2:D$71)</f>
        <v>6.6666666666666666E-2</v>
      </c>
      <c r="Q7" s="13">
        <f>COUNTIF(D$2:D$71,$Q3)/COUNT(D$2:D$71)</f>
        <v>0.26666666666666666</v>
      </c>
      <c r="R7" s="13">
        <f>COUNTIF(D$2:D$71,$R3)/COUNT(D$2:D$71)</f>
        <v>0.65</v>
      </c>
    </row>
    <row r="8" spans="1:18" x14ac:dyDescent="0.4">
      <c r="A8" s="11" t="str">
        <f>+Dados!V8</f>
        <v>CACHOEIRA ALTA</v>
      </c>
      <c r="B8" s="11" t="str">
        <f>+Dados!G8</f>
        <v>CACS-FUNDEB</v>
      </c>
      <c r="C8" s="11">
        <f>+Dados!H8</f>
        <v>5</v>
      </c>
      <c r="D8" s="11">
        <f>+Dados!I8</f>
        <v>5</v>
      </c>
      <c r="E8" s="11">
        <f>+Dados!J8</f>
        <v>5</v>
      </c>
      <c r="F8" s="11">
        <f>+Dados!K8</f>
        <v>5</v>
      </c>
      <c r="G8" s="11">
        <f>+Dados!L8</f>
        <v>5</v>
      </c>
      <c r="H8" s="11">
        <f>+Dados!M8</f>
        <v>5</v>
      </c>
      <c r="I8" s="11">
        <f>+Dados!N8</f>
        <v>5</v>
      </c>
      <c r="M8" s="1" t="s">
        <v>34</v>
      </c>
      <c r="N8" s="13">
        <f>COUNTIF(E$2:E$71,$N3)/COUNT(E$2:E$71)</f>
        <v>0</v>
      </c>
      <c r="O8" s="13">
        <f>COUNTIF(C$2:C$71,$O5)/COUNT(C$2:C$71)</f>
        <v>0</v>
      </c>
      <c r="P8" s="13">
        <f>COUNTIF(E$2:E$71,$P3)/COUNT(E$2:E$71)</f>
        <v>6.6666666666666666E-2</v>
      </c>
      <c r="Q8" s="13">
        <f>COUNTIF(E$2:E$71,$Q3)/COUNT(E$2:E$71)</f>
        <v>0.15</v>
      </c>
      <c r="R8" s="13">
        <f>COUNTIF(E$2:E$71,$R3)/COUNT(E$2:E$71)</f>
        <v>0.78333333333333333</v>
      </c>
    </row>
    <row r="9" spans="1:18" x14ac:dyDescent="0.4">
      <c r="A9" s="11" t="str">
        <f>+Dados!V9</f>
        <v>SERRANÓPOLIS</v>
      </c>
      <c r="B9" s="11" t="str">
        <f>+Dados!G9</f>
        <v>CACS-FUNDEB</v>
      </c>
      <c r="C9" s="11">
        <f>+Dados!H9</f>
        <v>5</v>
      </c>
      <c r="D9" s="11">
        <f>+Dados!I9</f>
        <v>5</v>
      </c>
      <c r="E9" s="11">
        <f>+Dados!J9</f>
        <v>5</v>
      </c>
      <c r="F9" s="11">
        <f>+Dados!K9</f>
        <v>5</v>
      </c>
      <c r="G9" s="11">
        <f>+Dados!L9</f>
        <v>5</v>
      </c>
      <c r="H9" s="11">
        <f>+Dados!M9</f>
        <v>5</v>
      </c>
      <c r="I9" s="11">
        <f>+Dados!N9</f>
        <v>5</v>
      </c>
      <c r="M9" s="1" t="s">
        <v>35</v>
      </c>
      <c r="N9" s="13">
        <f>COUNTIF(F$2:F$71,$N3)/COUNT(F$2:F$71)</f>
        <v>0</v>
      </c>
      <c r="O9" s="13">
        <f>COUNTIF(C$2:C$71,$O6)/COUNT(C$2:C$71)</f>
        <v>0</v>
      </c>
      <c r="P9" s="13">
        <f>COUNTIF(F$2:F$71,$P3)/COUNT(F$2:F$71)</f>
        <v>6.6666666666666666E-2</v>
      </c>
      <c r="Q9" s="13">
        <f>COUNTIF(F$2:F$71,$Q3)/COUNT(F$2:F$71)</f>
        <v>0.25</v>
      </c>
      <c r="R9" s="13">
        <f>COUNTIF(F$2:F$71,$R3)/COUNT(F$2:F$71)</f>
        <v>0.66666666666666663</v>
      </c>
    </row>
    <row r="10" spans="1:18" x14ac:dyDescent="0.4">
      <c r="A10" s="11" t="str">
        <f>+Dados!V10</f>
        <v>PALESTINA DE GOIÁS</v>
      </c>
      <c r="B10" s="11" t="str">
        <f>+Dados!G10</f>
        <v>CACS-FUNDEB</v>
      </c>
      <c r="C10" s="11">
        <f>+Dados!H10</f>
        <v>4</v>
      </c>
      <c r="D10" s="11">
        <f>+Dados!I10</f>
        <v>4</v>
      </c>
      <c r="E10" s="11">
        <f>+Dados!J10</f>
        <v>4</v>
      </c>
      <c r="F10" s="11">
        <f>+Dados!K10</f>
        <v>4</v>
      </c>
      <c r="G10" s="11">
        <f>+Dados!L10</f>
        <v>4</v>
      </c>
      <c r="H10" s="11">
        <f>+Dados!M10</f>
        <v>4</v>
      </c>
      <c r="I10" s="11">
        <f>+Dados!N10</f>
        <v>4</v>
      </c>
      <c r="M10" s="1" t="s">
        <v>36</v>
      </c>
      <c r="N10" s="13">
        <f>COUNTIF(G$2:G$71,$N3)/COUNT(G$2:G$71)</f>
        <v>0</v>
      </c>
      <c r="O10" s="13">
        <f>COUNTIF(C$2:C$71,$O7)/COUNT(C$2:C$71)</f>
        <v>0</v>
      </c>
      <c r="P10" s="13">
        <f>COUNTIF(G$2:G$71,$P3)/COUNT(G$2:G$71)</f>
        <v>3.3333333333333333E-2</v>
      </c>
      <c r="Q10" s="13">
        <f>COUNTIF(G$2:G$71,$Q3)/COUNT(G$2:G$71)</f>
        <v>0.3</v>
      </c>
      <c r="R10" s="13">
        <f>COUNTIF(G$2:G$71,$R3)/COUNT(G$2:G$71)</f>
        <v>0.66666666666666663</v>
      </c>
    </row>
    <row r="11" spans="1:18" x14ac:dyDescent="0.4">
      <c r="A11" s="11" t="str">
        <f>+Dados!V11</f>
        <v>SERRANÓPOLIS</v>
      </c>
      <c r="B11" s="11" t="str">
        <f>+Dados!G11</f>
        <v>CACS-FUNDEB</v>
      </c>
      <c r="C11" s="11">
        <f>+Dados!H11</f>
        <v>5</v>
      </c>
      <c r="D11" s="11">
        <f>+Dados!I11</f>
        <v>5</v>
      </c>
      <c r="E11" s="11">
        <f>+Dados!J11</f>
        <v>5</v>
      </c>
      <c r="F11" s="11">
        <f>+Dados!K11</f>
        <v>5</v>
      </c>
      <c r="G11" s="11">
        <f>+Dados!L11</f>
        <v>5</v>
      </c>
      <c r="H11" s="11">
        <f>+Dados!M11</f>
        <v>5</v>
      </c>
      <c r="I11" s="11">
        <f>+Dados!N11</f>
        <v>5</v>
      </c>
      <c r="M11" s="1" t="s">
        <v>37</v>
      </c>
      <c r="N11" s="13">
        <f>COUNTIF(H$2:H$71,$N3)/COUNT(H$2:H$71)</f>
        <v>1.6666666666666666E-2</v>
      </c>
      <c r="O11" s="13">
        <f>COUNTIF(C$2:C$71,$O8)/COUNT(C$2:C$71)</f>
        <v>0</v>
      </c>
      <c r="P11" s="13">
        <f>COUNTIF(H$2:H$71,$P3)/COUNT(H$2:H$71)</f>
        <v>8.3333333333333329E-2</v>
      </c>
      <c r="Q11" s="13">
        <f>COUNTIF(H$2:H$71,$Q3)/COUNT(H$2:H$71)</f>
        <v>0.26666666666666666</v>
      </c>
      <c r="R11" s="13">
        <f>COUNTIF(H$2:H$71,$R3)/COUNT(H$2:H$71)</f>
        <v>0.6166666666666667</v>
      </c>
    </row>
    <row r="12" spans="1:18" x14ac:dyDescent="0.4">
      <c r="A12" s="11" t="str">
        <f>+Dados!V12</f>
        <v>CASTELÂNDIA</v>
      </c>
      <c r="B12" s="11" t="str">
        <f>+Dados!G12</f>
        <v>CACS-FUNDEB</v>
      </c>
      <c r="C12" s="11">
        <f>+Dados!H12</f>
        <v>5</v>
      </c>
      <c r="D12" s="11">
        <f>+Dados!I12</f>
        <v>3</v>
      </c>
      <c r="E12" s="11">
        <f>+Dados!J12</f>
        <v>5</v>
      </c>
      <c r="F12" s="11">
        <f>+Dados!K12</f>
        <v>5</v>
      </c>
      <c r="G12" s="11">
        <f>+Dados!L12</f>
        <v>5</v>
      </c>
      <c r="H12" s="11">
        <f>+Dados!M12</f>
        <v>5</v>
      </c>
      <c r="I12" s="11">
        <f>+Dados!N12</f>
        <v>5</v>
      </c>
      <c r="M12" s="1" t="s">
        <v>38</v>
      </c>
      <c r="N12" s="13">
        <f>COUNTIF(I$2:I$71,$N3)/COUNT(I$2:I$71)</f>
        <v>0</v>
      </c>
      <c r="O12" s="13">
        <f>COUNTIF(C$2:C$71,$O9)/COUNT(C$2:C$71)</f>
        <v>0</v>
      </c>
      <c r="P12" s="13">
        <f>COUNTIF(I$2:I$71,$P3)/COUNT(I$2:I$71)</f>
        <v>3.3333333333333333E-2</v>
      </c>
      <c r="Q12" s="13">
        <f>COUNTIF(I$2:I$71,$Q3)/COUNT(I$2:I$71)</f>
        <v>0.18333333333333332</v>
      </c>
      <c r="R12" s="13">
        <f>COUNTIF(I$2:I$71,$R3)/COUNT(I$2:I$71)</f>
        <v>0.78333333333333333</v>
      </c>
    </row>
    <row r="13" spans="1:18" x14ac:dyDescent="0.4">
      <c r="A13" s="11" t="str">
        <f>+Dados!V13</f>
        <v>MONTIVIDIU</v>
      </c>
      <c r="B13" s="11" t="str">
        <f>+Dados!G13</f>
        <v>Gestão municipal</v>
      </c>
      <c r="C13" s="11">
        <f>+Dados!H13</f>
        <v>5</v>
      </c>
      <c r="D13" s="11">
        <f>+Dados!I13</f>
        <v>5</v>
      </c>
      <c r="E13" s="11">
        <f>+Dados!J13</f>
        <v>5</v>
      </c>
      <c r="F13" s="11">
        <f>+Dados!K13</f>
        <v>5</v>
      </c>
      <c r="G13" s="11">
        <f>+Dados!L13</f>
        <v>5</v>
      </c>
      <c r="H13" s="11">
        <f>+Dados!M13</f>
        <v>5</v>
      </c>
      <c r="I13" s="11">
        <f>+Dados!N13</f>
        <v>5</v>
      </c>
    </row>
    <row r="14" spans="1:18" x14ac:dyDescent="0.4">
      <c r="A14" s="11" t="str">
        <f>+Dados!V14</f>
        <v>RIO VERDE</v>
      </c>
      <c r="B14" s="11" t="str">
        <f>+Dados!G14</f>
        <v>Gestão municipal</v>
      </c>
      <c r="C14" s="11">
        <f>+Dados!H14</f>
        <v>4</v>
      </c>
      <c r="D14" s="11">
        <f>+Dados!I14</f>
        <v>4</v>
      </c>
      <c r="E14" s="11">
        <f>+Dados!J14</f>
        <v>5</v>
      </c>
      <c r="F14" s="11">
        <f>+Dados!K14</f>
        <v>5</v>
      </c>
      <c r="G14" s="11">
        <f>+Dados!L14</f>
        <v>4</v>
      </c>
      <c r="H14" s="11">
        <f>+Dados!M14</f>
        <v>3</v>
      </c>
      <c r="I14" s="11">
        <f>+Dados!N14</f>
        <v>4</v>
      </c>
    </row>
    <row r="15" spans="1:18" x14ac:dyDescent="0.4">
      <c r="A15" s="11" t="str">
        <f>+Dados!V15</f>
        <v>CASTELÂNDIA</v>
      </c>
      <c r="B15" s="11" t="str">
        <f>+Dados!G15</f>
        <v>Gestão municipal</v>
      </c>
      <c r="C15" s="11">
        <f>+Dados!H15</f>
        <v>5</v>
      </c>
      <c r="D15" s="11">
        <f>+Dados!I15</f>
        <v>5</v>
      </c>
      <c r="E15" s="11">
        <f>+Dados!J15</f>
        <v>5</v>
      </c>
      <c r="F15" s="11">
        <f>+Dados!K15</f>
        <v>5</v>
      </c>
      <c r="G15" s="11">
        <f>+Dados!L15</f>
        <v>5</v>
      </c>
      <c r="H15" s="11">
        <f>+Dados!M15</f>
        <v>5</v>
      </c>
      <c r="I15" s="11">
        <f>+Dados!N15</f>
        <v>5</v>
      </c>
    </row>
    <row r="16" spans="1:18" x14ac:dyDescent="0.4">
      <c r="A16" s="11" t="str">
        <f>+Dados!V16</f>
        <v>SERRANÓPOLIS</v>
      </c>
      <c r="B16" s="11" t="str">
        <f>+Dados!G16</f>
        <v>Gestão municipal</v>
      </c>
      <c r="C16" s="11">
        <f>+Dados!H16</f>
        <v>4</v>
      </c>
      <c r="D16" s="11">
        <f>+Dados!I16</f>
        <v>4</v>
      </c>
      <c r="E16" s="11">
        <f>+Dados!J16</f>
        <v>5</v>
      </c>
      <c r="F16" s="11">
        <f>+Dados!K16</f>
        <v>5</v>
      </c>
      <c r="G16" s="11">
        <f>+Dados!L16</f>
        <v>3</v>
      </c>
      <c r="H16" s="11">
        <f>+Dados!M16</f>
        <v>4</v>
      </c>
      <c r="I16" s="11">
        <f>+Dados!N16</f>
        <v>4</v>
      </c>
    </row>
    <row r="17" spans="1:9" x14ac:dyDescent="0.4">
      <c r="A17" s="11" t="str">
        <f>+Dados!V17</f>
        <v>CHAPADÃO DO CÉU</v>
      </c>
      <c r="B17" s="11" t="str">
        <f>+Dados!G17</f>
        <v>Gestão municipal</v>
      </c>
      <c r="C17" s="11">
        <f>+Dados!H17</f>
        <v>5</v>
      </c>
      <c r="D17" s="11">
        <f>+Dados!I17</f>
        <v>5</v>
      </c>
      <c r="E17" s="11">
        <f>+Dados!J17</f>
        <v>5</v>
      </c>
      <c r="F17" s="11">
        <f>+Dados!K17</f>
        <v>5</v>
      </c>
      <c r="G17" s="11">
        <f>+Dados!L17</f>
        <v>5</v>
      </c>
      <c r="H17" s="11">
        <f>+Dados!M17</f>
        <v>5</v>
      </c>
      <c r="I17" s="11">
        <f>+Dados!N17</f>
        <v>5</v>
      </c>
    </row>
    <row r="18" spans="1:9" x14ac:dyDescent="0.4">
      <c r="A18" s="11" t="str">
        <f>+Dados!V18</f>
        <v>JATAÍ</v>
      </c>
      <c r="B18" s="11" t="str">
        <f>+Dados!G18</f>
        <v>Gestão municipal</v>
      </c>
      <c r="C18" s="11">
        <f>+Dados!H18</f>
        <v>4</v>
      </c>
      <c r="D18" s="11">
        <f>+Dados!I18</f>
        <v>2</v>
      </c>
      <c r="E18" s="11">
        <f>+Dados!J18</f>
        <v>3</v>
      </c>
      <c r="F18" s="11">
        <f>+Dados!K18</f>
        <v>3</v>
      </c>
      <c r="G18" s="11">
        <f>+Dados!L18</f>
        <v>4</v>
      </c>
      <c r="H18" s="11">
        <f>+Dados!M18</f>
        <v>2</v>
      </c>
      <c r="I18" s="11">
        <f>+Dados!N18</f>
        <v>4</v>
      </c>
    </row>
    <row r="19" spans="1:9" x14ac:dyDescent="0.4">
      <c r="A19" s="11" t="str">
        <f>+Dados!V19</f>
        <v>CASTELÂNDIA</v>
      </c>
      <c r="B19" s="11" t="str">
        <f>+Dados!G19</f>
        <v>Gestão municipal</v>
      </c>
      <c r="C19" s="11">
        <f>+Dados!H19</f>
        <v>5</v>
      </c>
      <c r="D19" s="11">
        <f>+Dados!I19</f>
        <v>5</v>
      </c>
      <c r="E19" s="11">
        <f>+Dados!J19</f>
        <v>5</v>
      </c>
      <c r="F19" s="11">
        <f>+Dados!K19</f>
        <v>5</v>
      </c>
      <c r="G19" s="11">
        <f>+Dados!L19</f>
        <v>5</v>
      </c>
      <c r="H19" s="11">
        <f>+Dados!M19</f>
        <v>5</v>
      </c>
      <c r="I19" s="11">
        <f>+Dados!N19</f>
        <v>5</v>
      </c>
    </row>
    <row r="20" spans="1:9" x14ac:dyDescent="0.4">
      <c r="A20" s="11" t="str">
        <f>+Dados!V20</f>
        <v>CAIAPÔNIA</v>
      </c>
      <c r="B20" s="11" t="str">
        <f>+Dados!G20</f>
        <v>Gestão municipal</v>
      </c>
      <c r="C20" s="11">
        <f>+Dados!H20</f>
        <v>4</v>
      </c>
      <c r="D20" s="11">
        <f>+Dados!I20</f>
        <v>4</v>
      </c>
      <c r="E20" s="11">
        <f>+Dados!J20</f>
        <v>4</v>
      </c>
      <c r="F20" s="11">
        <f>+Dados!K20</f>
        <v>4</v>
      </c>
      <c r="G20" s="11">
        <f>+Dados!L20</f>
        <v>4</v>
      </c>
      <c r="H20" s="11">
        <f>+Dados!M20</f>
        <v>4</v>
      </c>
      <c r="I20" s="11">
        <f>+Dados!N20</f>
        <v>4</v>
      </c>
    </row>
    <row r="21" spans="1:9" x14ac:dyDescent="0.4">
      <c r="A21" s="11" t="str">
        <f>+Dados!V21</f>
        <v>MINEIROS</v>
      </c>
      <c r="B21" s="11" t="str">
        <f>+Dados!G21</f>
        <v>Gestão municipal</v>
      </c>
      <c r="C21" s="11">
        <f>+Dados!H21</f>
        <v>4</v>
      </c>
      <c r="D21" s="11">
        <f>+Dados!I21</f>
        <v>4</v>
      </c>
      <c r="E21" s="11">
        <f>+Dados!J21</f>
        <v>4</v>
      </c>
      <c r="F21" s="11">
        <f>+Dados!K21</f>
        <v>4</v>
      </c>
      <c r="G21" s="11">
        <f>+Dados!L21</f>
        <v>5</v>
      </c>
      <c r="H21" s="11">
        <f>+Dados!M21</f>
        <v>5</v>
      </c>
      <c r="I21" s="11">
        <f>+Dados!N21</f>
        <v>5</v>
      </c>
    </row>
    <row r="22" spans="1:9" x14ac:dyDescent="0.4">
      <c r="A22" s="11" t="str">
        <f>+Dados!V22</f>
        <v>APORÉ</v>
      </c>
      <c r="B22" s="11" t="str">
        <f>+Dados!G22</f>
        <v>Gestão municipal</v>
      </c>
      <c r="C22" s="11">
        <f>+Dados!H22</f>
        <v>5</v>
      </c>
      <c r="D22" s="11">
        <f>+Dados!I22</f>
        <v>5</v>
      </c>
      <c r="E22" s="11">
        <f>+Dados!J22</f>
        <v>5</v>
      </c>
      <c r="F22" s="11">
        <f>+Dados!K22</f>
        <v>5</v>
      </c>
      <c r="G22" s="11">
        <f>+Dados!L22</f>
        <v>5</v>
      </c>
      <c r="H22" s="11">
        <f>+Dados!M22</f>
        <v>5</v>
      </c>
      <c r="I22" s="11">
        <f>+Dados!N22</f>
        <v>5</v>
      </c>
    </row>
    <row r="23" spans="1:9" x14ac:dyDescent="0.4">
      <c r="A23" s="11" t="str">
        <f>+Dados!V23</f>
        <v>MINEIROS</v>
      </c>
      <c r="B23" s="11" t="str">
        <f>+Dados!G23</f>
        <v>Gestão municipal</v>
      </c>
      <c r="C23" s="11">
        <f>+Dados!H23</f>
        <v>4</v>
      </c>
      <c r="D23" s="11">
        <f>+Dados!I23</f>
        <v>4</v>
      </c>
      <c r="E23" s="11">
        <f>+Dados!J23</f>
        <v>4</v>
      </c>
      <c r="F23" s="11">
        <f>+Dados!K23</f>
        <v>4</v>
      </c>
      <c r="G23" s="11">
        <f>+Dados!L23</f>
        <v>4</v>
      </c>
      <c r="H23" s="11">
        <f>+Dados!M23</f>
        <v>4</v>
      </c>
      <c r="I23" s="11">
        <f>+Dados!N23</f>
        <v>4</v>
      </c>
    </row>
    <row r="24" spans="1:9" x14ac:dyDescent="0.4">
      <c r="A24" s="11" t="str">
        <f>+Dados!V24</f>
        <v>RIO VERDE</v>
      </c>
      <c r="B24" s="11" t="str">
        <f>+Dados!G24</f>
        <v>Gestão municipal</v>
      </c>
      <c r="C24" s="11">
        <f>+Dados!H24</f>
        <v>4</v>
      </c>
      <c r="D24" s="11">
        <f>+Dados!I24</f>
        <v>4</v>
      </c>
      <c r="E24" s="11">
        <f>+Dados!J24</f>
        <v>5</v>
      </c>
      <c r="F24" s="11">
        <f>+Dados!K24</f>
        <v>5</v>
      </c>
      <c r="G24" s="11">
        <f>+Dados!L24</f>
        <v>4</v>
      </c>
      <c r="H24" s="11">
        <f>+Dados!M24</f>
        <v>3</v>
      </c>
      <c r="I24" s="11">
        <f>+Dados!N24</f>
        <v>4</v>
      </c>
    </row>
    <row r="25" spans="1:9" x14ac:dyDescent="0.4">
      <c r="A25" s="11" t="str">
        <f>+Dados!V25</f>
        <v>QUIRINÓPOLIS</v>
      </c>
      <c r="B25" s="11" t="str">
        <f>+Dados!G25</f>
        <v>Gestão municipal</v>
      </c>
      <c r="C25" s="11">
        <f>+Dados!H25</f>
        <v>4</v>
      </c>
      <c r="D25" s="11">
        <f>+Dados!I25</f>
        <v>3</v>
      </c>
      <c r="E25" s="11">
        <f>+Dados!J25</f>
        <v>3</v>
      </c>
      <c r="F25" s="11">
        <f>+Dados!K25</f>
        <v>3</v>
      </c>
      <c r="G25" s="11">
        <f>+Dados!L25</f>
        <v>3</v>
      </c>
      <c r="H25" s="11">
        <f>+Dados!M25</f>
        <v>3</v>
      </c>
      <c r="I25" s="11">
        <f>+Dados!N25</f>
        <v>4</v>
      </c>
    </row>
    <row r="26" spans="1:9" x14ac:dyDescent="0.4">
      <c r="A26" s="11" t="str">
        <f>+Dados!V26</f>
        <v>SANTA RITA DO ARAGUAIA</v>
      </c>
      <c r="B26" s="11" t="str">
        <f>+Dados!G26</f>
        <v>Gestão municipal</v>
      </c>
      <c r="C26" s="11">
        <f>+Dados!H26</f>
        <v>4</v>
      </c>
      <c r="D26" s="11">
        <f>+Dados!I26</f>
        <v>4</v>
      </c>
      <c r="E26" s="11">
        <f>+Dados!J26</f>
        <v>4</v>
      </c>
      <c r="F26" s="11">
        <f>+Dados!K26</f>
        <v>3</v>
      </c>
      <c r="G26" s="11">
        <f>+Dados!L26</f>
        <v>4</v>
      </c>
      <c r="H26" s="11">
        <f>+Dados!M26</f>
        <v>1</v>
      </c>
      <c r="I26" s="11">
        <f>+Dados!N26</f>
        <v>3</v>
      </c>
    </row>
    <row r="27" spans="1:9" x14ac:dyDescent="0.4">
      <c r="A27" s="11" t="str">
        <f>+Dados!V27</f>
        <v>APORÉ</v>
      </c>
      <c r="B27" s="11" t="str">
        <f>+Dados!G27</f>
        <v>Gestão municipal</v>
      </c>
      <c r="C27" s="11">
        <f>+Dados!H27</f>
        <v>5</v>
      </c>
      <c r="D27" s="11">
        <f>+Dados!I27</f>
        <v>4</v>
      </c>
      <c r="E27" s="11">
        <f>+Dados!J27</f>
        <v>5</v>
      </c>
      <c r="F27" s="11">
        <f>+Dados!K27</f>
        <v>4</v>
      </c>
      <c r="G27" s="11">
        <f>+Dados!L27</f>
        <v>4</v>
      </c>
      <c r="H27" s="11">
        <f>+Dados!M27</f>
        <v>5</v>
      </c>
      <c r="I27" s="11">
        <f>+Dados!N27</f>
        <v>5</v>
      </c>
    </row>
    <row r="28" spans="1:9" x14ac:dyDescent="0.4">
      <c r="A28" s="11" t="str">
        <f>+Dados!V28</f>
        <v>RIBEIRÃOZINHO</v>
      </c>
      <c r="B28" s="11" t="str">
        <f>+Dados!G28</f>
        <v>Gestão municipal</v>
      </c>
      <c r="C28" s="11">
        <f>+Dados!H28</f>
        <v>5</v>
      </c>
      <c r="D28" s="11">
        <f>+Dados!I28</f>
        <v>4</v>
      </c>
      <c r="E28" s="11">
        <f>+Dados!J28</f>
        <v>3</v>
      </c>
      <c r="F28" s="11">
        <f>+Dados!K28</f>
        <v>4</v>
      </c>
      <c r="G28" s="11">
        <f>+Dados!L28</f>
        <v>5</v>
      </c>
      <c r="H28" s="11">
        <f>+Dados!M28</f>
        <v>4</v>
      </c>
      <c r="I28" s="11">
        <f>+Dados!N28</f>
        <v>5</v>
      </c>
    </row>
    <row r="29" spans="1:9" x14ac:dyDescent="0.4">
      <c r="A29" s="11" t="str">
        <f>+Dados!V29</f>
        <v>TURVELÂNDIA</v>
      </c>
      <c r="B29" s="11" t="str">
        <f>+Dados!G29</f>
        <v>Gestão municipal</v>
      </c>
      <c r="C29" s="11">
        <f>+Dados!H29</f>
        <v>5</v>
      </c>
      <c r="D29" s="11">
        <f>+Dados!I29</f>
        <v>5</v>
      </c>
      <c r="E29" s="11">
        <f>+Dados!J29</f>
        <v>5</v>
      </c>
      <c r="F29" s="11">
        <f>+Dados!K29</f>
        <v>4</v>
      </c>
      <c r="G29" s="11">
        <f>+Dados!L29</f>
        <v>5</v>
      </c>
      <c r="H29" s="11">
        <f>+Dados!M29</f>
        <v>4</v>
      </c>
      <c r="I29" s="11">
        <f>+Dados!N29</f>
        <v>5</v>
      </c>
    </row>
    <row r="30" spans="1:9" x14ac:dyDescent="0.4">
      <c r="A30" s="11" t="str">
        <f>+Dados!V30</f>
        <v>SERRANÓPOLIS</v>
      </c>
      <c r="B30" s="11" t="str">
        <f>+Dados!G30</f>
        <v>Gestão municipal</v>
      </c>
      <c r="C30" s="11">
        <f>+Dados!H30</f>
        <v>5</v>
      </c>
      <c r="D30" s="11">
        <f>+Dados!I30</f>
        <v>4</v>
      </c>
      <c r="E30" s="11">
        <f>+Dados!J30</f>
        <v>5</v>
      </c>
      <c r="F30" s="11">
        <f>+Dados!K30</f>
        <v>4</v>
      </c>
      <c r="G30" s="11">
        <f>+Dados!L30</f>
        <v>4</v>
      </c>
      <c r="H30" s="11">
        <f>+Dados!M30</f>
        <v>4</v>
      </c>
      <c r="I30" s="11">
        <f>+Dados!N30</f>
        <v>5</v>
      </c>
    </row>
    <row r="31" spans="1:9" x14ac:dyDescent="0.4">
      <c r="A31" s="11" t="str">
        <f>+Dados!V31</f>
        <v>CACHOEIRA ALTA</v>
      </c>
      <c r="B31" s="11" t="str">
        <f>+Dados!G31</f>
        <v>Gestão municipal</v>
      </c>
      <c r="C31" s="11">
        <f>+Dados!H31</f>
        <v>5</v>
      </c>
      <c r="D31" s="11">
        <f>+Dados!I31</f>
        <v>5</v>
      </c>
      <c r="E31" s="11">
        <f>+Dados!J31</f>
        <v>5</v>
      </c>
      <c r="F31" s="11">
        <f>+Dados!K31</f>
        <v>5</v>
      </c>
      <c r="G31" s="11">
        <f>+Dados!L31</f>
        <v>5</v>
      </c>
      <c r="H31" s="11">
        <f>+Dados!M31</f>
        <v>5</v>
      </c>
      <c r="I31" s="11">
        <f>+Dados!N31</f>
        <v>5</v>
      </c>
    </row>
    <row r="32" spans="1:9" x14ac:dyDescent="0.4">
      <c r="A32" s="11" t="str">
        <f>+Dados!V32</f>
        <v>COSTA RICA</v>
      </c>
      <c r="B32" s="11" t="str">
        <f>+Dados!G32</f>
        <v>Gestão municipal</v>
      </c>
      <c r="C32" s="11">
        <f>+Dados!H32</f>
        <v>5</v>
      </c>
      <c r="D32" s="11">
        <f>+Dados!I32</f>
        <v>5</v>
      </c>
      <c r="E32" s="11">
        <f>+Dados!J32</f>
        <v>5</v>
      </c>
      <c r="F32" s="11">
        <f>+Dados!K32</f>
        <v>4</v>
      </c>
      <c r="G32" s="11">
        <f>+Dados!L32</f>
        <v>4</v>
      </c>
      <c r="H32" s="11">
        <f>+Dados!M32</f>
        <v>4</v>
      </c>
      <c r="I32" s="11">
        <f>+Dados!N32</f>
        <v>5</v>
      </c>
    </row>
    <row r="33" spans="1:9" x14ac:dyDescent="0.4">
      <c r="A33" s="11" t="str">
        <f>+Dados!V33</f>
        <v>MAURILÂNDIA</v>
      </c>
      <c r="B33" s="11" t="str">
        <f>+Dados!G33</f>
        <v>Gestão municipal</v>
      </c>
      <c r="C33" s="11">
        <f>+Dados!H33</f>
        <v>5</v>
      </c>
      <c r="D33" s="11">
        <f>+Dados!I33</f>
        <v>5</v>
      </c>
      <c r="E33" s="11">
        <f>+Dados!J33</f>
        <v>5</v>
      </c>
      <c r="F33" s="11">
        <f>+Dados!K33</f>
        <v>5</v>
      </c>
      <c r="G33" s="11">
        <f>+Dados!L33</f>
        <v>5</v>
      </c>
      <c r="H33" s="11">
        <f>+Dados!M33</f>
        <v>5</v>
      </c>
      <c r="I33" s="11">
        <f>+Dados!N33</f>
        <v>5</v>
      </c>
    </row>
    <row r="34" spans="1:9" x14ac:dyDescent="0.4">
      <c r="A34" s="11" t="str">
        <f>+Dados!V34</f>
        <v>SANTA HELENA DE GOIÁS</v>
      </c>
      <c r="B34" s="11" t="str">
        <f>+Dados!G34</f>
        <v>Gestão municipal</v>
      </c>
      <c r="C34" s="11">
        <f>+Dados!H34</f>
        <v>5</v>
      </c>
      <c r="D34" s="11">
        <f>+Dados!I34</f>
        <v>5</v>
      </c>
      <c r="E34" s="11">
        <f>+Dados!J34</f>
        <v>5</v>
      </c>
      <c r="F34" s="11">
        <f>+Dados!K34</f>
        <v>4</v>
      </c>
      <c r="G34" s="11">
        <f>+Dados!L34</f>
        <v>5</v>
      </c>
      <c r="H34" s="11">
        <f>+Dados!M34</f>
        <v>4</v>
      </c>
      <c r="I34" s="11">
        <f>+Dados!N34</f>
        <v>5</v>
      </c>
    </row>
    <row r="35" spans="1:9" x14ac:dyDescent="0.4">
      <c r="A35" s="11" t="str">
        <f>+Dados!V35</f>
        <v>PARANAÍBA</v>
      </c>
      <c r="B35" s="11" t="str">
        <f>+Dados!G35</f>
        <v>Gestão municipal</v>
      </c>
      <c r="C35" s="11">
        <f>+Dados!H35</f>
        <v>5</v>
      </c>
      <c r="D35" s="11">
        <f>+Dados!I35</f>
        <v>3</v>
      </c>
      <c r="E35" s="11">
        <f>+Dados!J35</f>
        <v>3</v>
      </c>
      <c r="F35" s="11">
        <f>+Dados!K35</f>
        <v>2</v>
      </c>
      <c r="G35" s="11">
        <f>+Dados!L35</f>
        <v>5</v>
      </c>
      <c r="H35" s="11">
        <f>+Dados!M35</f>
        <v>3</v>
      </c>
      <c r="I35" s="11">
        <f>+Dados!N35</f>
        <v>3</v>
      </c>
    </row>
    <row r="36" spans="1:9" x14ac:dyDescent="0.4">
      <c r="A36" s="11" t="str">
        <f>+Dados!V36</f>
        <v>PARANAÍBA</v>
      </c>
      <c r="B36" s="11" t="str">
        <f>+Dados!G36</f>
        <v>Gestão municipal</v>
      </c>
      <c r="C36" s="11">
        <f>+Dados!H36</f>
        <v>5</v>
      </c>
      <c r="D36" s="11">
        <f>+Dados!I36</f>
        <v>5</v>
      </c>
      <c r="E36" s="11">
        <f>+Dados!J36</f>
        <v>5</v>
      </c>
      <c r="F36" s="11">
        <f>+Dados!K36</f>
        <v>5</v>
      </c>
      <c r="G36" s="11">
        <f>+Dados!L36</f>
        <v>5</v>
      </c>
      <c r="H36" s="11">
        <f>+Dados!M36</f>
        <v>5</v>
      </c>
      <c r="I36" s="11">
        <f>+Dados!N36</f>
        <v>5</v>
      </c>
    </row>
    <row r="37" spans="1:9" x14ac:dyDescent="0.4">
      <c r="A37" s="11" t="str">
        <f>+Dados!V37</f>
        <v>MONTIVIDIU</v>
      </c>
      <c r="B37" s="11" t="str">
        <f>+Dados!G37</f>
        <v>Gestão municipal</v>
      </c>
      <c r="C37" s="11">
        <f>+Dados!H37</f>
        <v>5</v>
      </c>
      <c r="D37" s="11">
        <f>+Dados!I37</f>
        <v>5</v>
      </c>
      <c r="E37" s="11">
        <f>+Dados!J37</f>
        <v>5</v>
      </c>
      <c r="F37" s="11">
        <f>+Dados!K37</f>
        <v>5</v>
      </c>
      <c r="G37" s="11">
        <f>+Dados!L37</f>
        <v>4</v>
      </c>
      <c r="H37" s="11">
        <f>+Dados!M37</f>
        <v>4</v>
      </c>
      <c r="I37" s="11">
        <f>+Dados!N37</f>
        <v>5</v>
      </c>
    </row>
    <row r="38" spans="1:9" x14ac:dyDescent="0.4">
      <c r="A38" s="11" t="str">
        <f>+Dados!V38</f>
        <v>ALTO TAQUARI</v>
      </c>
      <c r="B38" s="11" t="str">
        <f>+Dados!G38</f>
        <v>Gestão municipal</v>
      </c>
      <c r="C38" s="11">
        <f>+Dados!H38</f>
        <v>5</v>
      </c>
      <c r="D38" s="11">
        <f>+Dados!I38</f>
        <v>5</v>
      </c>
      <c r="E38" s="11">
        <f>+Dados!J38</f>
        <v>5</v>
      </c>
      <c r="F38" s="11">
        <f>+Dados!K38</f>
        <v>5</v>
      </c>
      <c r="G38" s="11">
        <f>+Dados!L38</f>
        <v>4</v>
      </c>
      <c r="H38" s="11">
        <f>+Dados!M38</f>
        <v>4</v>
      </c>
      <c r="I38" s="11">
        <f>+Dados!N38</f>
        <v>5</v>
      </c>
    </row>
    <row r="39" spans="1:9" x14ac:dyDescent="0.4">
      <c r="A39" s="11" t="str">
        <f>+Dados!V39</f>
        <v>JATAÍ</v>
      </c>
      <c r="B39" s="11" t="str">
        <f>+Dados!G39</f>
        <v>Gestão municipal</v>
      </c>
      <c r="C39" s="11">
        <f>+Dados!H39</f>
        <v>5</v>
      </c>
      <c r="D39" s="11">
        <f>+Dados!I39</f>
        <v>4</v>
      </c>
      <c r="E39" s="11">
        <f>+Dados!J39</f>
        <v>5</v>
      </c>
      <c r="F39" s="11">
        <f>+Dados!K39</f>
        <v>5</v>
      </c>
      <c r="G39" s="11">
        <f>+Dados!L39</f>
        <v>5</v>
      </c>
      <c r="H39" s="11">
        <f>+Dados!M39</f>
        <v>5</v>
      </c>
      <c r="I39" s="11">
        <f>+Dados!N39</f>
        <v>5</v>
      </c>
    </row>
    <row r="40" spans="1:9" x14ac:dyDescent="0.4">
      <c r="A40" s="11" t="str">
        <f>+Dados!V40</f>
        <v>PALESTINA DE GOIÁS</v>
      </c>
      <c r="B40" s="11" t="str">
        <f>+Dados!G40</f>
        <v>Gestão municipal</v>
      </c>
      <c r="C40" s="11">
        <f>+Dados!H40</f>
        <v>4</v>
      </c>
      <c r="D40" s="11">
        <f>+Dados!I40</f>
        <v>3</v>
      </c>
      <c r="E40" s="11">
        <f>+Dados!J40</f>
        <v>5</v>
      </c>
      <c r="F40" s="11">
        <f>+Dados!K40</f>
        <v>5</v>
      </c>
      <c r="G40" s="11">
        <f>+Dados!L40</f>
        <v>4</v>
      </c>
      <c r="H40" s="11">
        <f>+Dados!M40</f>
        <v>5</v>
      </c>
      <c r="I40" s="11">
        <f>+Dados!N40</f>
        <v>5</v>
      </c>
    </row>
    <row r="41" spans="1:9" x14ac:dyDescent="0.4">
      <c r="A41" s="11" t="str">
        <f>+Dados!V41</f>
        <v>CASSILÂNDIA</v>
      </c>
      <c r="B41" s="11" t="str">
        <f>+Dados!G41</f>
        <v>Gestão municipal</v>
      </c>
      <c r="C41" s="11">
        <f>+Dados!H41</f>
        <v>5</v>
      </c>
      <c r="D41" s="11">
        <f>+Dados!I41</f>
        <v>5</v>
      </c>
      <c r="E41" s="11">
        <f>+Dados!J41</f>
        <v>5</v>
      </c>
      <c r="F41" s="11">
        <f>+Dados!K41</f>
        <v>5</v>
      </c>
      <c r="G41" s="11">
        <f>+Dados!L41</f>
        <v>5</v>
      </c>
      <c r="H41" s="11">
        <f>+Dados!M41</f>
        <v>5</v>
      </c>
      <c r="I41" s="11">
        <f>+Dados!N41</f>
        <v>5</v>
      </c>
    </row>
    <row r="42" spans="1:9" x14ac:dyDescent="0.4">
      <c r="A42" s="11" t="str">
        <f>+Dados!V42</f>
        <v>CAIAPÔNIA</v>
      </c>
      <c r="B42" s="11" t="str">
        <f>+Dados!G42</f>
        <v>Gestão municipal</v>
      </c>
      <c r="C42" s="11">
        <f>+Dados!H42</f>
        <v>5</v>
      </c>
      <c r="D42" s="11">
        <f>+Dados!I42</f>
        <v>5</v>
      </c>
      <c r="E42" s="11">
        <f>+Dados!J42</f>
        <v>5</v>
      </c>
      <c r="F42" s="11">
        <f>+Dados!K42</f>
        <v>5</v>
      </c>
      <c r="G42" s="11">
        <f>+Dados!L42</f>
        <v>5</v>
      </c>
      <c r="H42" s="11">
        <f>+Dados!M42</f>
        <v>5</v>
      </c>
      <c r="I42" s="11">
        <f>+Dados!N42</f>
        <v>5</v>
      </c>
    </row>
    <row r="43" spans="1:9" x14ac:dyDescent="0.4">
      <c r="A43" s="11" t="str">
        <f>+Dados!V43</f>
        <v>PEROLÂNDIA</v>
      </c>
      <c r="B43" s="11" t="str">
        <f>+Dados!G43</f>
        <v>Gestão municipal</v>
      </c>
      <c r="C43" s="11">
        <f>+Dados!H43</f>
        <v>5</v>
      </c>
      <c r="D43" s="11">
        <f>+Dados!I43</f>
        <v>5</v>
      </c>
      <c r="E43" s="11">
        <f>+Dados!J43</f>
        <v>5</v>
      </c>
      <c r="F43" s="11">
        <f>+Dados!K43</f>
        <v>5</v>
      </c>
      <c r="G43" s="11">
        <f>+Dados!L43</f>
        <v>5</v>
      </c>
      <c r="H43" s="11">
        <f>+Dados!M43</f>
        <v>5</v>
      </c>
      <c r="I43" s="11">
        <f>+Dados!N43</f>
        <v>5</v>
      </c>
    </row>
    <row r="44" spans="1:9" x14ac:dyDescent="0.4">
      <c r="A44" s="11" t="str">
        <f>+Dados!V44</f>
        <v>CASTELÂNDIA</v>
      </c>
      <c r="B44" s="11" t="str">
        <f>+Dados!G44</f>
        <v>Gestão municipal</v>
      </c>
      <c r="C44" s="11">
        <f>+Dados!H44</f>
        <v>5</v>
      </c>
      <c r="D44" s="11">
        <f>+Dados!I44</f>
        <v>5</v>
      </c>
      <c r="E44" s="11">
        <f>+Dados!J44</f>
        <v>5</v>
      </c>
      <c r="F44" s="11">
        <f>+Dados!K44</f>
        <v>5</v>
      </c>
      <c r="G44" s="11">
        <f>+Dados!L44</f>
        <v>5</v>
      </c>
      <c r="H44" s="11">
        <f>+Dados!M44</f>
        <v>5</v>
      </c>
      <c r="I44" s="11">
        <f>+Dados!N44</f>
        <v>5</v>
      </c>
    </row>
    <row r="45" spans="1:9" x14ac:dyDescent="0.4">
      <c r="A45" s="11" t="str">
        <f>+Dados!V45</f>
        <v>APARECIDA DO RIO DOCE</v>
      </c>
      <c r="B45" s="11" t="str">
        <f>+Dados!G45</f>
        <v>Gestão municipal</v>
      </c>
      <c r="C45" s="11">
        <f>+Dados!H45</f>
        <v>5</v>
      </c>
      <c r="D45" s="11">
        <f>+Dados!I45</f>
        <v>5</v>
      </c>
      <c r="E45" s="11">
        <f>+Dados!J45</f>
        <v>5</v>
      </c>
      <c r="F45" s="11">
        <f>+Dados!K45</f>
        <v>3</v>
      </c>
      <c r="G45" s="11">
        <f>+Dados!L45</f>
        <v>5</v>
      </c>
      <c r="H45" s="11">
        <f>+Dados!M45</f>
        <v>5</v>
      </c>
      <c r="I45" s="11">
        <f>+Dados!N45</f>
        <v>5</v>
      </c>
    </row>
    <row r="46" spans="1:9" x14ac:dyDescent="0.4">
      <c r="A46" s="11" t="str">
        <f>+Dados!V46</f>
        <v>PALESTINA DE GOIÁS</v>
      </c>
      <c r="B46" s="11" t="str">
        <f>+Dados!G46</f>
        <v>Gestão municipal</v>
      </c>
      <c r="C46" s="11">
        <f>+Dados!H46</f>
        <v>5</v>
      </c>
      <c r="D46" s="11">
        <f>+Dados!I46</f>
        <v>5</v>
      </c>
      <c r="E46" s="11">
        <f>+Dados!J46</f>
        <v>5</v>
      </c>
      <c r="F46" s="11">
        <f>+Dados!K46</f>
        <v>5</v>
      </c>
      <c r="G46" s="11">
        <f>+Dados!L46</f>
        <v>5</v>
      </c>
      <c r="H46" s="11">
        <f>+Dados!M46</f>
        <v>5</v>
      </c>
      <c r="I46" s="11">
        <f>+Dados!N46</f>
        <v>5</v>
      </c>
    </row>
    <row r="47" spans="1:9" x14ac:dyDescent="0.4">
      <c r="A47" s="11" t="str">
        <f>+Dados!V47</f>
        <v>PARANAÍBA</v>
      </c>
      <c r="B47" s="11" t="str">
        <f>+Dados!G47</f>
        <v>Gestão municipal</v>
      </c>
      <c r="C47" s="11">
        <f>+Dados!H47</f>
        <v>5</v>
      </c>
      <c r="D47" s="11">
        <f>+Dados!I47</f>
        <v>5</v>
      </c>
      <c r="E47" s="11">
        <f>+Dados!J47</f>
        <v>5</v>
      </c>
      <c r="F47" s="11">
        <f>+Dados!K47</f>
        <v>5</v>
      </c>
      <c r="G47" s="11">
        <f>+Dados!L47</f>
        <v>5</v>
      </c>
      <c r="H47" s="11">
        <f>+Dados!M47</f>
        <v>5</v>
      </c>
      <c r="I47" s="11">
        <f>+Dados!N47</f>
        <v>5</v>
      </c>
    </row>
    <row r="48" spans="1:9" x14ac:dyDescent="0.4">
      <c r="A48" s="11" t="str">
        <f>+Dados!V48</f>
        <v>INACIOLÂNDIA</v>
      </c>
      <c r="B48" s="11" t="str">
        <f>+Dados!G48</f>
        <v>Gestão municipal</v>
      </c>
      <c r="C48" s="11">
        <f>+Dados!H48</f>
        <v>4</v>
      </c>
      <c r="D48" s="11">
        <f>+Dados!I48</f>
        <v>4</v>
      </c>
      <c r="E48" s="11">
        <f>+Dados!J48</f>
        <v>4</v>
      </c>
      <c r="F48" s="11">
        <f>+Dados!K48</f>
        <v>4</v>
      </c>
      <c r="G48" s="11">
        <f>+Dados!L48</f>
        <v>4</v>
      </c>
      <c r="H48" s="11">
        <f>+Dados!M48</f>
        <v>4</v>
      </c>
      <c r="I48" s="11">
        <f>+Dados!N48</f>
        <v>4</v>
      </c>
    </row>
    <row r="49" spans="1:9" x14ac:dyDescent="0.4">
      <c r="A49" s="11" t="str">
        <f>+Dados!V49</f>
        <v>SANTA HELENA DE GOIÁS</v>
      </c>
      <c r="B49" s="11" t="str">
        <f>+Dados!G49</f>
        <v>Gestão municipal</v>
      </c>
      <c r="C49" s="11">
        <f>+Dados!H49</f>
        <v>5</v>
      </c>
      <c r="D49" s="11">
        <f>+Dados!I49</f>
        <v>5</v>
      </c>
      <c r="E49" s="11">
        <f>+Dados!J49</f>
        <v>5</v>
      </c>
      <c r="F49" s="11">
        <f>+Dados!K49</f>
        <v>5</v>
      </c>
      <c r="G49" s="11">
        <f>+Dados!L49</f>
        <v>5</v>
      </c>
      <c r="H49" s="11">
        <f>+Dados!M49</f>
        <v>5</v>
      </c>
      <c r="I49" s="11">
        <f>+Dados!N49</f>
        <v>5</v>
      </c>
    </row>
    <row r="50" spans="1:9" x14ac:dyDescent="0.4">
      <c r="A50" s="11" t="str">
        <f>+Dados!V50</f>
        <v>AMORINÓPOLIS</v>
      </c>
      <c r="B50" s="11" t="str">
        <f>+Dados!G50</f>
        <v>Gestão municipal</v>
      </c>
      <c r="C50" s="11">
        <f>+Dados!H50</f>
        <v>5</v>
      </c>
      <c r="D50" s="11">
        <f>+Dados!I50</f>
        <v>5</v>
      </c>
      <c r="E50" s="11">
        <f>+Dados!J50</f>
        <v>5</v>
      </c>
      <c r="F50" s="11">
        <f>+Dados!K50</f>
        <v>5</v>
      </c>
      <c r="G50" s="11">
        <f>+Dados!L50</f>
        <v>5</v>
      </c>
      <c r="H50" s="11">
        <f>+Dados!M50</f>
        <v>5</v>
      </c>
      <c r="I50" s="11">
        <f>+Dados!N50</f>
        <v>5</v>
      </c>
    </row>
    <row r="51" spans="1:9" x14ac:dyDescent="0.4">
      <c r="A51" s="11" t="str">
        <f>+Dados!V51</f>
        <v>SANTA RITA DO ARAGUAIA</v>
      </c>
      <c r="B51" s="11" t="str">
        <f>+Dados!G51</f>
        <v>Gestão municipal</v>
      </c>
      <c r="C51" s="11">
        <f>+Dados!H51</f>
        <v>5</v>
      </c>
      <c r="D51" s="11">
        <f>+Dados!I51</f>
        <v>5</v>
      </c>
      <c r="E51" s="11">
        <f>+Dados!J51</f>
        <v>5</v>
      </c>
      <c r="F51" s="11">
        <f>+Dados!K51</f>
        <v>5</v>
      </c>
      <c r="G51" s="11">
        <f>+Dados!L51</f>
        <v>5</v>
      </c>
      <c r="H51" s="11">
        <f>+Dados!M51</f>
        <v>5</v>
      </c>
      <c r="I51" s="11">
        <f>+Dados!N51</f>
        <v>5</v>
      </c>
    </row>
    <row r="52" spans="1:9" x14ac:dyDescent="0.4">
      <c r="A52" s="11" t="str">
        <f>+Dados!V52</f>
        <v>PEROLÂNDIA</v>
      </c>
      <c r="B52" s="11" t="str">
        <f>+Dados!G52</f>
        <v>Gestão municipal</v>
      </c>
      <c r="C52" s="11">
        <f>+Dados!H52</f>
        <v>5</v>
      </c>
      <c r="D52" s="11">
        <f>+Dados!I52</f>
        <v>5</v>
      </c>
      <c r="E52" s="11">
        <f>+Dados!J52</f>
        <v>5</v>
      </c>
      <c r="F52" s="11">
        <f>+Dados!K52</f>
        <v>4</v>
      </c>
      <c r="G52" s="11">
        <f>+Dados!L52</f>
        <v>4</v>
      </c>
      <c r="H52" s="11">
        <f>+Dados!M52</f>
        <v>5</v>
      </c>
      <c r="I52" s="11">
        <f>+Dados!N52</f>
        <v>5</v>
      </c>
    </row>
    <row r="53" spans="1:9" x14ac:dyDescent="0.4">
      <c r="A53" s="11" t="str">
        <f>+Dados!V53</f>
        <v>RIO VERDE</v>
      </c>
      <c r="B53" s="11" t="str">
        <f>+Dados!G53</f>
        <v>Gestão municipal</v>
      </c>
      <c r="C53" s="11">
        <f>+Dados!H53</f>
        <v>5</v>
      </c>
      <c r="D53" s="11">
        <f>+Dados!I53</f>
        <v>5</v>
      </c>
      <c r="E53" s="11">
        <f>+Dados!J53</f>
        <v>5</v>
      </c>
      <c r="F53" s="11">
        <f>+Dados!K53</f>
        <v>5</v>
      </c>
      <c r="G53" s="11">
        <f>+Dados!L53</f>
        <v>5</v>
      </c>
      <c r="H53" s="11">
        <f>+Dados!M53</f>
        <v>3</v>
      </c>
      <c r="I53" s="11">
        <f>+Dados!N53</f>
        <v>5</v>
      </c>
    </row>
    <row r="54" spans="1:9" x14ac:dyDescent="0.4">
      <c r="A54" s="11" t="str">
        <f>+Dados!V54</f>
        <v>RIBEIRÃOZINHO</v>
      </c>
      <c r="B54" s="11" t="str">
        <f>+Dados!G54</f>
        <v>Gestão municipal</v>
      </c>
      <c r="C54" s="11">
        <f>+Dados!H54</f>
        <v>5</v>
      </c>
      <c r="D54" s="11">
        <f>+Dados!I54</f>
        <v>5</v>
      </c>
      <c r="E54" s="11">
        <f>+Dados!J54</f>
        <v>5</v>
      </c>
      <c r="F54" s="11">
        <f>+Dados!K54</f>
        <v>5</v>
      </c>
      <c r="G54" s="11">
        <f>+Dados!L54</f>
        <v>5</v>
      </c>
      <c r="H54" s="11">
        <f>+Dados!M54</f>
        <v>5</v>
      </c>
      <c r="I54" s="11">
        <f>+Dados!N54</f>
        <v>5</v>
      </c>
    </row>
    <row r="55" spans="1:9" x14ac:dyDescent="0.4">
      <c r="A55" s="11" t="str">
        <f>+Dados!V55</f>
        <v>GOUVELÂNDIA</v>
      </c>
      <c r="B55" s="11" t="str">
        <f>+Dados!G55</f>
        <v>Gestão municipal</v>
      </c>
      <c r="C55" s="11">
        <f>+Dados!H55</f>
        <v>5</v>
      </c>
      <c r="D55" s="11">
        <f>+Dados!I55</f>
        <v>5</v>
      </c>
      <c r="E55" s="11">
        <f>+Dados!J55</f>
        <v>5</v>
      </c>
      <c r="F55" s="11">
        <f>+Dados!K55</f>
        <v>5</v>
      </c>
      <c r="G55" s="11">
        <f>+Dados!L55</f>
        <v>5</v>
      </c>
      <c r="H55" s="11">
        <f>+Dados!M55</f>
        <v>5</v>
      </c>
      <c r="I55" s="11">
        <f>+Dados!N55</f>
        <v>4</v>
      </c>
    </row>
    <row r="56" spans="1:9" x14ac:dyDescent="0.4">
      <c r="A56" s="11" t="str">
        <f>+Dados!V56</f>
        <v>CASSILÂNDIA</v>
      </c>
      <c r="B56" s="11" t="str">
        <f>+Dados!G56</f>
        <v>Gestão municipal</v>
      </c>
      <c r="C56" s="11">
        <f>+Dados!H56</f>
        <v>5</v>
      </c>
      <c r="D56" s="11">
        <f>+Dados!I56</f>
        <v>5</v>
      </c>
      <c r="E56" s="11">
        <f>+Dados!J56</f>
        <v>5</v>
      </c>
      <c r="F56" s="11">
        <f>+Dados!K56</f>
        <v>5</v>
      </c>
      <c r="G56" s="11">
        <f>+Dados!L56</f>
        <v>5</v>
      </c>
      <c r="H56" s="11">
        <f>+Dados!M56</f>
        <v>5</v>
      </c>
      <c r="I56" s="11">
        <f>+Dados!N56</f>
        <v>5</v>
      </c>
    </row>
    <row r="57" spans="1:9" x14ac:dyDescent="0.4">
      <c r="A57" s="11" t="str">
        <f>+Dados!V57</f>
        <v>AMORINÓPOLIS</v>
      </c>
      <c r="B57" s="11" t="str">
        <f>+Dados!G57</f>
        <v>Gestão municipal</v>
      </c>
      <c r="C57" s="11">
        <f>+Dados!H57</f>
        <v>5</v>
      </c>
      <c r="D57" s="11">
        <f>+Dados!I57</f>
        <v>5</v>
      </c>
      <c r="E57" s="11">
        <f>+Dados!J57</f>
        <v>5</v>
      </c>
      <c r="F57" s="11">
        <f>+Dados!K57</f>
        <v>5</v>
      </c>
      <c r="G57" s="11">
        <f>+Dados!L57</f>
        <v>5</v>
      </c>
      <c r="H57" s="11">
        <f>+Dados!M57</f>
        <v>5</v>
      </c>
      <c r="I57" s="11">
        <f>+Dados!N57</f>
        <v>5</v>
      </c>
    </row>
    <row r="58" spans="1:9" x14ac:dyDescent="0.4">
      <c r="A58" s="11" t="str">
        <f>+Dados!V58</f>
        <v>PEROLÂNDIA</v>
      </c>
      <c r="B58" s="11" t="str">
        <f>+Dados!G58</f>
        <v>Gestão municipal</v>
      </c>
      <c r="C58" s="11">
        <f>+Dados!H58</f>
        <v>5</v>
      </c>
      <c r="D58" s="11">
        <f>+Dados!I58</f>
        <v>5</v>
      </c>
      <c r="E58" s="11">
        <f>+Dados!J58</f>
        <v>5</v>
      </c>
      <c r="F58" s="11">
        <f>+Dados!K58</f>
        <v>5</v>
      </c>
      <c r="G58" s="11">
        <f>+Dados!L58</f>
        <v>5</v>
      </c>
      <c r="H58" s="11">
        <f>+Dados!M58</f>
        <v>5</v>
      </c>
      <c r="I58" s="11">
        <f>+Dados!N58</f>
        <v>5</v>
      </c>
    </row>
    <row r="59" spans="1:9" x14ac:dyDescent="0.4">
      <c r="A59" s="11" t="str">
        <f>+Dados!V59</f>
        <v>AMORINÓPOLIS</v>
      </c>
      <c r="B59" s="11" t="str">
        <f>+Dados!G59</f>
        <v>Gestão municipal</v>
      </c>
      <c r="C59" s="11">
        <f>+Dados!H59</f>
        <v>5</v>
      </c>
      <c r="D59" s="11">
        <f>+Dados!I59</f>
        <v>5</v>
      </c>
      <c r="E59" s="11">
        <f>+Dados!J59</f>
        <v>5</v>
      </c>
      <c r="F59" s="11">
        <f>+Dados!K59</f>
        <v>5</v>
      </c>
      <c r="G59" s="11">
        <f>+Dados!L59</f>
        <v>5</v>
      </c>
      <c r="H59" s="11">
        <f>+Dados!M59</f>
        <v>4</v>
      </c>
      <c r="I59" s="11">
        <f>+Dados!N59</f>
        <v>5</v>
      </c>
    </row>
    <row r="60" spans="1:9" x14ac:dyDescent="0.4">
      <c r="A60" s="11" t="str">
        <f>+Dados!V60</f>
        <v>SÃO SIMÃO</v>
      </c>
      <c r="B60" s="11" t="str">
        <f>+Dados!G60</f>
        <v>Gestão municipal</v>
      </c>
      <c r="C60" s="11">
        <f>+Dados!H60</f>
        <v>4</v>
      </c>
      <c r="D60" s="11">
        <f>+Dados!I60</f>
        <v>4</v>
      </c>
      <c r="E60" s="11">
        <f>+Dados!J60</f>
        <v>4</v>
      </c>
      <c r="F60" s="11">
        <f>+Dados!K60</f>
        <v>4</v>
      </c>
      <c r="G60" s="11">
        <f>+Dados!L60</f>
        <v>4</v>
      </c>
      <c r="H60" s="11">
        <f>+Dados!M60</f>
        <v>4</v>
      </c>
      <c r="I60" s="11">
        <f>+Dados!N60</f>
        <v>5</v>
      </c>
    </row>
    <row r="61" spans="1:9" x14ac:dyDescent="0.4">
      <c r="A61" s="11" t="str">
        <f>+Dados!V61</f>
        <v>COSTA RICA</v>
      </c>
      <c r="B61" s="11" t="str">
        <f>+Dados!G61</f>
        <v>Gestão municipal</v>
      </c>
      <c r="C61" s="11">
        <f>+Dados!H61</f>
        <v>5</v>
      </c>
      <c r="D61" s="11">
        <f>+Dados!I61</f>
        <v>5</v>
      </c>
      <c r="E61" s="11">
        <f>+Dados!J61</f>
        <v>5</v>
      </c>
      <c r="F61" s="11">
        <f>+Dados!K61</f>
        <v>4</v>
      </c>
      <c r="G61" s="11">
        <f>+Dados!L61</f>
        <v>5</v>
      </c>
      <c r="H61" s="11">
        <f>+Dados!M61</f>
        <v>5</v>
      </c>
      <c r="I61" s="11">
        <f>+Dados!N61</f>
        <v>5</v>
      </c>
    </row>
    <row r="62" spans="1:9" x14ac:dyDescent="0.4">
      <c r="C62" s="11"/>
      <c r="D62" s="11"/>
      <c r="E62" s="11"/>
      <c r="F62" s="11"/>
      <c r="G62" s="11"/>
      <c r="H62" s="11"/>
      <c r="I62" s="11"/>
    </row>
    <row r="63" spans="1:9" x14ac:dyDescent="0.4">
      <c r="C63" s="11"/>
      <c r="D63" s="11"/>
      <c r="E63" s="11"/>
      <c r="F63" s="11"/>
      <c r="G63" s="11"/>
      <c r="H63" s="11"/>
      <c r="I63" s="11"/>
    </row>
    <row r="64" spans="1:9" x14ac:dyDescent="0.4">
      <c r="C64" s="11"/>
      <c r="D64" s="11"/>
      <c r="E64" s="11"/>
      <c r="F64" s="11"/>
      <c r="G64" s="11"/>
      <c r="H64" s="11"/>
      <c r="I64" s="11"/>
    </row>
    <row r="65" spans="3:9" x14ac:dyDescent="0.4">
      <c r="C65" s="11"/>
      <c r="D65" s="11"/>
      <c r="E65" s="11"/>
      <c r="F65" s="11"/>
      <c r="G65" s="11"/>
      <c r="H65" s="11"/>
      <c r="I65" s="11"/>
    </row>
    <row r="66" spans="3:9" x14ac:dyDescent="0.4">
      <c r="C66" s="11"/>
      <c r="D66" s="11"/>
      <c r="E66" s="11"/>
      <c r="F66" s="11"/>
      <c r="G66" s="11"/>
      <c r="H66" s="11"/>
      <c r="I66" s="11"/>
    </row>
    <row r="67" spans="3:9" x14ac:dyDescent="0.4">
      <c r="C67" s="11"/>
      <c r="D67" s="11"/>
      <c r="E67" s="11"/>
      <c r="F67" s="11"/>
      <c r="G67" s="11"/>
      <c r="H67" s="11"/>
      <c r="I67" s="11"/>
    </row>
    <row r="68" spans="3:9" x14ac:dyDescent="0.4">
      <c r="C68" s="11"/>
      <c r="D68" s="11"/>
      <c r="E68" s="11"/>
      <c r="F68" s="11"/>
      <c r="G68" s="11"/>
      <c r="H68" s="11"/>
      <c r="I68" s="11"/>
    </row>
    <row r="69" spans="3:9" x14ac:dyDescent="0.4">
      <c r="C69" s="11"/>
      <c r="D69" s="11"/>
      <c r="E69" s="11"/>
      <c r="F69" s="11"/>
      <c r="G69" s="11"/>
      <c r="H69" s="11"/>
      <c r="I69" s="11"/>
    </row>
    <row r="70" spans="3:9" x14ac:dyDescent="0.4">
      <c r="C70" s="11"/>
      <c r="D70" s="11"/>
      <c r="E70" s="11"/>
      <c r="F70" s="11"/>
      <c r="G70" s="11"/>
      <c r="H70" s="11"/>
      <c r="I70" s="11"/>
    </row>
    <row r="71" spans="3:9" x14ac:dyDescent="0.4">
      <c r="C71" s="11"/>
      <c r="D71" s="11"/>
      <c r="E71" s="11"/>
      <c r="F71" s="11"/>
      <c r="G71" s="11"/>
      <c r="H71" s="11"/>
      <c r="I71" s="11"/>
    </row>
    <row r="72" spans="3:9" x14ac:dyDescent="0.4">
      <c r="C72" s="11"/>
      <c r="D72" s="11"/>
      <c r="E72" s="11"/>
      <c r="F72" s="11"/>
      <c r="G72" s="11"/>
      <c r="H72" s="11"/>
      <c r="I72" s="11"/>
    </row>
    <row r="73" spans="3:9" x14ac:dyDescent="0.4">
      <c r="C73" s="11"/>
      <c r="D73" s="11"/>
      <c r="E73" s="11"/>
      <c r="F73" s="11"/>
      <c r="G73" s="11"/>
      <c r="H73" s="11"/>
      <c r="I73" s="11"/>
    </row>
    <row r="74" spans="3:9" x14ac:dyDescent="0.4">
      <c r="C74" s="11"/>
      <c r="D74" s="11"/>
      <c r="E74" s="11"/>
      <c r="F74" s="11"/>
      <c r="G74" s="11"/>
      <c r="H74" s="11"/>
      <c r="I74" s="11"/>
    </row>
    <row r="75" spans="3:9" x14ac:dyDescent="0.4">
      <c r="C75" s="11"/>
      <c r="D75" s="11"/>
      <c r="E75" s="11"/>
      <c r="F75" s="11"/>
      <c r="G75" s="11"/>
      <c r="H75" s="11"/>
      <c r="I75" s="11"/>
    </row>
    <row r="76" spans="3:9" x14ac:dyDescent="0.4">
      <c r="C76" s="11"/>
      <c r="D76" s="11"/>
      <c r="E76" s="11"/>
      <c r="F76" s="11"/>
      <c r="G76" s="11"/>
      <c r="H76" s="11"/>
      <c r="I76" s="11"/>
    </row>
    <row r="77" spans="3:9" x14ac:dyDescent="0.4">
      <c r="C77" s="11"/>
      <c r="D77" s="11"/>
      <c r="E77" s="11"/>
      <c r="F77" s="11"/>
      <c r="G77" s="11"/>
      <c r="H77" s="11"/>
      <c r="I77" s="11"/>
    </row>
    <row r="78" spans="3:9" x14ac:dyDescent="0.4">
      <c r="C78" s="11"/>
      <c r="D78" s="11"/>
      <c r="E78" s="11"/>
      <c r="F78" s="11"/>
      <c r="G78" s="11"/>
      <c r="H78" s="11"/>
      <c r="I78" s="11"/>
    </row>
    <row r="79" spans="3:9" x14ac:dyDescent="0.4">
      <c r="C79" s="11"/>
      <c r="D79" s="11"/>
      <c r="E79" s="11"/>
      <c r="F79" s="11"/>
      <c r="G79" s="11"/>
      <c r="H79" s="11"/>
      <c r="I79" s="11"/>
    </row>
    <row r="80" spans="3:9" x14ac:dyDescent="0.4">
      <c r="C80" s="11"/>
      <c r="D80" s="11"/>
      <c r="E80" s="11"/>
      <c r="F80" s="11"/>
      <c r="G80" s="11"/>
      <c r="H80" s="11"/>
      <c r="I80" s="11"/>
    </row>
    <row r="81" spans="3:9" x14ac:dyDescent="0.4">
      <c r="C81" s="11"/>
      <c r="D81" s="11"/>
      <c r="E81" s="11"/>
      <c r="F81" s="11"/>
      <c r="G81" s="11"/>
      <c r="H81" s="11"/>
      <c r="I81" s="11"/>
    </row>
    <row r="82" spans="3:9" x14ac:dyDescent="0.4">
      <c r="C82" s="11"/>
      <c r="D82" s="11"/>
      <c r="E82" s="11"/>
      <c r="F82" s="11"/>
      <c r="G82" s="11"/>
      <c r="H82" s="11"/>
      <c r="I82" s="11"/>
    </row>
    <row r="83" spans="3:9" x14ac:dyDescent="0.4">
      <c r="C83" s="11"/>
      <c r="D83" s="11"/>
      <c r="E83" s="11"/>
      <c r="F83" s="11"/>
      <c r="G83" s="11"/>
      <c r="H83" s="11"/>
      <c r="I83" s="11"/>
    </row>
    <row r="84" spans="3:9" x14ac:dyDescent="0.4">
      <c r="C84" s="11"/>
      <c r="D84" s="11"/>
      <c r="E84" s="11"/>
      <c r="F84" s="11"/>
      <c r="G84" s="11"/>
      <c r="H84" s="11"/>
      <c r="I84" s="11"/>
    </row>
    <row r="85" spans="3:9" x14ac:dyDescent="0.4">
      <c r="C85" s="11"/>
      <c r="D85" s="11"/>
      <c r="E85" s="11"/>
      <c r="F85" s="11"/>
      <c r="G85" s="11"/>
      <c r="H85" s="11"/>
      <c r="I85" s="11"/>
    </row>
    <row r="86" spans="3:9" x14ac:dyDescent="0.4">
      <c r="C86" s="11"/>
      <c r="D86" s="11"/>
      <c r="E86" s="11"/>
      <c r="F86" s="11"/>
      <c r="G86" s="11"/>
      <c r="H86" s="11"/>
      <c r="I86" s="11"/>
    </row>
  </sheetData>
  <sortState xmlns:xlrd2="http://schemas.microsoft.com/office/spreadsheetml/2017/richdata2" ref="A2:I71">
    <sortCondition ref="B2:B71"/>
  </sortState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66"/>
  <sheetViews>
    <sheetView zoomScale="70" zoomScaleNormal="70" workbookViewId="0">
      <selection activeCell="K14" sqref="K14"/>
    </sheetView>
  </sheetViews>
  <sheetFormatPr defaultColWidth="9" defaultRowHeight="19.5" x14ac:dyDescent="0.4"/>
  <cols>
    <col min="1" max="1" width="14.375" style="11" customWidth="1"/>
    <col min="2" max="2" width="20.375" style="11" customWidth="1"/>
    <col min="3" max="3" width="5.75" style="12" bestFit="1" customWidth="1"/>
    <col min="4" max="4" width="8.875" style="12" customWidth="1"/>
    <col min="5" max="8" width="7.25" style="12" bestFit="1" customWidth="1"/>
    <col min="9" max="9" width="10.375" style="12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9" t="s">
        <v>30</v>
      </c>
      <c r="B1" s="9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9" t="s">
        <v>38</v>
      </c>
    </row>
    <row r="2" spans="1:18" x14ac:dyDescent="0.4">
      <c r="A2" s="11" t="str">
        <f>+Dados!V2</f>
        <v>INACIOLÂNDIA</v>
      </c>
      <c r="B2" s="11" t="str">
        <f>+Dados!G2</f>
        <v>CACS-FUNDEB</v>
      </c>
      <c r="C2" s="11">
        <f>+Dados!H2</f>
        <v>5</v>
      </c>
      <c r="D2" s="11">
        <f>+Dados!I2</f>
        <v>5</v>
      </c>
      <c r="E2" s="11">
        <f>+Dados!J2</f>
        <v>4</v>
      </c>
      <c r="F2" s="11">
        <f>+Dados!K2</f>
        <v>5</v>
      </c>
      <c r="G2" s="11">
        <f>+Dados!L2</f>
        <v>5</v>
      </c>
      <c r="H2" s="11">
        <f>+Dados!M2</f>
        <v>5</v>
      </c>
      <c r="I2" s="11">
        <f>+Dados!N2</f>
        <v>4</v>
      </c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A3" s="11" t="str">
        <f>+Dados!V3</f>
        <v>ITAJÁ</v>
      </c>
      <c r="B3" s="11" t="str">
        <f>+Dados!G3</f>
        <v>CACS-FUNDEB</v>
      </c>
      <c r="C3" s="11">
        <f>+Dados!H3</f>
        <v>5</v>
      </c>
      <c r="D3" s="11">
        <f>+Dados!I3</f>
        <v>5</v>
      </c>
      <c r="E3" s="11">
        <f>+Dados!J3</f>
        <v>5</v>
      </c>
      <c r="F3" s="11">
        <f>+Dados!K3</f>
        <v>5</v>
      </c>
      <c r="G3" s="11">
        <f>+Dados!L3</f>
        <v>4</v>
      </c>
      <c r="H3" s="11">
        <f>+Dados!M3</f>
        <v>4</v>
      </c>
      <c r="I3" s="11">
        <f>+Dados!N3</f>
        <v>5</v>
      </c>
      <c r="N3" s="11">
        <v>1</v>
      </c>
      <c r="O3" s="11">
        <v>2</v>
      </c>
      <c r="P3" s="11">
        <v>3</v>
      </c>
      <c r="Q3" s="11">
        <v>4</v>
      </c>
      <c r="R3" s="11">
        <v>5</v>
      </c>
    </row>
    <row r="4" spans="1:18" x14ac:dyDescent="0.4">
      <c r="A4" s="11" t="str">
        <f>+Dados!V4</f>
        <v>ITARUMÃ</v>
      </c>
      <c r="B4" s="11" t="str">
        <f>+Dados!G4</f>
        <v>CACS-FUNDEB</v>
      </c>
      <c r="C4" s="11">
        <f>+Dados!H4</f>
        <v>4</v>
      </c>
      <c r="D4" s="11">
        <f>+Dados!I4</f>
        <v>4</v>
      </c>
      <c r="E4" s="11">
        <f>+Dados!J4</f>
        <v>4</v>
      </c>
      <c r="F4" s="11">
        <f>+Dados!K4</f>
        <v>4</v>
      </c>
      <c r="G4" s="11">
        <f>+Dados!L4</f>
        <v>4</v>
      </c>
      <c r="H4" s="11">
        <f>+Dados!M4</f>
        <v>4</v>
      </c>
      <c r="I4" s="11">
        <f>+Dados!N4</f>
        <v>5</v>
      </c>
    </row>
    <row r="5" spans="1:18" x14ac:dyDescent="0.4">
      <c r="A5" s="11" t="str">
        <f>+Dados!V5</f>
        <v>CHAPADÃO DO CÉU</v>
      </c>
      <c r="B5" s="11" t="str">
        <f>+Dados!G5</f>
        <v>CACS-FUNDEB</v>
      </c>
      <c r="C5" s="11">
        <f>+Dados!H5</f>
        <v>5</v>
      </c>
      <c r="D5" s="11">
        <f>+Dados!I5</f>
        <v>5</v>
      </c>
      <c r="E5" s="11">
        <f>+Dados!J5</f>
        <v>5</v>
      </c>
      <c r="F5" s="11">
        <f>+Dados!K5</f>
        <v>5</v>
      </c>
      <c r="G5" s="11">
        <f>+Dados!L5</f>
        <v>5</v>
      </c>
      <c r="H5" s="11">
        <f>+Dados!M5</f>
        <v>5</v>
      </c>
      <c r="I5" s="11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11" t="str">
        <f>+Dados!V6</f>
        <v>JATAÍ</v>
      </c>
      <c r="B6" s="11" t="str">
        <f>+Dados!G6</f>
        <v>CACS-FUNDEB</v>
      </c>
      <c r="C6" s="11">
        <f>+Dados!H6</f>
        <v>5</v>
      </c>
      <c r="D6" s="11">
        <f>+Dados!I6</f>
        <v>5</v>
      </c>
      <c r="E6" s="11">
        <f>+Dados!J6</f>
        <v>5</v>
      </c>
      <c r="F6" s="11">
        <f>+Dados!K6</f>
        <v>5</v>
      </c>
      <c r="G6" s="11">
        <f>+Dados!L6</f>
        <v>5</v>
      </c>
      <c r="H6" s="11">
        <f>+Dados!M6</f>
        <v>5</v>
      </c>
      <c r="I6" s="11">
        <f>+Dados!N6</f>
        <v>5</v>
      </c>
      <c r="M6" s="1" t="s">
        <v>32</v>
      </c>
      <c r="N6" s="13">
        <f>COUNTIF(C$2:C$51,$N3)/COUNT(C$2:C$51)</f>
        <v>0</v>
      </c>
      <c r="O6" s="13">
        <f>COUNTIF(C$2:C$51,$O3)/COUNT(C$2:C$51)</f>
        <v>0</v>
      </c>
      <c r="P6" s="13">
        <f>COUNTIF(C$2:C$51,$P3)/COUNT(C$2:C$51)</f>
        <v>0</v>
      </c>
      <c r="Q6" s="13">
        <f>COUNTIF(C$2:C$51,$Q3)/COUNT(C$2:C$51)</f>
        <v>0.18181818181818182</v>
      </c>
      <c r="R6" s="13">
        <f>COUNTIF(C$2:C$51,$R3)/COUNT(C$2:C$51)</f>
        <v>0.81818181818181823</v>
      </c>
    </row>
    <row r="7" spans="1:18" x14ac:dyDescent="0.4">
      <c r="A7" s="11" t="str">
        <f>+Dados!V7</f>
        <v>SÃO MIGUEL DO ARAGUAIA</v>
      </c>
      <c r="B7" s="11" t="str">
        <f>+Dados!G7</f>
        <v>CACS-FUNDEB</v>
      </c>
      <c r="C7" s="11">
        <f>+Dados!H7</f>
        <v>5</v>
      </c>
      <c r="D7" s="11">
        <f>+Dados!I7</f>
        <v>4</v>
      </c>
      <c r="E7" s="11">
        <f>+Dados!J7</f>
        <v>5</v>
      </c>
      <c r="F7" s="11">
        <f>+Dados!K7</f>
        <v>5</v>
      </c>
      <c r="G7" s="11">
        <f>+Dados!L7</f>
        <v>5</v>
      </c>
      <c r="H7" s="11">
        <f>+Dados!M7</f>
        <v>5</v>
      </c>
      <c r="I7" s="11">
        <f>+Dados!N7</f>
        <v>5</v>
      </c>
      <c r="M7" s="1" t="s">
        <v>33</v>
      </c>
      <c r="N7" s="13">
        <f>COUNTIF(D$2:D$51,$N3)/COUNT(D$2:D$51)</f>
        <v>0</v>
      </c>
      <c r="O7" s="13">
        <f>COUNTIF(D$2:D$51,$O3)/COUNT(D$2:D$51)</f>
        <v>0</v>
      </c>
      <c r="P7" s="13">
        <f>COUNTIF(D$2:D$51,$P3)/COUNT(D$2:D$51)</f>
        <v>9.0909090909090912E-2</v>
      </c>
      <c r="Q7" s="13">
        <f>COUNTIF(D$2:D$51,$Q3)/COUNT(D$2:D$51)</f>
        <v>0.27272727272727271</v>
      </c>
      <c r="R7" s="13">
        <f>COUNTIF(D$2:D$51,$R3)/COUNT(D$2:D$51)</f>
        <v>0.63636363636363635</v>
      </c>
    </row>
    <row r="8" spans="1:18" x14ac:dyDescent="0.4">
      <c r="A8" s="11" t="str">
        <f>+Dados!V8</f>
        <v>CACHOEIRA ALTA</v>
      </c>
      <c r="B8" s="11" t="str">
        <f>+Dados!G8</f>
        <v>CACS-FUNDEB</v>
      </c>
      <c r="C8" s="11">
        <f>+Dados!H8</f>
        <v>5</v>
      </c>
      <c r="D8" s="11">
        <f>+Dados!I8</f>
        <v>5</v>
      </c>
      <c r="E8" s="11">
        <f>+Dados!J8</f>
        <v>5</v>
      </c>
      <c r="F8" s="11">
        <f>+Dados!K8</f>
        <v>5</v>
      </c>
      <c r="G8" s="11">
        <f>+Dados!L8</f>
        <v>5</v>
      </c>
      <c r="H8" s="11">
        <f>+Dados!M8</f>
        <v>5</v>
      </c>
      <c r="I8" s="11">
        <f>+Dados!N8</f>
        <v>5</v>
      </c>
      <c r="M8" s="1" t="s">
        <v>34</v>
      </c>
      <c r="N8" s="13">
        <f>COUNTIF(E$2:E$51,$N3)/COUNT(E$2:E$51)</f>
        <v>0</v>
      </c>
      <c r="O8" s="13">
        <f>COUNTIF(E$2:E$51,$O3)/COUNT(E$2:E$51)</f>
        <v>0</v>
      </c>
      <c r="P8" s="13">
        <f>COUNTIF(E$2:E$51,$P3)/COUNT(E$2:E$51)</f>
        <v>0</v>
      </c>
      <c r="Q8" s="13">
        <f>COUNTIF(E$2:E$51,$Q3)/COUNT(E$2:E$51)</f>
        <v>0.27272727272727271</v>
      </c>
      <c r="R8" s="13">
        <f>COUNTIF(E$2:E$51,$R3)/COUNT(E$2:E$51)</f>
        <v>0.72727272727272729</v>
      </c>
    </row>
    <row r="9" spans="1:18" x14ac:dyDescent="0.4">
      <c r="A9" s="11" t="str">
        <f>+Dados!V9</f>
        <v>SERRANÓPOLIS</v>
      </c>
      <c r="B9" s="11" t="str">
        <f>+Dados!G9</f>
        <v>CACS-FUNDEB</v>
      </c>
      <c r="C9" s="11">
        <f>+Dados!H9</f>
        <v>5</v>
      </c>
      <c r="D9" s="11">
        <f>+Dados!I9</f>
        <v>5</v>
      </c>
      <c r="E9" s="11">
        <f>+Dados!J9</f>
        <v>5</v>
      </c>
      <c r="F9" s="11">
        <f>+Dados!K9</f>
        <v>5</v>
      </c>
      <c r="G9" s="11">
        <f>+Dados!L9</f>
        <v>5</v>
      </c>
      <c r="H9" s="11">
        <f>+Dados!M9</f>
        <v>5</v>
      </c>
      <c r="I9" s="11">
        <f>+Dados!N9</f>
        <v>5</v>
      </c>
      <c r="M9" s="1" t="s">
        <v>35</v>
      </c>
      <c r="N9" s="13">
        <f>COUNTIF(F$2:F$51,$N3)/COUNT(F$2:F$51)</f>
        <v>0</v>
      </c>
      <c r="O9" s="13">
        <f>COUNTIF(F$2:F$51,$O3)/COUNT(F$2:F$51)</f>
        <v>0</v>
      </c>
      <c r="P9" s="13">
        <f>COUNTIF(F$2:F$51,$P3)/COUNT(F$2:F$51)</f>
        <v>0</v>
      </c>
      <c r="Q9" s="13">
        <f>COUNTIF(F$2:F$51,$Q3)/COUNT(F$2:F$51)</f>
        <v>0.18181818181818182</v>
      </c>
      <c r="R9" s="13">
        <f>COUNTIF(F$2:F$51,$R3)/COUNT(F$2:F$51)</f>
        <v>0.81818181818181823</v>
      </c>
    </row>
    <row r="10" spans="1:18" x14ac:dyDescent="0.4">
      <c r="A10" s="11" t="str">
        <f>+Dados!V10</f>
        <v>PALESTINA DE GOIÁS</v>
      </c>
      <c r="B10" s="11" t="str">
        <f>+Dados!G10</f>
        <v>CACS-FUNDEB</v>
      </c>
      <c r="C10" s="11">
        <f>+Dados!H10</f>
        <v>4</v>
      </c>
      <c r="D10" s="11">
        <f>+Dados!I10</f>
        <v>4</v>
      </c>
      <c r="E10" s="11">
        <f>+Dados!J10</f>
        <v>4</v>
      </c>
      <c r="F10" s="11">
        <f>+Dados!K10</f>
        <v>4</v>
      </c>
      <c r="G10" s="11">
        <f>+Dados!L10</f>
        <v>4</v>
      </c>
      <c r="H10" s="11">
        <f>+Dados!M10</f>
        <v>4</v>
      </c>
      <c r="I10" s="11">
        <f>+Dados!N10</f>
        <v>4</v>
      </c>
      <c r="M10" s="1" t="s">
        <v>36</v>
      </c>
      <c r="N10" s="13">
        <f>COUNTIF(G$2:G$51,$N3)/COUNT(G$2:G$51)</f>
        <v>0</v>
      </c>
      <c r="O10" s="13">
        <f>COUNTIF(G$2:G$51,$O3)/COUNT(G$2:G$51)</f>
        <v>0</v>
      </c>
      <c r="P10" s="13">
        <f>COUNTIF(G$2:G$51,$P3)/COUNT(G$2:G$51)</f>
        <v>0</v>
      </c>
      <c r="Q10" s="13">
        <f>COUNTIF(G$2:G$51,$Q3)/COUNT(G$2:G$51)</f>
        <v>0.27272727272727271</v>
      </c>
      <c r="R10" s="13">
        <f>COUNTIF(G$2:G$51,$R3)/COUNT(G$2:G$51)</f>
        <v>0.72727272727272729</v>
      </c>
    </row>
    <row r="11" spans="1:18" x14ac:dyDescent="0.4">
      <c r="A11" s="11" t="str">
        <f>+Dados!V11</f>
        <v>SERRANÓPOLIS</v>
      </c>
      <c r="B11" s="11" t="str">
        <f>+Dados!G11</f>
        <v>CACS-FUNDEB</v>
      </c>
      <c r="C11" s="11">
        <f>+Dados!H11</f>
        <v>5</v>
      </c>
      <c r="D11" s="11">
        <f>+Dados!I11</f>
        <v>5</v>
      </c>
      <c r="E11" s="11">
        <f>+Dados!J11</f>
        <v>5</v>
      </c>
      <c r="F11" s="11">
        <f>+Dados!K11</f>
        <v>5</v>
      </c>
      <c r="G11" s="11">
        <f>+Dados!L11</f>
        <v>5</v>
      </c>
      <c r="H11" s="11">
        <f>+Dados!M11</f>
        <v>5</v>
      </c>
      <c r="I11" s="11">
        <f>+Dados!N11</f>
        <v>5</v>
      </c>
      <c r="M11" s="1" t="s">
        <v>37</v>
      </c>
      <c r="N11" s="13">
        <f>COUNTIF(H$2:H$51,$N3)/COUNT(H$2:H$51)</f>
        <v>0</v>
      </c>
      <c r="O11" s="13">
        <f>COUNTIF(H$2:H$51,$O3)/COUNT(H$2:H$51)</f>
        <v>0</v>
      </c>
      <c r="P11" s="13">
        <f>COUNTIF(H$2:H$51,$P3)/COUNT(H$2:H$51)</f>
        <v>0</v>
      </c>
      <c r="Q11" s="13">
        <f>COUNTIF(H$2:H$51,$Q3)/COUNT(H$2:H$51)</f>
        <v>0.27272727272727271</v>
      </c>
      <c r="R11" s="13">
        <f>COUNTIF(H$2:H$51,$R3)/COUNT(H$2:H$51)</f>
        <v>0.72727272727272729</v>
      </c>
    </row>
    <row r="12" spans="1:18" x14ac:dyDescent="0.4">
      <c r="A12" s="11" t="str">
        <f>+Dados!V12</f>
        <v>CASTELÂNDIA</v>
      </c>
      <c r="B12" s="11" t="str">
        <f>+Dados!G12</f>
        <v>CACS-FUNDEB</v>
      </c>
      <c r="C12" s="11">
        <f>+Dados!H12</f>
        <v>5</v>
      </c>
      <c r="D12" s="11">
        <f>+Dados!I12</f>
        <v>3</v>
      </c>
      <c r="E12" s="11">
        <f>+Dados!J12</f>
        <v>5</v>
      </c>
      <c r="F12" s="11">
        <f>+Dados!K12</f>
        <v>5</v>
      </c>
      <c r="G12" s="11">
        <f>+Dados!L12</f>
        <v>5</v>
      </c>
      <c r="H12" s="11">
        <f>+Dados!M12</f>
        <v>5</v>
      </c>
      <c r="I12" s="11">
        <f>+Dados!N12</f>
        <v>5</v>
      </c>
      <c r="M12" s="1" t="s">
        <v>38</v>
      </c>
      <c r="N12" s="13">
        <f>COUNTIF(I$2:I$51,$N3)/COUNT(I$2:I$51)</f>
        <v>0</v>
      </c>
      <c r="O12" s="13">
        <f>COUNTIF(I$2:I$51,$O3)/COUNT(I$2:I$51)</f>
        <v>0</v>
      </c>
      <c r="P12" s="13">
        <f>COUNTIF(I$2:I$51,$P3)/COUNT(I$2:I$51)</f>
        <v>0</v>
      </c>
      <c r="Q12" s="13">
        <f>COUNTIF(I$2:I$51,$Q3)/COUNT(I$2:I$51)</f>
        <v>0.18181818181818182</v>
      </c>
      <c r="R12" s="13">
        <f>COUNTIF(I$2:I$51,$R3)/COUNT(I$2:I$51)</f>
        <v>0.81818181818181823</v>
      </c>
    </row>
    <row r="13" spans="1:18" x14ac:dyDescent="0.4">
      <c r="C13" s="11"/>
      <c r="D13" s="11"/>
      <c r="E13" s="11"/>
      <c r="F13" s="11"/>
      <c r="G13" s="11"/>
      <c r="H13" s="11"/>
      <c r="I13" s="11"/>
    </row>
    <row r="14" spans="1:18" x14ac:dyDescent="0.4">
      <c r="C14" s="11"/>
      <c r="D14" s="11"/>
      <c r="E14" s="11"/>
      <c r="F14" s="11"/>
      <c r="G14" s="11"/>
      <c r="H14" s="11"/>
      <c r="I14" s="11"/>
    </row>
    <row r="15" spans="1:18" x14ac:dyDescent="0.4">
      <c r="C15" s="11"/>
      <c r="D15" s="11"/>
      <c r="E15" s="11"/>
      <c r="F15" s="11"/>
      <c r="G15" s="11"/>
      <c r="H15" s="11"/>
      <c r="I15" s="11"/>
    </row>
    <row r="16" spans="1:18" x14ac:dyDescent="0.4">
      <c r="C16" s="11"/>
      <c r="D16" s="11"/>
      <c r="E16" s="11"/>
      <c r="F16" s="11"/>
      <c r="G16" s="11"/>
      <c r="H16" s="11"/>
      <c r="I16" s="11"/>
    </row>
    <row r="17" spans="3:9" x14ac:dyDescent="0.4">
      <c r="C17" s="11"/>
      <c r="D17" s="11"/>
      <c r="E17" s="11"/>
      <c r="F17" s="11"/>
      <c r="G17" s="11"/>
      <c r="H17" s="11"/>
      <c r="I17" s="11"/>
    </row>
    <row r="18" spans="3:9" x14ac:dyDescent="0.4">
      <c r="C18" s="11"/>
      <c r="D18" s="11"/>
      <c r="E18" s="11"/>
      <c r="F18" s="11"/>
      <c r="G18" s="11"/>
      <c r="H18" s="11"/>
      <c r="I18" s="11"/>
    </row>
    <row r="19" spans="3:9" x14ac:dyDescent="0.4">
      <c r="C19" s="11"/>
      <c r="D19" s="11"/>
      <c r="E19" s="11"/>
      <c r="F19" s="11"/>
      <c r="G19" s="11"/>
      <c r="H19" s="11"/>
      <c r="I19" s="11"/>
    </row>
    <row r="20" spans="3:9" x14ac:dyDescent="0.4">
      <c r="C20" s="11"/>
      <c r="D20" s="11"/>
      <c r="E20" s="11"/>
      <c r="F20" s="11"/>
      <c r="G20" s="11"/>
      <c r="H20" s="11"/>
      <c r="I20" s="11"/>
    </row>
    <row r="21" spans="3:9" x14ac:dyDescent="0.4">
      <c r="C21" s="11"/>
      <c r="D21" s="11"/>
      <c r="E21" s="11"/>
      <c r="F21" s="11"/>
      <c r="G21" s="11"/>
      <c r="H21" s="11"/>
      <c r="I21" s="11"/>
    </row>
    <row r="22" spans="3:9" x14ac:dyDescent="0.4">
      <c r="C22" s="11"/>
      <c r="D22" s="11"/>
      <c r="E22" s="11"/>
      <c r="F22" s="11"/>
      <c r="G22" s="11"/>
      <c r="H22" s="11"/>
      <c r="I22" s="11"/>
    </row>
    <row r="23" spans="3:9" x14ac:dyDescent="0.4">
      <c r="C23" s="11"/>
      <c r="D23" s="11"/>
      <c r="E23" s="11"/>
      <c r="F23" s="11"/>
      <c r="G23" s="11"/>
      <c r="H23" s="11"/>
      <c r="I23" s="11"/>
    </row>
    <row r="24" spans="3:9" x14ac:dyDescent="0.4">
      <c r="C24" s="11"/>
      <c r="D24" s="11"/>
      <c r="E24" s="11"/>
      <c r="F24" s="11"/>
      <c r="G24" s="11"/>
      <c r="H24" s="11"/>
      <c r="I24" s="11"/>
    </row>
    <row r="25" spans="3:9" x14ac:dyDescent="0.4">
      <c r="C25" s="11"/>
      <c r="D25" s="11"/>
      <c r="E25" s="11"/>
      <c r="F25" s="11"/>
      <c r="G25" s="11"/>
      <c r="H25" s="11"/>
      <c r="I25" s="11"/>
    </row>
    <row r="26" spans="3:9" x14ac:dyDescent="0.4">
      <c r="C26" s="11"/>
      <c r="D26" s="11"/>
      <c r="E26" s="11"/>
      <c r="F26" s="11"/>
      <c r="G26" s="11"/>
      <c r="H26" s="11"/>
      <c r="I26" s="11"/>
    </row>
    <row r="27" spans="3:9" x14ac:dyDescent="0.4">
      <c r="C27" s="11"/>
      <c r="D27" s="11"/>
      <c r="E27" s="11"/>
      <c r="F27" s="11"/>
      <c r="G27" s="11"/>
      <c r="H27" s="11"/>
      <c r="I27" s="11"/>
    </row>
    <row r="28" spans="3:9" x14ac:dyDescent="0.4">
      <c r="C28" s="11"/>
      <c r="D28" s="11"/>
      <c r="E28" s="11"/>
      <c r="F28" s="11"/>
      <c r="G28" s="11"/>
      <c r="H28" s="11"/>
      <c r="I28" s="11"/>
    </row>
    <row r="29" spans="3:9" x14ac:dyDescent="0.4">
      <c r="C29" s="11"/>
      <c r="D29" s="11"/>
      <c r="E29" s="11"/>
      <c r="F29" s="11"/>
      <c r="G29" s="11"/>
      <c r="H29" s="11"/>
      <c r="I29" s="11"/>
    </row>
    <row r="30" spans="3:9" x14ac:dyDescent="0.4">
      <c r="C30" s="11"/>
      <c r="D30" s="11"/>
      <c r="E30" s="11"/>
      <c r="F30" s="11"/>
      <c r="G30" s="11"/>
      <c r="H30" s="11"/>
      <c r="I30" s="11"/>
    </row>
    <row r="31" spans="3:9" x14ac:dyDescent="0.4">
      <c r="C31" s="11"/>
      <c r="D31" s="11"/>
      <c r="E31" s="11"/>
      <c r="F31" s="11"/>
      <c r="G31" s="11"/>
      <c r="H31" s="11"/>
      <c r="I31" s="11"/>
    </row>
    <row r="32" spans="3:9" x14ac:dyDescent="0.4">
      <c r="C32" s="11"/>
      <c r="D32" s="11"/>
      <c r="E32" s="11"/>
      <c r="F32" s="11"/>
      <c r="G32" s="11"/>
      <c r="H32" s="11"/>
      <c r="I32" s="11"/>
    </row>
    <row r="33" spans="3:9" x14ac:dyDescent="0.4">
      <c r="C33" s="11"/>
      <c r="D33" s="11"/>
      <c r="E33" s="11"/>
      <c r="F33" s="11"/>
      <c r="G33" s="11"/>
      <c r="H33" s="11"/>
      <c r="I33" s="11"/>
    </row>
    <row r="34" spans="3:9" x14ac:dyDescent="0.4">
      <c r="C34" s="11"/>
      <c r="D34" s="11"/>
      <c r="E34" s="11"/>
      <c r="F34" s="11"/>
      <c r="G34" s="11"/>
      <c r="H34" s="11"/>
      <c r="I34" s="11"/>
    </row>
    <row r="35" spans="3:9" x14ac:dyDescent="0.4">
      <c r="C35" s="11"/>
      <c r="D35" s="11"/>
      <c r="E35" s="11"/>
      <c r="F35" s="11"/>
      <c r="G35" s="11"/>
      <c r="H35" s="11"/>
      <c r="I35" s="11"/>
    </row>
    <row r="36" spans="3:9" x14ac:dyDescent="0.4">
      <c r="C36" s="11"/>
      <c r="D36" s="11"/>
      <c r="E36" s="11"/>
      <c r="F36" s="11"/>
      <c r="G36" s="11"/>
      <c r="H36" s="11"/>
      <c r="I36" s="11"/>
    </row>
    <row r="37" spans="3:9" x14ac:dyDescent="0.4">
      <c r="C37" s="11"/>
      <c r="D37" s="11"/>
      <c r="E37" s="11"/>
      <c r="F37" s="11"/>
      <c r="G37" s="11"/>
      <c r="H37" s="11"/>
      <c r="I37" s="11"/>
    </row>
    <row r="38" spans="3:9" x14ac:dyDescent="0.4">
      <c r="C38" s="11"/>
      <c r="D38" s="11"/>
      <c r="E38" s="11"/>
      <c r="F38" s="11"/>
      <c r="G38" s="11"/>
      <c r="H38" s="11"/>
      <c r="I38" s="11"/>
    </row>
    <row r="39" spans="3:9" x14ac:dyDescent="0.4">
      <c r="C39" s="11"/>
      <c r="D39" s="11"/>
      <c r="E39" s="11"/>
      <c r="F39" s="11"/>
      <c r="G39" s="11"/>
      <c r="H39" s="11"/>
      <c r="I39" s="11"/>
    </row>
    <row r="40" spans="3:9" x14ac:dyDescent="0.4">
      <c r="C40" s="11"/>
      <c r="D40" s="11"/>
      <c r="E40" s="11"/>
      <c r="F40" s="11"/>
      <c r="G40" s="11"/>
      <c r="H40" s="11"/>
      <c r="I40" s="11"/>
    </row>
    <row r="41" spans="3:9" x14ac:dyDescent="0.4">
      <c r="C41" s="11"/>
      <c r="D41" s="11"/>
      <c r="E41" s="11"/>
      <c r="F41" s="11"/>
      <c r="G41" s="11"/>
      <c r="H41" s="11"/>
      <c r="I41" s="11"/>
    </row>
    <row r="42" spans="3:9" x14ac:dyDescent="0.4">
      <c r="C42" s="11"/>
      <c r="D42" s="11"/>
      <c r="E42" s="11"/>
      <c r="F42" s="11"/>
      <c r="G42" s="11"/>
      <c r="H42" s="11"/>
      <c r="I42" s="11"/>
    </row>
    <row r="43" spans="3:9" x14ac:dyDescent="0.4">
      <c r="C43" s="11"/>
      <c r="D43" s="11"/>
      <c r="E43" s="11"/>
      <c r="F43" s="11"/>
      <c r="G43" s="11"/>
      <c r="H43" s="11"/>
      <c r="I43" s="11"/>
    </row>
    <row r="44" spans="3:9" x14ac:dyDescent="0.4">
      <c r="C44" s="11"/>
      <c r="D44" s="11"/>
      <c r="E44" s="11"/>
      <c r="F44" s="11"/>
      <c r="G44" s="11"/>
      <c r="H44" s="11"/>
      <c r="I44" s="11"/>
    </row>
    <row r="45" spans="3:9" x14ac:dyDescent="0.4">
      <c r="C45" s="11"/>
      <c r="D45" s="11"/>
      <c r="E45" s="11"/>
      <c r="F45" s="11"/>
      <c r="G45" s="11"/>
      <c r="H45" s="11"/>
      <c r="I45" s="11"/>
    </row>
    <row r="46" spans="3:9" x14ac:dyDescent="0.4">
      <c r="C46" s="11"/>
      <c r="D46" s="11"/>
      <c r="E46" s="11"/>
      <c r="F46" s="11"/>
      <c r="G46" s="11"/>
      <c r="H46" s="11"/>
      <c r="I46" s="11"/>
    </row>
    <row r="47" spans="3:9" x14ac:dyDescent="0.4">
      <c r="C47" s="11"/>
      <c r="D47" s="11"/>
      <c r="E47" s="11"/>
      <c r="F47" s="11"/>
      <c r="G47" s="11"/>
      <c r="H47" s="11"/>
      <c r="I47" s="11"/>
    </row>
    <row r="48" spans="3:9" x14ac:dyDescent="0.4">
      <c r="C48" s="11"/>
      <c r="D48" s="11"/>
      <c r="E48" s="11"/>
      <c r="F48" s="11"/>
      <c r="G48" s="11"/>
      <c r="H48" s="11"/>
      <c r="I48" s="11"/>
    </row>
    <row r="49" spans="3:9" x14ac:dyDescent="0.4">
      <c r="C49" s="11"/>
      <c r="D49" s="11"/>
      <c r="E49" s="11"/>
      <c r="F49" s="11"/>
      <c r="G49" s="11"/>
      <c r="H49" s="11"/>
      <c r="I49" s="11"/>
    </row>
    <row r="50" spans="3:9" x14ac:dyDescent="0.4">
      <c r="C50" s="11"/>
      <c r="D50" s="11"/>
      <c r="E50" s="11"/>
      <c r="F50" s="11"/>
      <c r="G50" s="11"/>
      <c r="H50" s="11"/>
      <c r="I50" s="11"/>
    </row>
    <row r="51" spans="3:9" x14ac:dyDescent="0.4">
      <c r="C51" s="11"/>
      <c r="D51" s="11"/>
      <c r="E51" s="11"/>
      <c r="F51" s="11"/>
      <c r="G51" s="11"/>
      <c r="H51" s="11"/>
      <c r="I51" s="11"/>
    </row>
    <row r="52" spans="3:9" x14ac:dyDescent="0.4">
      <c r="C52" s="11"/>
      <c r="D52" s="11"/>
      <c r="E52" s="11"/>
      <c r="F52" s="11"/>
      <c r="G52" s="11"/>
      <c r="H52" s="11"/>
      <c r="I52" s="11"/>
    </row>
    <row r="53" spans="3:9" x14ac:dyDescent="0.4">
      <c r="C53" s="11"/>
      <c r="D53" s="11"/>
      <c r="E53" s="11"/>
      <c r="F53" s="11"/>
      <c r="G53" s="11"/>
      <c r="H53" s="11"/>
      <c r="I53" s="11"/>
    </row>
    <row r="54" spans="3:9" x14ac:dyDescent="0.4">
      <c r="C54" s="11"/>
      <c r="D54" s="11"/>
      <c r="E54" s="11"/>
      <c r="F54" s="11"/>
      <c r="G54" s="11"/>
      <c r="H54" s="11"/>
      <c r="I54" s="11"/>
    </row>
    <row r="55" spans="3:9" x14ac:dyDescent="0.4">
      <c r="C55" s="11"/>
      <c r="D55" s="11"/>
      <c r="E55" s="11"/>
      <c r="F55" s="11"/>
      <c r="G55" s="11"/>
      <c r="H55" s="11"/>
      <c r="I55" s="11"/>
    </row>
    <row r="56" spans="3:9" x14ac:dyDescent="0.4">
      <c r="C56" s="11"/>
      <c r="D56" s="11"/>
      <c r="E56" s="11"/>
      <c r="F56" s="11"/>
      <c r="G56" s="11"/>
      <c r="H56" s="11"/>
      <c r="I56" s="11"/>
    </row>
    <row r="57" spans="3:9" x14ac:dyDescent="0.4">
      <c r="C57" s="11"/>
      <c r="D57" s="11"/>
      <c r="E57" s="11"/>
      <c r="F57" s="11"/>
      <c r="G57" s="11"/>
      <c r="H57" s="11"/>
      <c r="I57" s="11"/>
    </row>
    <row r="58" spans="3:9" x14ac:dyDescent="0.4">
      <c r="C58" s="11"/>
      <c r="D58" s="11"/>
      <c r="E58" s="11"/>
      <c r="F58" s="11"/>
      <c r="G58" s="11"/>
      <c r="H58" s="11"/>
      <c r="I58" s="11"/>
    </row>
    <row r="59" spans="3:9" x14ac:dyDescent="0.4">
      <c r="C59" s="11"/>
      <c r="D59" s="11"/>
      <c r="E59" s="11"/>
      <c r="F59" s="11"/>
      <c r="G59" s="11"/>
      <c r="H59" s="11"/>
      <c r="I59" s="11"/>
    </row>
    <row r="60" spans="3:9" x14ac:dyDescent="0.4">
      <c r="C60" s="11"/>
      <c r="D60" s="11"/>
      <c r="E60" s="11"/>
      <c r="F60" s="11"/>
      <c r="G60" s="11"/>
      <c r="H60" s="11"/>
      <c r="I60" s="11"/>
    </row>
    <row r="61" spans="3:9" x14ac:dyDescent="0.4">
      <c r="C61" s="11"/>
      <c r="D61" s="11"/>
      <c r="E61" s="11"/>
      <c r="F61" s="11"/>
      <c r="G61" s="11"/>
      <c r="H61" s="11"/>
      <c r="I61" s="11"/>
    </row>
    <row r="62" spans="3:9" x14ac:dyDescent="0.4">
      <c r="C62" s="11"/>
      <c r="D62" s="11"/>
      <c r="E62" s="11"/>
      <c r="F62" s="11"/>
      <c r="G62" s="11"/>
      <c r="H62" s="11"/>
      <c r="I62" s="11"/>
    </row>
    <row r="63" spans="3:9" x14ac:dyDescent="0.4">
      <c r="C63" s="11"/>
      <c r="D63" s="11"/>
      <c r="E63" s="11"/>
      <c r="F63" s="11"/>
      <c r="G63" s="11"/>
      <c r="H63" s="11"/>
      <c r="I63" s="11"/>
    </row>
    <row r="64" spans="3:9" x14ac:dyDescent="0.4">
      <c r="C64" s="11"/>
      <c r="D64" s="11"/>
      <c r="E64" s="11"/>
      <c r="F64" s="11"/>
      <c r="G64" s="11"/>
      <c r="H64" s="11"/>
      <c r="I64" s="11"/>
    </row>
    <row r="65" spans="3:9" x14ac:dyDescent="0.4">
      <c r="C65" s="11"/>
      <c r="D65" s="11"/>
      <c r="E65" s="11"/>
      <c r="F65" s="11"/>
      <c r="G65" s="11"/>
      <c r="H65" s="11"/>
      <c r="I65" s="11"/>
    </row>
    <row r="66" spans="3:9" x14ac:dyDescent="0.4">
      <c r="C66" s="11"/>
      <c r="D66" s="11"/>
      <c r="E66" s="11"/>
      <c r="F66" s="11"/>
      <c r="G66" s="11"/>
      <c r="H66" s="11"/>
      <c r="I66" s="11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79"/>
  <sheetViews>
    <sheetView topLeftCell="A13" zoomScale="85" zoomScaleNormal="85" workbookViewId="0">
      <selection activeCell="M29" sqref="M29"/>
    </sheetView>
  </sheetViews>
  <sheetFormatPr defaultColWidth="9" defaultRowHeight="19.5" x14ac:dyDescent="0.4"/>
  <cols>
    <col min="1" max="1" width="14.375" style="11" customWidth="1"/>
    <col min="2" max="2" width="20.375" style="11" customWidth="1"/>
    <col min="3" max="3" width="5.75" style="12" bestFit="1" customWidth="1"/>
    <col min="4" max="4" width="8.875" style="12" customWidth="1"/>
    <col min="5" max="8" width="7.25" style="12" bestFit="1" customWidth="1"/>
    <col min="9" max="9" width="10.375" style="12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9" t="s">
        <v>30</v>
      </c>
      <c r="B1" s="9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9" t="s">
        <v>38</v>
      </c>
    </row>
    <row r="2" spans="1:18" x14ac:dyDescent="0.4">
      <c r="C2" s="11"/>
      <c r="D2" s="11"/>
      <c r="E2" s="11"/>
      <c r="F2" s="11"/>
      <c r="G2" s="11"/>
      <c r="H2" s="11"/>
      <c r="I2" s="11"/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C3" s="11"/>
      <c r="D3" s="11"/>
      <c r="E3" s="11"/>
      <c r="F3" s="11"/>
      <c r="G3" s="11"/>
      <c r="H3" s="11"/>
      <c r="I3" s="11"/>
      <c r="N3" s="11">
        <v>1</v>
      </c>
      <c r="O3" s="11">
        <v>2</v>
      </c>
      <c r="P3" s="11">
        <v>3</v>
      </c>
      <c r="Q3" s="11">
        <v>4</v>
      </c>
      <c r="R3" s="11">
        <v>5</v>
      </c>
    </row>
    <row r="4" spans="1:18" x14ac:dyDescent="0.4">
      <c r="C4" s="11"/>
      <c r="D4" s="11"/>
      <c r="E4" s="11"/>
      <c r="F4" s="11"/>
      <c r="G4" s="11"/>
      <c r="H4" s="11"/>
      <c r="I4" s="11"/>
    </row>
    <row r="5" spans="1:18" x14ac:dyDescent="0.4">
      <c r="C5" s="11"/>
      <c r="D5" s="11"/>
      <c r="E5" s="11"/>
      <c r="F5" s="11"/>
      <c r="G5" s="11"/>
      <c r="H5" s="11"/>
      <c r="I5" s="11"/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C6" s="11"/>
      <c r="D6" s="11"/>
      <c r="E6" s="11"/>
      <c r="F6" s="11"/>
      <c r="G6" s="11"/>
      <c r="H6" s="11"/>
      <c r="I6" s="11"/>
      <c r="M6" s="1" t="s">
        <v>32</v>
      </c>
      <c r="N6" s="13">
        <f>COUNTIF(C$2:C$56,$N3)/COUNT(C$2:C$56)</f>
        <v>0</v>
      </c>
      <c r="O6" s="13">
        <f>COUNTIF(C$2:C$56,$O3)/COUNT(C$2:C$56)</f>
        <v>0</v>
      </c>
      <c r="P6" s="13">
        <f>COUNTIF(C$2:C$56,$P3)/COUNT(C$2:C$56)</f>
        <v>0</v>
      </c>
      <c r="Q6" s="13">
        <f>COUNTIF(C$2:C$56,$Q3)/COUNT(C$2:C$56)</f>
        <v>0.2558139534883721</v>
      </c>
      <c r="R6" s="13">
        <f>COUNTIF(C$2:C$56,$R3)/COUNT(C$2:C$56)</f>
        <v>0.7441860465116279</v>
      </c>
    </row>
    <row r="7" spans="1:18" x14ac:dyDescent="0.4">
      <c r="C7" s="11"/>
      <c r="D7" s="11"/>
      <c r="E7" s="11"/>
      <c r="F7" s="11"/>
      <c r="G7" s="11"/>
      <c r="H7" s="11"/>
      <c r="I7" s="11"/>
      <c r="M7" s="1" t="s">
        <v>33</v>
      </c>
      <c r="N7" s="13">
        <f>COUNTIF(D$2:D$56,$N3)/COUNT(D$2:D$56)</f>
        <v>0</v>
      </c>
      <c r="O7" s="13">
        <f>COUNTIF(D$2:D$56,$O3)/COUNT(D$2:D$56)</f>
        <v>2.3255813953488372E-2</v>
      </c>
      <c r="P7" s="13">
        <f>COUNTIF(D$2:D$56,$P3)/COUNT(D$2:D$56)</f>
        <v>6.9767441860465115E-2</v>
      </c>
      <c r="Q7" s="13">
        <f>COUNTIF(D$2:D$56,$Q3)/COUNT(D$2:D$56)</f>
        <v>0.27906976744186046</v>
      </c>
      <c r="R7" s="13">
        <f>COUNTIF(D$2:D$56,$R3)/COUNT(D$2:D$56)</f>
        <v>0.62790697674418605</v>
      </c>
    </row>
    <row r="8" spans="1:18" x14ac:dyDescent="0.4">
      <c r="C8" s="11"/>
      <c r="D8" s="11"/>
      <c r="E8" s="11"/>
      <c r="F8" s="11"/>
      <c r="G8" s="11"/>
      <c r="H8" s="11"/>
      <c r="I8" s="11"/>
      <c r="M8" s="1" t="s">
        <v>34</v>
      </c>
      <c r="N8" s="13">
        <f>COUNTIF(E$2:E$56,$N3)/COUNT(E$2:E$56)</f>
        <v>0</v>
      </c>
      <c r="O8" s="13">
        <f>COUNTIF(E$2:E$56,$O3)/COUNT(E$2:E$56)</f>
        <v>0</v>
      </c>
      <c r="P8" s="13">
        <f>COUNTIF(E$2:E$56,$P3)/COUNT(E$2:E$56)</f>
        <v>9.3023255813953487E-2</v>
      </c>
      <c r="Q8" s="13">
        <f>COUNTIF(E$2:E$56,$Q3)/COUNT(E$2:E$56)</f>
        <v>0.11627906976744186</v>
      </c>
      <c r="R8" s="13">
        <f>COUNTIF(E$2:E$56,$R3)/COUNT(E$2:E$56)</f>
        <v>0.79069767441860461</v>
      </c>
    </row>
    <row r="9" spans="1:18" x14ac:dyDescent="0.4">
      <c r="C9" s="11"/>
      <c r="D9" s="11"/>
      <c r="E9" s="11"/>
      <c r="F9" s="11"/>
      <c r="G9" s="11"/>
      <c r="H9" s="11"/>
      <c r="I9" s="11"/>
      <c r="M9" s="1" t="s">
        <v>35</v>
      </c>
      <c r="N9" s="13">
        <f>COUNTIF(F$2:F$56,$N3)/COUNT(F$2:F$56)</f>
        <v>0</v>
      </c>
      <c r="O9" s="13">
        <f>COUNTIF(F$2:F$56,$O3)/COUNT(F$2:F$56)</f>
        <v>2.3255813953488372E-2</v>
      </c>
      <c r="P9" s="13">
        <f>COUNTIF(F$2:F$56,$P3)/COUNT(F$2:F$56)</f>
        <v>9.3023255813953487E-2</v>
      </c>
      <c r="Q9" s="13">
        <f>COUNTIF(F$2:F$56,$Q3)/COUNT(F$2:F$56)</f>
        <v>0.2558139534883721</v>
      </c>
      <c r="R9" s="13">
        <f>COUNTIF(F$2:F$56,$R3)/COUNT(F$2:F$56)</f>
        <v>0.62790697674418605</v>
      </c>
    </row>
    <row r="10" spans="1:18" x14ac:dyDescent="0.4">
      <c r="C10" s="11"/>
      <c r="D10" s="11"/>
      <c r="E10" s="11"/>
      <c r="F10" s="11"/>
      <c r="G10" s="11"/>
      <c r="H10" s="11"/>
      <c r="I10" s="11"/>
      <c r="M10" s="1" t="s">
        <v>36</v>
      </c>
      <c r="N10" s="13">
        <f>COUNTIF(G$2:G$56,$N3)/COUNT(G$2:G$56)</f>
        <v>0</v>
      </c>
      <c r="O10" s="13">
        <f>COUNTIF(G$2:G$56,$O3)/COUNT(G$2:G$56)</f>
        <v>0</v>
      </c>
      <c r="P10" s="13">
        <f>COUNTIF(G$2:G$56,$P3)/COUNT(G$2:G$56)</f>
        <v>4.6511627906976744E-2</v>
      </c>
      <c r="Q10" s="13">
        <f>COUNTIF(G$2:G$56,$Q3)/COUNT(G$2:G$56)</f>
        <v>0.32558139534883723</v>
      </c>
      <c r="R10" s="13">
        <f>COUNTIF(G$2:G$56,$R3)/COUNT(G$2:G$56)</f>
        <v>0.62790697674418605</v>
      </c>
    </row>
    <row r="11" spans="1:18" x14ac:dyDescent="0.4">
      <c r="C11" s="11"/>
      <c r="D11" s="11"/>
      <c r="E11" s="11"/>
      <c r="F11" s="11"/>
      <c r="G11" s="11"/>
      <c r="H11" s="11"/>
      <c r="I11" s="11"/>
      <c r="M11" s="1" t="s">
        <v>37</v>
      </c>
      <c r="N11" s="13">
        <f>COUNTIF(H$2:H$56,$N3)/COUNT(H$2:H$56)</f>
        <v>2.3255813953488372E-2</v>
      </c>
      <c r="O11" s="13">
        <f>COUNTIF(H$2:H$56,$O3)/COUNT(H$2:H$56)</f>
        <v>2.3255813953488372E-2</v>
      </c>
      <c r="P11" s="13">
        <f>COUNTIF(H$2:H$56,$P3)/COUNT(H$2:H$56)</f>
        <v>0.11627906976744186</v>
      </c>
      <c r="Q11" s="13">
        <f>COUNTIF(H$2:H$56,$Q3)/COUNT(H$2:H$56)</f>
        <v>0.2558139534883721</v>
      </c>
      <c r="R11" s="13">
        <f>COUNTIF(H$2:H$56,$R3)/COUNT(H$2:H$56)</f>
        <v>0.58139534883720934</v>
      </c>
    </row>
    <row r="12" spans="1:18" x14ac:dyDescent="0.4">
      <c r="C12" s="11"/>
      <c r="D12" s="11"/>
      <c r="E12" s="11"/>
      <c r="F12" s="11"/>
      <c r="G12" s="11"/>
      <c r="H12" s="11"/>
      <c r="I12" s="11"/>
      <c r="M12" s="1" t="s">
        <v>38</v>
      </c>
      <c r="N12" s="13">
        <f>COUNTIF(I$2:I$56,$N3)/COUNT(I$2:I$56)</f>
        <v>0</v>
      </c>
      <c r="O12" s="13">
        <f>COUNTIF(I$2:I$56,$O3)/COUNT(I$2:I$56)</f>
        <v>0</v>
      </c>
      <c r="P12" s="13">
        <f>COUNTIF(I$2:I$56,$P3)/COUNT(I$2:I$56)</f>
        <v>4.6511627906976744E-2</v>
      </c>
      <c r="Q12" s="13">
        <f>COUNTIF(I$2:I$56,$Q3)/COUNT(I$2:I$56)</f>
        <v>0.20930232558139536</v>
      </c>
      <c r="R12" s="13">
        <f>COUNTIF(I$2:I$56,$R3)/COUNT(I$2:I$56)</f>
        <v>0.7441860465116279</v>
      </c>
    </row>
    <row r="13" spans="1:18" x14ac:dyDescent="0.4">
      <c r="C13" s="11"/>
      <c r="D13" s="11"/>
      <c r="E13" s="11"/>
      <c r="F13" s="11"/>
      <c r="G13" s="11"/>
      <c r="H13" s="11"/>
      <c r="I13" s="11"/>
    </row>
    <row r="14" spans="1:18" x14ac:dyDescent="0.4">
      <c r="A14" s="11" t="str">
        <f>+Dados!V13</f>
        <v>MONTIVIDIU</v>
      </c>
      <c r="B14" s="11" t="str">
        <f>+Dados!G13</f>
        <v>Gestão municipal</v>
      </c>
      <c r="C14" s="11">
        <f>+Dados!H13</f>
        <v>5</v>
      </c>
      <c r="D14" s="11">
        <f>+Dados!I13</f>
        <v>5</v>
      </c>
      <c r="E14" s="11">
        <f>+Dados!J13</f>
        <v>5</v>
      </c>
      <c r="F14" s="11">
        <f>+Dados!K13</f>
        <v>5</v>
      </c>
      <c r="G14" s="11">
        <f>+Dados!L13</f>
        <v>5</v>
      </c>
      <c r="H14" s="11">
        <f>+Dados!M13</f>
        <v>5</v>
      </c>
      <c r="I14" s="11">
        <f>+Dados!N13</f>
        <v>5</v>
      </c>
    </row>
    <row r="15" spans="1:18" x14ac:dyDescent="0.4">
      <c r="A15" s="11" t="str">
        <f>+Dados!V14</f>
        <v>RIO VERDE</v>
      </c>
      <c r="B15" s="11" t="str">
        <f>+Dados!G14</f>
        <v>Gestão municipal</v>
      </c>
      <c r="C15" s="11">
        <f>+Dados!H14</f>
        <v>4</v>
      </c>
      <c r="D15" s="11">
        <f>+Dados!I14</f>
        <v>4</v>
      </c>
      <c r="E15" s="11">
        <f>+Dados!J14</f>
        <v>5</v>
      </c>
      <c r="F15" s="11">
        <f>+Dados!K14</f>
        <v>5</v>
      </c>
      <c r="G15" s="11">
        <f>+Dados!L14</f>
        <v>4</v>
      </c>
      <c r="H15" s="11">
        <f>+Dados!M14</f>
        <v>3</v>
      </c>
      <c r="I15" s="11">
        <f>+Dados!N14</f>
        <v>4</v>
      </c>
    </row>
    <row r="16" spans="1:18" x14ac:dyDescent="0.4">
      <c r="A16" s="11" t="str">
        <f>+Dados!V15</f>
        <v>CASTELÂNDIA</v>
      </c>
      <c r="B16" s="11" t="str">
        <f>+Dados!G15</f>
        <v>Gestão municipal</v>
      </c>
      <c r="C16" s="11">
        <f>+Dados!H15</f>
        <v>5</v>
      </c>
      <c r="D16" s="11">
        <f>+Dados!I15</f>
        <v>5</v>
      </c>
      <c r="E16" s="11">
        <f>+Dados!J15</f>
        <v>5</v>
      </c>
      <c r="F16" s="11">
        <f>+Dados!K15</f>
        <v>5</v>
      </c>
      <c r="G16" s="11">
        <f>+Dados!L15</f>
        <v>5</v>
      </c>
      <c r="H16" s="11">
        <f>+Dados!M15</f>
        <v>5</v>
      </c>
      <c r="I16" s="11">
        <f>+Dados!N15</f>
        <v>5</v>
      </c>
    </row>
    <row r="17" spans="1:9" x14ac:dyDescent="0.4">
      <c r="A17" s="11" t="str">
        <f>+Dados!V16</f>
        <v>SERRANÓPOLIS</v>
      </c>
      <c r="B17" s="11" t="str">
        <f>+Dados!G16</f>
        <v>Gestão municipal</v>
      </c>
      <c r="C17" s="11">
        <f>+Dados!H16</f>
        <v>4</v>
      </c>
      <c r="D17" s="11">
        <f>+Dados!I16</f>
        <v>4</v>
      </c>
      <c r="E17" s="11">
        <f>+Dados!J16</f>
        <v>5</v>
      </c>
      <c r="F17" s="11">
        <f>+Dados!K16</f>
        <v>5</v>
      </c>
      <c r="G17" s="11">
        <f>+Dados!L16</f>
        <v>3</v>
      </c>
      <c r="H17" s="11">
        <f>+Dados!M16</f>
        <v>4</v>
      </c>
      <c r="I17" s="11">
        <f>+Dados!N16</f>
        <v>4</v>
      </c>
    </row>
    <row r="18" spans="1:9" x14ac:dyDescent="0.4">
      <c r="A18" s="11" t="str">
        <f>+Dados!V17</f>
        <v>CHAPADÃO DO CÉU</v>
      </c>
      <c r="B18" s="11" t="str">
        <f>+Dados!G17</f>
        <v>Gestão municipal</v>
      </c>
      <c r="C18" s="11">
        <f>+Dados!H17</f>
        <v>5</v>
      </c>
      <c r="D18" s="11">
        <f>+Dados!I17</f>
        <v>5</v>
      </c>
      <c r="E18" s="11">
        <f>+Dados!J17</f>
        <v>5</v>
      </c>
      <c r="F18" s="11">
        <f>+Dados!K17</f>
        <v>5</v>
      </c>
      <c r="G18" s="11">
        <f>+Dados!L17</f>
        <v>5</v>
      </c>
      <c r="H18" s="11">
        <f>+Dados!M17</f>
        <v>5</v>
      </c>
      <c r="I18" s="11">
        <f>+Dados!N17</f>
        <v>5</v>
      </c>
    </row>
    <row r="19" spans="1:9" x14ac:dyDescent="0.4">
      <c r="A19" s="11" t="str">
        <f>+Dados!V18</f>
        <v>JATAÍ</v>
      </c>
      <c r="B19" s="11" t="str">
        <f>+Dados!G18</f>
        <v>Gestão municipal</v>
      </c>
      <c r="C19" s="11">
        <f>+Dados!H18</f>
        <v>4</v>
      </c>
      <c r="D19" s="11">
        <f>+Dados!I18</f>
        <v>2</v>
      </c>
      <c r="E19" s="11">
        <f>+Dados!J18</f>
        <v>3</v>
      </c>
      <c r="F19" s="11">
        <f>+Dados!K18</f>
        <v>3</v>
      </c>
      <c r="G19" s="11">
        <f>+Dados!L18</f>
        <v>4</v>
      </c>
      <c r="H19" s="11">
        <f>+Dados!M18</f>
        <v>2</v>
      </c>
      <c r="I19" s="11">
        <f>+Dados!N18</f>
        <v>4</v>
      </c>
    </row>
    <row r="20" spans="1:9" x14ac:dyDescent="0.4">
      <c r="A20" s="11" t="str">
        <f>+Dados!V19</f>
        <v>CASTELÂNDIA</v>
      </c>
      <c r="B20" s="11" t="str">
        <f>+Dados!G19</f>
        <v>Gestão municipal</v>
      </c>
      <c r="C20" s="11">
        <f>+Dados!H19</f>
        <v>5</v>
      </c>
      <c r="D20" s="11">
        <f>+Dados!I19</f>
        <v>5</v>
      </c>
      <c r="E20" s="11">
        <f>+Dados!J19</f>
        <v>5</v>
      </c>
      <c r="F20" s="11">
        <f>+Dados!K19</f>
        <v>5</v>
      </c>
      <c r="G20" s="11">
        <f>+Dados!L19</f>
        <v>5</v>
      </c>
      <c r="H20" s="11">
        <f>+Dados!M19</f>
        <v>5</v>
      </c>
      <c r="I20" s="11">
        <f>+Dados!N19</f>
        <v>5</v>
      </c>
    </row>
    <row r="21" spans="1:9" x14ac:dyDescent="0.4">
      <c r="A21" s="11" t="str">
        <f>+Dados!V20</f>
        <v>CAIAPÔNIA</v>
      </c>
      <c r="B21" s="11" t="str">
        <f>+Dados!G20</f>
        <v>Gestão municipal</v>
      </c>
      <c r="C21" s="11">
        <f>+Dados!H20</f>
        <v>4</v>
      </c>
      <c r="D21" s="11">
        <f>+Dados!I20</f>
        <v>4</v>
      </c>
      <c r="E21" s="11">
        <f>+Dados!J20</f>
        <v>4</v>
      </c>
      <c r="F21" s="11">
        <f>+Dados!K20</f>
        <v>4</v>
      </c>
      <c r="G21" s="11">
        <f>+Dados!L20</f>
        <v>4</v>
      </c>
      <c r="H21" s="11">
        <f>+Dados!M20</f>
        <v>4</v>
      </c>
      <c r="I21" s="11">
        <f>+Dados!N20</f>
        <v>4</v>
      </c>
    </row>
    <row r="22" spans="1:9" x14ac:dyDescent="0.4">
      <c r="A22" s="11" t="str">
        <f>+Dados!V21</f>
        <v>MINEIROS</v>
      </c>
      <c r="B22" s="11" t="str">
        <f>+Dados!G21</f>
        <v>Gestão municipal</v>
      </c>
      <c r="C22" s="11">
        <f>+Dados!H21</f>
        <v>4</v>
      </c>
      <c r="D22" s="11">
        <f>+Dados!I21</f>
        <v>4</v>
      </c>
      <c r="E22" s="11">
        <f>+Dados!J21</f>
        <v>4</v>
      </c>
      <c r="F22" s="11">
        <f>+Dados!K21</f>
        <v>4</v>
      </c>
      <c r="G22" s="11">
        <f>+Dados!L21</f>
        <v>5</v>
      </c>
      <c r="H22" s="11">
        <f>+Dados!M21</f>
        <v>5</v>
      </c>
      <c r="I22" s="11">
        <f>+Dados!N21</f>
        <v>5</v>
      </c>
    </row>
    <row r="23" spans="1:9" x14ac:dyDescent="0.4">
      <c r="A23" s="11" t="str">
        <f>+Dados!V22</f>
        <v>APORÉ</v>
      </c>
      <c r="B23" s="11" t="str">
        <f>+Dados!G22</f>
        <v>Gestão municipal</v>
      </c>
      <c r="C23" s="11">
        <f>+Dados!H22</f>
        <v>5</v>
      </c>
      <c r="D23" s="11">
        <f>+Dados!I22</f>
        <v>5</v>
      </c>
      <c r="E23" s="11">
        <f>+Dados!J22</f>
        <v>5</v>
      </c>
      <c r="F23" s="11">
        <f>+Dados!K22</f>
        <v>5</v>
      </c>
      <c r="G23" s="11">
        <f>+Dados!L22</f>
        <v>5</v>
      </c>
      <c r="H23" s="11">
        <f>+Dados!M22</f>
        <v>5</v>
      </c>
      <c r="I23" s="11">
        <f>+Dados!N22</f>
        <v>5</v>
      </c>
    </row>
    <row r="24" spans="1:9" x14ac:dyDescent="0.4">
      <c r="A24" s="11" t="str">
        <f>+Dados!V23</f>
        <v>MINEIROS</v>
      </c>
      <c r="B24" s="11" t="str">
        <f>+Dados!G23</f>
        <v>Gestão municipal</v>
      </c>
      <c r="C24" s="11">
        <f>+Dados!H23</f>
        <v>4</v>
      </c>
      <c r="D24" s="11">
        <f>+Dados!I23</f>
        <v>4</v>
      </c>
      <c r="E24" s="11">
        <f>+Dados!J23</f>
        <v>4</v>
      </c>
      <c r="F24" s="11">
        <f>+Dados!K23</f>
        <v>4</v>
      </c>
      <c r="G24" s="11">
        <f>+Dados!L23</f>
        <v>4</v>
      </c>
      <c r="H24" s="11">
        <f>+Dados!M23</f>
        <v>4</v>
      </c>
      <c r="I24" s="11">
        <f>+Dados!N23</f>
        <v>4</v>
      </c>
    </row>
    <row r="25" spans="1:9" x14ac:dyDescent="0.4">
      <c r="A25" s="11" t="str">
        <f>+Dados!V24</f>
        <v>RIO VERDE</v>
      </c>
      <c r="B25" s="11" t="str">
        <f>+Dados!G24</f>
        <v>Gestão municipal</v>
      </c>
      <c r="C25" s="11">
        <f>+Dados!H24</f>
        <v>4</v>
      </c>
      <c r="D25" s="11">
        <f>+Dados!I24</f>
        <v>4</v>
      </c>
      <c r="E25" s="11">
        <f>+Dados!J24</f>
        <v>5</v>
      </c>
      <c r="F25" s="11">
        <f>+Dados!K24</f>
        <v>5</v>
      </c>
      <c r="G25" s="11">
        <f>+Dados!L24</f>
        <v>4</v>
      </c>
      <c r="H25" s="11">
        <f>+Dados!M24</f>
        <v>3</v>
      </c>
      <c r="I25" s="11">
        <f>+Dados!N24</f>
        <v>4</v>
      </c>
    </row>
    <row r="26" spans="1:9" x14ac:dyDescent="0.4">
      <c r="A26" s="11" t="str">
        <f>+Dados!V25</f>
        <v>QUIRINÓPOLIS</v>
      </c>
      <c r="B26" s="11" t="str">
        <f>+Dados!G25</f>
        <v>Gestão municipal</v>
      </c>
      <c r="C26" s="11">
        <f>+Dados!H25</f>
        <v>4</v>
      </c>
      <c r="D26" s="11">
        <f>+Dados!I25</f>
        <v>3</v>
      </c>
      <c r="E26" s="11">
        <f>+Dados!J25</f>
        <v>3</v>
      </c>
      <c r="F26" s="11">
        <f>+Dados!K25</f>
        <v>3</v>
      </c>
      <c r="G26" s="11">
        <f>+Dados!L25</f>
        <v>3</v>
      </c>
      <c r="H26" s="11">
        <f>+Dados!M25</f>
        <v>3</v>
      </c>
      <c r="I26" s="11">
        <f>+Dados!N25</f>
        <v>4</v>
      </c>
    </row>
    <row r="27" spans="1:9" x14ac:dyDescent="0.4">
      <c r="A27" s="11" t="str">
        <f>+Dados!V26</f>
        <v>SANTA RITA DO ARAGUAIA</v>
      </c>
      <c r="B27" s="11" t="str">
        <f>+Dados!G26</f>
        <v>Gestão municipal</v>
      </c>
      <c r="C27" s="11">
        <f>+Dados!H26</f>
        <v>4</v>
      </c>
      <c r="D27" s="11">
        <f>+Dados!I26</f>
        <v>4</v>
      </c>
      <c r="E27" s="11">
        <f>+Dados!J26</f>
        <v>4</v>
      </c>
      <c r="F27" s="11">
        <f>+Dados!K26</f>
        <v>3</v>
      </c>
      <c r="G27" s="11">
        <f>+Dados!L26</f>
        <v>4</v>
      </c>
      <c r="H27" s="11">
        <f>+Dados!M26</f>
        <v>1</v>
      </c>
      <c r="I27" s="11">
        <f>+Dados!N26</f>
        <v>3</v>
      </c>
    </row>
    <row r="28" spans="1:9" x14ac:dyDescent="0.4">
      <c r="A28" s="11" t="str">
        <f>+Dados!V27</f>
        <v>APORÉ</v>
      </c>
      <c r="B28" s="11" t="str">
        <f>+Dados!G27</f>
        <v>Gestão municipal</v>
      </c>
      <c r="C28" s="11">
        <f>+Dados!H27</f>
        <v>5</v>
      </c>
      <c r="D28" s="11">
        <f>+Dados!I27</f>
        <v>4</v>
      </c>
      <c r="E28" s="11">
        <f>+Dados!J27</f>
        <v>5</v>
      </c>
      <c r="F28" s="11">
        <f>+Dados!K27</f>
        <v>4</v>
      </c>
      <c r="G28" s="11">
        <f>+Dados!L27</f>
        <v>4</v>
      </c>
      <c r="H28" s="11">
        <f>+Dados!M27</f>
        <v>5</v>
      </c>
      <c r="I28" s="11">
        <f>+Dados!N27</f>
        <v>5</v>
      </c>
    </row>
    <row r="29" spans="1:9" x14ac:dyDescent="0.4">
      <c r="A29" s="11" t="str">
        <f>+Dados!V28</f>
        <v>RIBEIRÃOZINHO</v>
      </c>
      <c r="B29" s="11" t="str">
        <f>+Dados!G28</f>
        <v>Gestão municipal</v>
      </c>
      <c r="C29" s="11">
        <f>+Dados!H28</f>
        <v>5</v>
      </c>
      <c r="D29" s="11">
        <f>+Dados!I28</f>
        <v>4</v>
      </c>
      <c r="E29" s="11">
        <f>+Dados!J28</f>
        <v>3</v>
      </c>
      <c r="F29" s="11">
        <f>+Dados!K28</f>
        <v>4</v>
      </c>
      <c r="G29" s="11">
        <f>+Dados!L28</f>
        <v>5</v>
      </c>
      <c r="H29" s="11">
        <f>+Dados!M28</f>
        <v>4</v>
      </c>
      <c r="I29" s="11">
        <f>+Dados!N28</f>
        <v>5</v>
      </c>
    </row>
    <row r="30" spans="1:9" x14ac:dyDescent="0.4">
      <c r="A30" s="11" t="str">
        <f>+Dados!V29</f>
        <v>TURVELÂNDIA</v>
      </c>
      <c r="B30" s="11" t="str">
        <f>+Dados!G29</f>
        <v>Gestão municipal</v>
      </c>
      <c r="C30" s="11">
        <f>+Dados!H29</f>
        <v>5</v>
      </c>
      <c r="D30" s="11">
        <f>+Dados!I29</f>
        <v>5</v>
      </c>
      <c r="E30" s="11">
        <f>+Dados!J29</f>
        <v>5</v>
      </c>
      <c r="F30" s="11">
        <f>+Dados!K29</f>
        <v>4</v>
      </c>
      <c r="G30" s="11">
        <f>+Dados!L29</f>
        <v>5</v>
      </c>
      <c r="H30" s="11">
        <f>+Dados!M29</f>
        <v>4</v>
      </c>
      <c r="I30" s="11">
        <f>+Dados!N29</f>
        <v>5</v>
      </c>
    </row>
    <row r="31" spans="1:9" x14ac:dyDescent="0.4">
      <c r="A31" s="11" t="str">
        <f>+Dados!V30</f>
        <v>SERRANÓPOLIS</v>
      </c>
      <c r="B31" s="11" t="str">
        <f>+Dados!G30</f>
        <v>Gestão municipal</v>
      </c>
      <c r="C31" s="11">
        <f>+Dados!H30</f>
        <v>5</v>
      </c>
      <c r="D31" s="11">
        <f>+Dados!I30</f>
        <v>4</v>
      </c>
      <c r="E31" s="11">
        <f>+Dados!J30</f>
        <v>5</v>
      </c>
      <c r="F31" s="11">
        <f>+Dados!K30</f>
        <v>4</v>
      </c>
      <c r="G31" s="11">
        <f>+Dados!L30</f>
        <v>4</v>
      </c>
      <c r="H31" s="11">
        <f>+Dados!M30</f>
        <v>4</v>
      </c>
      <c r="I31" s="11">
        <f>+Dados!N30</f>
        <v>5</v>
      </c>
    </row>
    <row r="32" spans="1:9" x14ac:dyDescent="0.4">
      <c r="A32" s="11" t="str">
        <f>+Dados!V31</f>
        <v>CACHOEIRA ALTA</v>
      </c>
      <c r="B32" s="11" t="str">
        <f>+Dados!G31</f>
        <v>Gestão municipal</v>
      </c>
      <c r="C32" s="11">
        <f>+Dados!H31</f>
        <v>5</v>
      </c>
      <c r="D32" s="11">
        <f>+Dados!I31</f>
        <v>5</v>
      </c>
      <c r="E32" s="11">
        <f>+Dados!J31</f>
        <v>5</v>
      </c>
      <c r="F32" s="11">
        <f>+Dados!K31</f>
        <v>5</v>
      </c>
      <c r="G32" s="11">
        <f>+Dados!L31</f>
        <v>5</v>
      </c>
      <c r="H32" s="11">
        <f>+Dados!M31</f>
        <v>5</v>
      </c>
      <c r="I32" s="11">
        <f>+Dados!N31</f>
        <v>5</v>
      </c>
    </row>
    <row r="33" spans="1:9" x14ac:dyDescent="0.4">
      <c r="A33" s="11" t="str">
        <f>+Dados!V32</f>
        <v>COSTA RICA</v>
      </c>
      <c r="B33" s="11" t="str">
        <f>+Dados!G32</f>
        <v>Gestão municipal</v>
      </c>
      <c r="C33" s="11">
        <f>+Dados!H32</f>
        <v>5</v>
      </c>
      <c r="D33" s="11">
        <f>+Dados!I32</f>
        <v>5</v>
      </c>
      <c r="E33" s="11">
        <f>+Dados!J32</f>
        <v>5</v>
      </c>
      <c r="F33" s="11">
        <f>+Dados!K32</f>
        <v>4</v>
      </c>
      <c r="G33" s="11">
        <f>+Dados!L32</f>
        <v>4</v>
      </c>
      <c r="H33" s="11">
        <f>+Dados!M32</f>
        <v>4</v>
      </c>
      <c r="I33" s="11">
        <f>+Dados!N32</f>
        <v>5</v>
      </c>
    </row>
    <row r="34" spans="1:9" x14ac:dyDescent="0.4">
      <c r="A34" s="11" t="str">
        <f>+Dados!V33</f>
        <v>MAURILÂNDIA</v>
      </c>
      <c r="B34" s="11" t="str">
        <f>+Dados!G33</f>
        <v>Gestão municipal</v>
      </c>
      <c r="C34" s="11">
        <f>+Dados!H33</f>
        <v>5</v>
      </c>
      <c r="D34" s="11">
        <f>+Dados!I33</f>
        <v>5</v>
      </c>
      <c r="E34" s="11">
        <f>+Dados!J33</f>
        <v>5</v>
      </c>
      <c r="F34" s="11">
        <f>+Dados!K33</f>
        <v>5</v>
      </c>
      <c r="G34" s="11">
        <f>+Dados!L33</f>
        <v>5</v>
      </c>
      <c r="H34" s="11">
        <f>+Dados!M33</f>
        <v>5</v>
      </c>
      <c r="I34" s="11">
        <f>+Dados!N33</f>
        <v>5</v>
      </c>
    </row>
    <row r="35" spans="1:9" x14ac:dyDescent="0.4">
      <c r="A35" s="11" t="str">
        <f>+Dados!V34</f>
        <v>SANTA HELENA DE GOIÁS</v>
      </c>
      <c r="B35" s="11" t="str">
        <f>+Dados!G34</f>
        <v>Gestão municipal</v>
      </c>
      <c r="C35" s="11">
        <f>+Dados!H34</f>
        <v>5</v>
      </c>
      <c r="D35" s="11">
        <f>+Dados!I34</f>
        <v>5</v>
      </c>
      <c r="E35" s="11">
        <f>+Dados!J34</f>
        <v>5</v>
      </c>
      <c r="F35" s="11">
        <f>+Dados!K34</f>
        <v>4</v>
      </c>
      <c r="G35" s="11">
        <f>+Dados!L34</f>
        <v>5</v>
      </c>
      <c r="H35" s="11">
        <f>+Dados!M34</f>
        <v>4</v>
      </c>
      <c r="I35" s="11">
        <f>+Dados!N34</f>
        <v>5</v>
      </c>
    </row>
    <row r="36" spans="1:9" x14ac:dyDescent="0.4">
      <c r="A36" s="11" t="str">
        <f>+Dados!V35</f>
        <v>PARANAÍBA</v>
      </c>
      <c r="B36" s="11" t="str">
        <f>+Dados!G35</f>
        <v>Gestão municipal</v>
      </c>
      <c r="C36" s="11">
        <f>+Dados!H35</f>
        <v>5</v>
      </c>
      <c r="D36" s="11">
        <f>+Dados!I35</f>
        <v>3</v>
      </c>
      <c r="E36" s="11">
        <f>+Dados!J35</f>
        <v>3</v>
      </c>
      <c r="F36" s="11">
        <f>+Dados!K35</f>
        <v>2</v>
      </c>
      <c r="G36" s="11">
        <f>+Dados!L35</f>
        <v>5</v>
      </c>
      <c r="H36" s="11">
        <f>+Dados!M35</f>
        <v>3</v>
      </c>
      <c r="I36" s="11">
        <f>+Dados!N35</f>
        <v>3</v>
      </c>
    </row>
    <row r="37" spans="1:9" x14ac:dyDescent="0.4">
      <c r="A37" s="11" t="str">
        <f>+Dados!V36</f>
        <v>PARANAÍBA</v>
      </c>
      <c r="B37" s="11" t="str">
        <f>+Dados!G36</f>
        <v>Gestão municipal</v>
      </c>
      <c r="C37" s="11">
        <f>+Dados!H36</f>
        <v>5</v>
      </c>
      <c r="D37" s="11">
        <f>+Dados!I36</f>
        <v>5</v>
      </c>
      <c r="E37" s="11">
        <f>+Dados!J36</f>
        <v>5</v>
      </c>
      <c r="F37" s="11">
        <f>+Dados!K36</f>
        <v>5</v>
      </c>
      <c r="G37" s="11">
        <f>+Dados!L36</f>
        <v>5</v>
      </c>
      <c r="H37" s="11">
        <f>+Dados!M36</f>
        <v>5</v>
      </c>
      <c r="I37" s="11">
        <f>+Dados!N36</f>
        <v>5</v>
      </c>
    </row>
    <row r="38" spans="1:9" x14ac:dyDescent="0.4">
      <c r="A38" s="11" t="str">
        <f>+Dados!V37</f>
        <v>MONTIVIDIU</v>
      </c>
      <c r="B38" s="11" t="str">
        <f>+Dados!G37</f>
        <v>Gestão municipal</v>
      </c>
      <c r="C38" s="11">
        <f>+Dados!H37</f>
        <v>5</v>
      </c>
      <c r="D38" s="11">
        <f>+Dados!I37</f>
        <v>5</v>
      </c>
      <c r="E38" s="11">
        <f>+Dados!J37</f>
        <v>5</v>
      </c>
      <c r="F38" s="11">
        <f>+Dados!K37</f>
        <v>5</v>
      </c>
      <c r="G38" s="11">
        <f>+Dados!L37</f>
        <v>4</v>
      </c>
      <c r="H38" s="11">
        <f>+Dados!M37</f>
        <v>4</v>
      </c>
      <c r="I38" s="11">
        <f>+Dados!N37</f>
        <v>5</v>
      </c>
    </row>
    <row r="39" spans="1:9" x14ac:dyDescent="0.4">
      <c r="A39" s="11" t="str">
        <f>+Dados!V38</f>
        <v>ALTO TAQUARI</v>
      </c>
      <c r="B39" s="11" t="str">
        <f>+Dados!G38</f>
        <v>Gestão municipal</v>
      </c>
      <c r="C39" s="11">
        <f>+Dados!H38</f>
        <v>5</v>
      </c>
      <c r="D39" s="11">
        <f>+Dados!I38</f>
        <v>5</v>
      </c>
      <c r="E39" s="11">
        <f>+Dados!J38</f>
        <v>5</v>
      </c>
      <c r="F39" s="11">
        <f>+Dados!K38</f>
        <v>5</v>
      </c>
      <c r="G39" s="11">
        <f>+Dados!L38</f>
        <v>4</v>
      </c>
      <c r="H39" s="11">
        <f>+Dados!M38</f>
        <v>4</v>
      </c>
      <c r="I39" s="11">
        <f>+Dados!N38</f>
        <v>5</v>
      </c>
    </row>
    <row r="40" spans="1:9" x14ac:dyDescent="0.4">
      <c r="A40" s="11" t="str">
        <f>+Dados!V39</f>
        <v>JATAÍ</v>
      </c>
      <c r="B40" s="11" t="str">
        <f>+Dados!G39</f>
        <v>Gestão municipal</v>
      </c>
      <c r="C40" s="11">
        <f>+Dados!H39</f>
        <v>5</v>
      </c>
      <c r="D40" s="11">
        <f>+Dados!I39</f>
        <v>4</v>
      </c>
      <c r="E40" s="11">
        <f>+Dados!J39</f>
        <v>5</v>
      </c>
      <c r="F40" s="11">
        <f>+Dados!K39</f>
        <v>5</v>
      </c>
      <c r="G40" s="11">
        <f>+Dados!L39</f>
        <v>5</v>
      </c>
      <c r="H40" s="11">
        <f>+Dados!M39</f>
        <v>5</v>
      </c>
      <c r="I40" s="11">
        <f>+Dados!N39</f>
        <v>5</v>
      </c>
    </row>
    <row r="41" spans="1:9" x14ac:dyDescent="0.4">
      <c r="A41" s="11" t="str">
        <f>+Dados!V40</f>
        <v>PALESTINA DE GOIÁS</v>
      </c>
      <c r="B41" s="11" t="str">
        <f>+Dados!G40</f>
        <v>Gestão municipal</v>
      </c>
      <c r="C41" s="11">
        <f>+Dados!H40</f>
        <v>4</v>
      </c>
      <c r="D41" s="11">
        <f>+Dados!I40</f>
        <v>3</v>
      </c>
      <c r="E41" s="11">
        <f>+Dados!J40</f>
        <v>5</v>
      </c>
      <c r="F41" s="11">
        <f>+Dados!K40</f>
        <v>5</v>
      </c>
      <c r="G41" s="11">
        <f>+Dados!L40</f>
        <v>4</v>
      </c>
      <c r="H41" s="11">
        <f>+Dados!M40</f>
        <v>5</v>
      </c>
      <c r="I41" s="11">
        <f>+Dados!N40</f>
        <v>5</v>
      </c>
    </row>
    <row r="42" spans="1:9" x14ac:dyDescent="0.4">
      <c r="A42" s="11" t="str">
        <f>+Dados!V41</f>
        <v>CASSILÂNDIA</v>
      </c>
      <c r="B42" s="11" t="str">
        <f>+Dados!G41</f>
        <v>Gestão municipal</v>
      </c>
      <c r="C42" s="11">
        <f>+Dados!H41</f>
        <v>5</v>
      </c>
      <c r="D42" s="11">
        <f>+Dados!I41</f>
        <v>5</v>
      </c>
      <c r="E42" s="11">
        <f>+Dados!J41</f>
        <v>5</v>
      </c>
      <c r="F42" s="11">
        <f>+Dados!K41</f>
        <v>5</v>
      </c>
      <c r="G42" s="11">
        <f>+Dados!L41</f>
        <v>5</v>
      </c>
      <c r="H42" s="11">
        <f>+Dados!M41</f>
        <v>5</v>
      </c>
      <c r="I42" s="11">
        <f>+Dados!N41</f>
        <v>5</v>
      </c>
    </row>
    <row r="43" spans="1:9" x14ac:dyDescent="0.4">
      <c r="A43" s="11" t="str">
        <f>+Dados!V42</f>
        <v>CAIAPÔNIA</v>
      </c>
      <c r="B43" s="11" t="str">
        <f>+Dados!G42</f>
        <v>Gestão municipal</v>
      </c>
      <c r="C43" s="11">
        <f>+Dados!H42</f>
        <v>5</v>
      </c>
      <c r="D43" s="11">
        <f>+Dados!I42</f>
        <v>5</v>
      </c>
      <c r="E43" s="11">
        <f>+Dados!J42</f>
        <v>5</v>
      </c>
      <c r="F43" s="11">
        <f>+Dados!K42</f>
        <v>5</v>
      </c>
      <c r="G43" s="11">
        <f>+Dados!L42</f>
        <v>5</v>
      </c>
      <c r="H43" s="11">
        <f>+Dados!M42</f>
        <v>5</v>
      </c>
      <c r="I43" s="11">
        <f>+Dados!N42</f>
        <v>5</v>
      </c>
    </row>
    <row r="44" spans="1:9" x14ac:dyDescent="0.4">
      <c r="A44" s="11" t="str">
        <f>+Dados!V43</f>
        <v>PEROLÂNDIA</v>
      </c>
      <c r="B44" s="11" t="str">
        <f>+Dados!G43</f>
        <v>Gestão municipal</v>
      </c>
      <c r="C44" s="11">
        <f>+Dados!H43</f>
        <v>5</v>
      </c>
      <c r="D44" s="11">
        <f>+Dados!I43</f>
        <v>5</v>
      </c>
      <c r="E44" s="11">
        <f>+Dados!J43</f>
        <v>5</v>
      </c>
      <c r="F44" s="11">
        <f>+Dados!K43</f>
        <v>5</v>
      </c>
      <c r="G44" s="11">
        <f>+Dados!L43</f>
        <v>5</v>
      </c>
      <c r="H44" s="11">
        <f>+Dados!M43</f>
        <v>5</v>
      </c>
      <c r="I44" s="11">
        <f>+Dados!N43</f>
        <v>5</v>
      </c>
    </row>
    <row r="45" spans="1:9" x14ac:dyDescent="0.4">
      <c r="A45" s="11" t="str">
        <f>+Dados!V44</f>
        <v>CASTELÂNDIA</v>
      </c>
      <c r="B45" s="11" t="str">
        <f>+Dados!G44</f>
        <v>Gestão municipal</v>
      </c>
      <c r="C45" s="11">
        <f>+Dados!H44</f>
        <v>5</v>
      </c>
      <c r="D45" s="11">
        <f>+Dados!I44</f>
        <v>5</v>
      </c>
      <c r="E45" s="11">
        <f>+Dados!J44</f>
        <v>5</v>
      </c>
      <c r="F45" s="11">
        <f>+Dados!K44</f>
        <v>5</v>
      </c>
      <c r="G45" s="11">
        <f>+Dados!L44</f>
        <v>5</v>
      </c>
      <c r="H45" s="11">
        <f>+Dados!M44</f>
        <v>5</v>
      </c>
      <c r="I45" s="11">
        <f>+Dados!N44</f>
        <v>5</v>
      </c>
    </row>
    <row r="46" spans="1:9" x14ac:dyDescent="0.4">
      <c r="A46" s="11" t="str">
        <f>+Dados!V45</f>
        <v>APARECIDA DO RIO DOCE</v>
      </c>
      <c r="B46" s="11" t="str">
        <f>+Dados!G45</f>
        <v>Gestão municipal</v>
      </c>
      <c r="C46" s="11">
        <f>+Dados!H45</f>
        <v>5</v>
      </c>
      <c r="D46" s="11">
        <f>+Dados!I45</f>
        <v>5</v>
      </c>
      <c r="E46" s="11">
        <f>+Dados!J45</f>
        <v>5</v>
      </c>
      <c r="F46" s="11">
        <f>+Dados!K45</f>
        <v>3</v>
      </c>
      <c r="G46" s="11">
        <f>+Dados!L45</f>
        <v>5</v>
      </c>
      <c r="H46" s="11">
        <f>+Dados!M45</f>
        <v>5</v>
      </c>
      <c r="I46" s="11">
        <f>+Dados!N45</f>
        <v>5</v>
      </c>
    </row>
    <row r="47" spans="1:9" x14ac:dyDescent="0.4">
      <c r="A47" s="11" t="str">
        <f>+Dados!V46</f>
        <v>PALESTINA DE GOIÁS</v>
      </c>
      <c r="B47" s="11" t="str">
        <f>+Dados!G46</f>
        <v>Gestão municipal</v>
      </c>
      <c r="C47" s="11">
        <f>+Dados!H46</f>
        <v>5</v>
      </c>
      <c r="D47" s="11">
        <f>+Dados!I46</f>
        <v>5</v>
      </c>
      <c r="E47" s="11">
        <f>+Dados!J46</f>
        <v>5</v>
      </c>
      <c r="F47" s="11">
        <f>+Dados!K46</f>
        <v>5</v>
      </c>
      <c r="G47" s="11">
        <f>+Dados!L46</f>
        <v>5</v>
      </c>
      <c r="H47" s="11">
        <f>+Dados!M46</f>
        <v>5</v>
      </c>
      <c r="I47" s="11">
        <f>+Dados!N46</f>
        <v>5</v>
      </c>
    </row>
    <row r="48" spans="1:9" x14ac:dyDescent="0.4">
      <c r="A48" s="11" t="str">
        <f>+Dados!V47</f>
        <v>PARANAÍBA</v>
      </c>
      <c r="B48" s="11" t="str">
        <f>+Dados!G47</f>
        <v>Gestão municipal</v>
      </c>
      <c r="C48" s="11">
        <f>+Dados!H47</f>
        <v>5</v>
      </c>
      <c r="D48" s="11">
        <f>+Dados!I47</f>
        <v>5</v>
      </c>
      <c r="E48" s="11">
        <f>+Dados!J47</f>
        <v>5</v>
      </c>
      <c r="F48" s="11">
        <f>+Dados!K47</f>
        <v>5</v>
      </c>
      <c r="G48" s="11">
        <f>+Dados!L47</f>
        <v>5</v>
      </c>
      <c r="H48" s="11">
        <f>+Dados!M47</f>
        <v>5</v>
      </c>
      <c r="I48" s="11">
        <f>+Dados!N47</f>
        <v>5</v>
      </c>
    </row>
    <row r="49" spans="1:9" x14ac:dyDescent="0.4">
      <c r="A49" s="11" t="str">
        <f>+Dados!V48</f>
        <v>INACIOLÂNDIA</v>
      </c>
      <c r="B49" s="11" t="str">
        <f>+Dados!G48</f>
        <v>Gestão municipal</v>
      </c>
      <c r="C49" s="11">
        <f>+Dados!H48</f>
        <v>4</v>
      </c>
      <c r="D49" s="11">
        <f>+Dados!I48</f>
        <v>4</v>
      </c>
      <c r="E49" s="11">
        <f>+Dados!J48</f>
        <v>4</v>
      </c>
      <c r="F49" s="11">
        <f>+Dados!K48</f>
        <v>4</v>
      </c>
      <c r="G49" s="11">
        <f>+Dados!L48</f>
        <v>4</v>
      </c>
      <c r="H49" s="11">
        <f>+Dados!M48</f>
        <v>4</v>
      </c>
      <c r="I49" s="11">
        <f>+Dados!N48</f>
        <v>4</v>
      </c>
    </row>
    <row r="50" spans="1:9" x14ac:dyDescent="0.4">
      <c r="A50" s="11" t="str">
        <f>+Dados!V49</f>
        <v>SANTA HELENA DE GOIÁS</v>
      </c>
      <c r="B50" s="11" t="str">
        <f>+Dados!G49</f>
        <v>Gestão municipal</v>
      </c>
      <c r="C50" s="11">
        <f>+Dados!H49</f>
        <v>5</v>
      </c>
      <c r="D50" s="11">
        <f>+Dados!I49</f>
        <v>5</v>
      </c>
      <c r="E50" s="11">
        <f>+Dados!J49</f>
        <v>5</v>
      </c>
      <c r="F50" s="11">
        <f>+Dados!K49</f>
        <v>5</v>
      </c>
      <c r="G50" s="11">
        <f>+Dados!L49</f>
        <v>5</v>
      </c>
      <c r="H50" s="11">
        <f>+Dados!M49</f>
        <v>5</v>
      </c>
      <c r="I50" s="11">
        <f>+Dados!N49</f>
        <v>5</v>
      </c>
    </row>
    <row r="51" spans="1:9" x14ac:dyDescent="0.4">
      <c r="A51" s="11" t="str">
        <f>+Dados!V50</f>
        <v>AMORINÓPOLIS</v>
      </c>
      <c r="B51" s="11" t="str">
        <f>+Dados!G50</f>
        <v>Gestão municipal</v>
      </c>
      <c r="C51" s="11">
        <f>+Dados!H50</f>
        <v>5</v>
      </c>
      <c r="D51" s="11">
        <f>+Dados!I50</f>
        <v>5</v>
      </c>
      <c r="E51" s="11">
        <f>+Dados!J50</f>
        <v>5</v>
      </c>
      <c r="F51" s="11">
        <f>+Dados!K50</f>
        <v>5</v>
      </c>
      <c r="G51" s="11">
        <f>+Dados!L50</f>
        <v>5</v>
      </c>
      <c r="H51" s="11">
        <f>+Dados!M50</f>
        <v>5</v>
      </c>
      <c r="I51" s="11">
        <f>+Dados!N50</f>
        <v>5</v>
      </c>
    </row>
    <row r="52" spans="1:9" x14ac:dyDescent="0.4">
      <c r="A52" s="11" t="str">
        <f>+Dados!V51</f>
        <v>SANTA RITA DO ARAGUAIA</v>
      </c>
      <c r="B52" s="11" t="str">
        <f>+Dados!G51</f>
        <v>Gestão municipal</v>
      </c>
      <c r="C52" s="11">
        <f>+Dados!H51</f>
        <v>5</v>
      </c>
      <c r="D52" s="11">
        <f>+Dados!I51</f>
        <v>5</v>
      </c>
      <c r="E52" s="11">
        <f>+Dados!J51</f>
        <v>5</v>
      </c>
      <c r="F52" s="11">
        <f>+Dados!K51</f>
        <v>5</v>
      </c>
      <c r="G52" s="11">
        <f>+Dados!L51</f>
        <v>5</v>
      </c>
      <c r="H52" s="11">
        <f>+Dados!M51</f>
        <v>5</v>
      </c>
      <c r="I52" s="11">
        <f>+Dados!N51</f>
        <v>5</v>
      </c>
    </row>
    <row r="53" spans="1:9" x14ac:dyDescent="0.4">
      <c r="A53" s="11" t="str">
        <f>+Dados!V52</f>
        <v>PEROLÂNDIA</v>
      </c>
      <c r="B53" s="11" t="str">
        <f>+Dados!G52</f>
        <v>Gestão municipal</v>
      </c>
      <c r="C53" s="11">
        <f>+Dados!H52</f>
        <v>5</v>
      </c>
      <c r="D53" s="11">
        <f>+Dados!I52</f>
        <v>5</v>
      </c>
      <c r="E53" s="11">
        <f>+Dados!J52</f>
        <v>5</v>
      </c>
      <c r="F53" s="11">
        <f>+Dados!K52</f>
        <v>4</v>
      </c>
      <c r="G53" s="11">
        <f>+Dados!L52</f>
        <v>4</v>
      </c>
      <c r="H53" s="11">
        <f>+Dados!M52</f>
        <v>5</v>
      </c>
      <c r="I53" s="11">
        <f>+Dados!N52</f>
        <v>5</v>
      </c>
    </row>
    <row r="54" spans="1:9" x14ac:dyDescent="0.4">
      <c r="A54" s="11" t="str">
        <f>+Dados!V53</f>
        <v>RIO VERDE</v>
      </c>
      <c r="B54" s="11" t="str">
        <f>+Dados!G53</f>
        <v>Gestão municipal</v>
      </c>
      <c r="C54" s="11">
        <f>+Dados!H53</f>
        <v>5</v>
      </c>
      <c r="D54" s="11">
        <f>+Dados!I53</f>
        <v>5</v>
      </c>
      <c r="E54" s="11">
        <f>+Dados!J53</f>
        <v>5</v>
      </c>
      <c r="F54" s="11">
        <f>+Dados!K53</f>
        <v>5</v>
      </c>
      <c r="G54" s="11">
        <f>+Dados!L53</f>
        <v>5</v>
      </c>
      <c r="H54" s="11">
        <f>+Dados!M53</f>
        <v>3</v>
      </c>
      <c r="I54" s="11">
        <f>+Dados!N53</f>
        <v>5</v>
      </c>
    </row>
    <row r="55" spans="1:9" x14ac:dyDescent="0.4">
      <c r="A55" s="11" t="str">
        <f>+Dados!V54</f>
        <v>RIBEIRÃOZINHO</v>
      </c>
      <c r="B55" s="11" t="str">
        <f>+Dados!G54</f>
        <v>Gestão municipal</v>
      </c>
      <c r="C55" s="11">
        <f>+Dados!H54</f>
        <v>5</v>
      </c>
      <c r="D55" s="11">
        <f>+Dados!I54</f>
        <v>5</v>
      </c>
      <c r="E55" s="11">
        <f>+Dados!J54</f>
        <v>5</v>
      </c>
      <c r="F55" s="11">
        <f>+Dados!K54</f>
        <v>5</v>
      </c>
      <c r="G55" s="11">
        <f>+Dados!L54</f>
        <v>5</v>
      </c>
      <c r="H55" s="11">
        <f>+Dados!M54</f>
        <v>5</v>
      </c>
      <c r="I55" s="11">
        <f>+Dados!N54</f>
        <v>5</v>
      </c>
    </row>
    <row r="56" spans="1:9" x14ac:dyDescent="0.4">
      <c r="A56" s="11" t="str">
        <f>+Dados!V55</f>
        <v>GOUVELÂNDIA</v>
      </c>
      <c r="B56" s="11" t="str">
        <f>+Dados!G55</f>
        <v>Gestão municipal</v>
      </c>
      <c r="C56" s="11">
        <f>+Dados!H55</f>
        <v>5</v>
      </c>
      <c r="D56" s="11">
        <f>+Dados!I55</f>
        <v>5</v>
      </c>
      <c r="E56" s="11">
        <f>+Dados!J55</f>
        <v>5</v>
      </c>
      <c r="F56" s="11">
        <f>+Dados!K55</f>
        <v>5</v>
      </c>
      <c r="G56" s="11">
        <f>+Dados!L55</f>
        <v>5</v>
      </c>
      <c r="H56" s="11">
        <f>+Dados!M55</f>
        <v>5</v>
      </c>
      <c r="I56" s="11">
        <f>+Dados!N55</f>
        <v>4</v>
      </c>
    </row>
    <row r="57" spans="1:9" x14ac:dyDescent="0.4">
      <c r="A57" s="11" t="str">
        <f>+Dados!V56</f>
        <v>CASSILÂNDIA</v>
      </c>
      <c r="B57" s="11" t="str">
        <f>+Dados!G56</f>
        <v>Gestão municipal</v>
      </c>
      <c r="C57" s="11">
        <f>+Dados!H56</f>
        <v>5</v>
      </c>
      <c r="D57" s="11">
        <f>+Dados!I56</f>
        <v>5</v>
      </c>
      <c r="E57" s="11">
        <f>+Dados!J56</f>
        <v>5</v>
      </c>
      <c r="F57" s="11">
        <f>+Dados!K56</f>
        <v>5</v>
      </c>
      <c r="G57" s="11">
        <f>+Dados!L56</f>
        <v>5</v>
      </c>
      <c r="H57" s="11">
        <f>+Dados!M56</f>
        <v>5</v>
      </c>
      <c r="I57" s="11">
        <f>+Dados!N56</f>
        <v>5</v>
      </c>
    </row>
    <row r="58" spans="1:9" x14ac:dyDescent="0.4">
      <c r="A58" s="11" t="str">
        <f>+Dados!V57</f>
        <v>AMORINÓPOLIS</v>
      </c>
      <c r="B58" s="11" t="str">
        <f>+Dados!G57</f>
        <v>Gestão municipal</v>
      </c>
      <c r="C58" s="11">
        <f>+Dados!H57</f>
        <v>5</v>
      </c>
      <c r="D58" s="11">
        <f>+Dados!I57</f>
        <v>5</v>
      </c>
      <c r="E58" s="11">
        <f>+Dados!J57</f>
        <v>5</v>
      </c>
      <c r="F58" s="11">
        <f>+Dados!K57</f>
        <v>5</v>
      </c>
      <c r="G58" s="11">
        <f>+Dados!L57</f>
        <v>5</v>
      </c>
      <c r="H58" s="11">
        <f>+Dados!M57</f>
        <v>5</v>
      </c>
      <c r="I58" s="11">
        <f>+Dados!N57</f>
        <v>5</v>
      </c>
    </row>
    <row r="59" spans="1:9" x14ac:dyDescent="0.4">
      <c r="A59" s="11" t="str">
        <f>+Dados!V58</f>
        <v>PEROLÂNDIA</v>
      </c>
      <c r="B59" s="11" t="str">
        <f>+Dados!G58</f>
        <v>Gestão municipal</v>
      </c>
      <c r="C59" s="11">
        <f>+Dados!H58</f>
        <v>5</v>
      </c>
      <c r="D59" s="11">
        <f>+Dados!I58</f>
        <v>5</v>
      </c>
      <c r="E59" s="11">
        <f>+Dados!J58</f>
        <v>5</v>
      </c>
      <c r="F59" s="11">
        <f>+Dados!K58</f>
        <v>5</v>
      </c>
      <c r="G59" s="11">
        <f>+Dados!L58</f>
        <v>5</v>
      </c>
      <c r="H59" s="11">
        <f>+Dados!M58</f>
        <v>5</v>
      </c>
      <c r="I59" s="11">
        <f>+Dados!N58</f>
        <v>5</v>
      </c>
    </row>
    <row r="60" spans="1:9" x14ac:dyDescent="0.4">
      <c r="A60" s="11" t="str">
        <f>+Dados!V59</f>
        <v>AMORINÓPOLIS</v>
      </c>
      <c r="B60" s="11" t="str">
        <f>+Dados!G59</f>
        <v>Gestão municipal</v>
      </c>
      <c r="C60" s="11">
        <f>+Dados!H59</f>
        <v>5</v>
      </c>
      <c r="D60" s="11">
        <f>+Dados!I59</f>
        <v>5</v>
      </c>
      <c r="E60" s="11">
        <f>+Dados!J59</f>
        <v>5</v>
      </c>
      <c r="F60" s="11">
        <f>+Dados!K59</f>
        <v>5</v>
      </c>
      <c r="G60" s="11">
        <f>+Dados!L59</f>
        <v>5</v>
      </c>
      <c r="H60" s="11">
        <f>+Dados!M59</f>
        <v>4</v>
      </c>
      <c r="I60" s="11">
        <f>+Dados!N59</f>
        <v>5</v>
      </c>
    </row>
    <row r="61" spans="1:9" x14ac:dyDescent="0.4">
      <c r="A61" s="11" t="str">
        <f>+Dados!V60</f>
        <v>SÃO SIMÃO</v>
      </c>
      <c r="B61" s="11" t="str">
        <f>+Dados!G60</f>
        <v>Gestão municipal</v>
      </c>
      <c r="C61" s="11">
        <f>+Dados!H60</f>
        <v>4</v>
      </c>
      <c r="D61" s="11">
        <f>+Dados!I60</f>
        <v>4</v>
      </c>
      <c r="E61" s="11">
        <f>+Dados!J60</f>
        <v>4</v>
      </c>
      <c r="F61" s="11">
        <f>+Dados!K60</f>
        <v>4</v>
      </c>
      <c r="G61" s="11">
        <f>+Dados!L60</f>
        <v>4</v>
      </c>
      <c r="H61" s="11">
        <f>+Dados!M60</f>
        <v>4</v>
      </c>
      <c r="I61" s="11">
        <f>+Dados!N60</f>
        <v>5</v>
      </c>
    </row>
    <row r="62" spans="1:9" x14ac:dyDescent="0.4">
      <c r="A62" s="11" t="str">
        <f>+Dados!V61</f>
        <v>COSTA RICA</v>
      </c>
      <c r="B62" s="11" t="str">
        <f>+Dados!G61</f>
        <v>Gestão municipal</v>
      </c>
      <c r="C62" s="11">
        <f>+Dados!H61</f>
        <v>5</v>
      </c>
      <c r="D62" s="11">
        <f>+Dados!I61</f>
        <v>5</v>
      </c>
      <c r="E62" s="11">
        <f>+Dados!J61</f>
        <v>5</v>
      </c>
      <c r="F62" s="11">
        <f>+Dados!K61</f>
        <v>4</v>
      </c>
      <c r="G62" s="11">
        <f>+Dados!L61</f>
        <v>5</v>
      </c>
      <c r="H62" s="11">
        <f>+Dados!M61</f>
        <v>5</v>
      </c>
      <c r="I62" s="11">
        <f>+Dados!N61</f>
        <v>5</v>
      </c>
    </row>
    <row r="63" spans="1:9" x14ac:dyDescent="0.4">
      <c r="C63" s="11"/>
      <c r="D63" s="11"/>
      <c r="E63" s="11"/>
      <c r="F63" s="11"/>
      <c r="G63" s="11"/>
      <c r="H63" s="11"/>
      <c r="I63" s="11"/>
    </row>
    <row r="64" spans="1:9" x14ac:dyDescent="0.4">
      <c r="C64" s="11"/>
      <c r="D64" s="11"/>
      <c r="E64" s="11"/>
      <c r="F64" s="11"/>
      <c r="G64" s="11"/>
      <c r="H64" s="11"/>
      <c r="I64" s="11"/>
    </row>
    <row r="65" spans="3:9" x14ac:dyDescent="0.4">
      <c r="C65" s="11"/>
      <c r="D65" s="11"/>
      <c r="E65" s="11"/>
      <c r="F65" s="11"/>
      <c r="G65" s="11"/>
      <c r="H65" s="11"/>
      <c r="I65" s="11"/>
    </row>
    <row r="66" spans="3:9" x14ac:dyDescent="0.4">
      <c r="C66" s="11"/>
      <c r="D66" s="11"/>
      <c r="E66" s="11"/>
      <c r="F66" s="11"/>
      <c r="G66" s="11"/>
      <c r="H66" s="11"/>
      <c r="I66" s="11"/>
    </row>
    <row r="67" spans="3:9" x14ac:dyDescent="0.4">
      <c r="C67" s="11"/>
      <c r="D67" s="11"/>
      <c r="E67" s="11"/>
      <c r="F67" s="11"/>
      <c r="G67" s="11"/>
      <c r="H67" s="11"/>
      <c r="I67" s="11"/>
    </row>
    <row r="68" spans="3:9" x14ac:dyDescent="0.4">
      <c r="C68" s="11"/>
      <c r="D68" s="11"/>
      <c r="E68" s="11"/>
      <c r="F68" s="11"/>
      <c r="G68" s="11"/>
      <c r="H68" s="11"/>
      <c r="I68" s="11"/>
    </row>
    <row r="69" spans="3:9" x14ac:dyDescent="0.4">
      <c r="C69" s="11"/>
      <c r="D69" s="11"/>
      <c r="E69" s="11"/>
      <c r="F69" s="11"/>
      <c r="G69" s="11"/>
      <c r="H69" s="11"/>
      <c r="I69" s="11"/>
    </row>
    <row r="70" spans="3:9" x14ac:dyDescent="0.4">
      <c r="C70" s="11"/>
      <c r="D70" s="11"/>
      <c r="E70" s="11"/>
      <c r="F70" s="11"/>
      <c r="G70" s="11"/>
      <c r="H70" s="11"/>
      <c r="I70" s="11"/>
    </row>
    <row r="71" spans="3:9" x14ac:dyDescent="0.4">
      <c r="C71" s="11"/>
      <c r="D71" s="11"/>
      <c r="E71" s="11"/>
      <c r="F71" s="11"/>
      <c r="G71" s="11"/>
      <c r="H71" s="11"/>
      <c r="I71" s="11"/>
    </row>
    <row r="72" spans="3:9" x14ac:dyDescent="0.4">
      <c r="C72" s="11"/>
      <c r="D72" s="11"/>
      <c r="E72" s="11"/>
      <c r="F72" s="11"/>
      <c r="G72" s="11"/>
      <c r="H72" s="11"/>
      <c r="I72" s="11"/>
    </row>
    <row r="73" spans="3:9" x14ac:dyDescent="0.4">
      <c r="C73" s="11"/>
      <c r="D73" s="11"/>
      <c r="E73" s="11"/>
      <c r="F73" s="11"/>
      <c r="G73" s="11"/>
      <c r="H73" s="11"/>
      <c r="I73" s="11"/>
    </row>
    <row r="74" spans="3:9" x14ac:dyDescent="0.4">
      <c r="C74" s="11"/>
      <c r="D74" s="11"/>
      <c r="E74" s="11"/>
      <c r="F74" s="11"/>
      <c r="G74" s="11"/>
      <c r="H74" s="11"/>
      <c r="I74" s="11"/>
    </row>
    <row r="75" spans="3:9" x14ac:dyDescent="0.4">
      <c r="C75" s="11"/>
      <c r="D75" s="11"/>
      <c r="E75" s="11"/>
      <c r="F75" s="11"/>
      <c r="G75" s="11"/>
      <c r="H75" s="11"/>
      <c r="I75" s="11"/>
    </row>
    <row r="76" spans="3:9" x14ac:dyDescent="0.4">
      <c r="C76" s="11"/>
      <c r="D76" s="11"/>
      <c r="E76" s="11"/>
      <c r="F76" s="11"/>
      <c r="G76" s="11"/>
      <c r="H76" s="11"/>
      <c r="I76" s="11"/>
    </row>
    <row r="77" spans="3:9" x14ac:dyDescent="0.4">
      <c r="C77" s="11"/>
      <c r="D77" s="11"/>
      <c r="E77" s="11"/>
      <c r="F77" s="11"/>
      <c r="G77" s="11"/>
      <c r="H77" s="11"/>
      <c r="I77" s="11"/>
    </row>
    <row r="78" spans="3:9" x14ac:dyDescent="0.4">
      <c r="C78" s="11"/>
      <c r="D78" s="11"/>
      <c r="E78" s="11"/>
      <c r="F78" s="11"/>
      <c r="G78" s="11"/>
      <c r="H78" s="11"/>
      <c r="I78" s="11"/>
    </row>
    <row r="79" spans="3:9" x14ac:dyDescent="0.4">
      <c r="C79" s="11"/>
      <c r="D79" s="11"/>
      <c r="E79" s="11"/>
      <c r="F79" s="11"/>
      <c r="G79" s="11"/>
      <c r="H79" s="11"/>
      <c r="I79" s="11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X87"/>
  <sheetViews>
    <sheetView tabSelected="1" topLeftCell="D68" zoomScaleNormal="100" workbookViewId="0">
      <selection activeCell="G79" sqref="G79"/>
    </sheetView>
  </sheetViews>
  <sheetFormatPr defaultColWidth="9" defaultRowHeight="21.75" customHeight="1" x14ac:dyDescent="0.2"/>
  <cols>
    <col min="1" max="1" width="9" style="3"/>
    <col min="2" max="2" width="4.125" style="3" customWidth="1"/>
    <col min="3" max="3" width="13.5" style="3" bestFit="1" customWidth="1"/>
    <col min="4" max="4" width="9.125" style="3" customWidth="1"/>
    <col min="5" max="5" width="24.625" style="14" bestFit="1" customWidth="1"/>
    <col min="6" max="6" width="9.375" style="15" customWidth="1"/>
    <col min="7" max="9" width="7.75" style="3" customWidth="1"/>
    <col min="10" max="10" width="9" style="3"/>
    <col min="11" max="11" width="9.875" style="3" bestFit="1" customWidth="1"/>
    <col min="12" max="12" width="12.375" style="3" bestFit="1" customWidth="1"/>
    <col min="13" max="13" width="20.625" style="3" bestFit="1" customWidth="1"/>
    <col min="14" max="16384" width="9" style="3"/>
  </cols>
  <sheetData>
    <row r="1" spans="2:24" ht="21.75" customHeight="1" x14ac:dyDescent="0.2">
      <c r="G1" s="16" t="s">
        <v>25</v>
      </c>
      <c r="H1" s="16" t="s">
        <v>27</v>
      </c>
      <c r="I1" s="17" t="s">
        <v>43</v>
      </c>
    </row>
    <row r="3" spans="2:24" s="18" customFormat="1" ht="21.75" customHeight="1" x14ac:dyDescent="0.4">
      <c r="C3" s="71" t="s">
        <v>44</v>
      </c>
      <c r="D3" s="73" t="s">
        <v>45</v>
      </c>
      <c r="E3" s="71" t="s">
        <v>30</v>
      </c>
      <c r="F3" s="73" t="s">
        <v>46</v>
      </c>
      <c r="G3" s="69" t="s">
        <v>50</v>
      </c>
      <c r="H3" s="69"/>
      <c r="I3" s="69"/>
      <c r="K3" s="71" t="s">
        <v>44</v>
      </c>
      <c r="L3" s="73" t="s">
        <v>45</v>
      </c>
      <c r="M3" s="71" t="s">
        <v>30</v>
      </c>
      <c r="N3" s="73" t="s">
        <v>46</v>
      </c>
      <c r="O3" s="69" t="s">
        <v>47</v>
      </c>
      <c r="P3" s="69"/>
      <c r="Q3" s="69"/>
    </row>
    <row r="4" spans="2:24" s="18" customFormat="1" ht="21.75" customHeight="1" x14ac:dyDescent="0.4">
      <c r="C4" s="72"/>
      <c r="D4" s="74"/>
      <c r="E4" s="72"/>
      <c r="F4" s="74"/>
      <c r="G4" s="19" t="s">
        <v>3</v>
      </c>
      <c r="H4" s="19" t="s">
        <v>4</v>
      </c>
      <c r="I4" s="19" t="s">
        <v>43</v>
      </c>
      <c r="K4" s="72"/>
      <c r="L4" s="74"/>
      <c r="M4" s="72"/>
      <c r="N4" s="74"/>
      <c r="O4" s="19" t="s">
        <v>3</v>
      </c>
      <c r="P4" s="19" t="s">
        <v>4</v>
      </c>
      <c r="Q4" s="19" t="s">
        <v>43</v>
      </c>
      <c r="V4"/>
      <c r="W4"/>
      <c r="X4"/>
    </row>
    <row r="5" spans="2:24" s="18" customFormat="1" ht="21.75" customHeight="1" x14ac:dyDescent="0.4">
      <c r="B5" s="18">
        <v>1</v>
      </c>
      <c r="C5" s="20"/>
      <c r="D5" s="115">
        <v>5000252</v>
      </c>
      <c r="E5" s="116" t="s">
        <v>684</v>
      </c>
      <c r="F5" s="21"/>
      <c r="G5" s="22">
        <f>COUNTIFS(Todos!$B$2:$B$71,'Resumo '!G$1,Todos!$A$2:$A$71,'Resumo '!$E5)</f>
        <v>0</v>
      </c>
      <c r="H5" s="22">
        <f>COUNTIFS(Todos!$B$2:$B$71,'Resumo '!H$1,Todos!$A$2:$A$71,'Resumo '!$E5)</f>
        <v>0</v>
      </c>
      <c r="I5" s="23">
        <f>SUM(G5+H5)</f>
        <v>0</v>
      </c>
      <c r="K5" s="20">
        <v>45749</v>
      </c>
      <c r="L5" s="44">
        <v>5100250</v>
      </c>
      <c r="M5" s="45" t="s">
        <v>60</v>
      </c>
      <c r="N5" s="21"/>
      <c r="O5" s="22"/>
      <c r="P5" s="22"/>
      <c r="Q5" s="23"/>
      <c r="S5" s="18" t="str">
        <f>_xlfn.CONCAT(I5,"/",Q5)</f>
        <v>0/</v>
      </c>
      <c r="V5"/>
      <c r="W5"/>
      <c r="X5"/>
    </row>
    <row r="6" spans="2:24" s="18" customFormat="1" ht="21.75" customHeight="1" x14ac:dyDescent="0.4">
      <c r="B6" s="18">
        <v>2</v>
      </c>
      <c r="C6" s="20"/>
      <c r="D6" s="115">
        <v>5100300</v>
      </c>
      <c r="E6" s="116" t="s">
        <v>685</v>
      </c>
      <c r="F6" s="21"/>
      <c r="G6" s="22">
        <f>COUNTIFS(Todos!$B$2:$B$71,'Resumo '!G$1,Todos!$A$2:$A$71,'Resumo '!$E6)</f>
        <v>0</v>
      </c>
      <c r="H6" s="22">
        <f>COUNTIFS(Todos!$B$2:$B$71,'Resumo '!H$1,Todos!$A$2:$A$71,'Resumo '!$E6)</f>
        <v>0</v>
      </c>
      <c r="I6" s="23">
        <f t="shared" ref="I6:I56" si="0">SUM(G6+H6)</f>
        <v>0</v>
      </c>
      <c r="K6" s="20">
        <v>45749</v>
      </c>
      <c r="L6" s="44">
        <v>5100805</v>
      </c>
      <c r="M6" s="45" t="s">
        <v>61</v>
      </c>
      <c r="N6" s="21"/>
      <c r="O6" s="22"/>
      <c r="P6" s="22"/>
      <c r="Q6" s="23"/>
      <c r="S6" s="18" t="str">
        <f t="shared" ref="S6:S58" si="1">_xlfn.CONCAT(I6,"/",Q6)</f>
        <v>0/</v>
      </c>
      <c r="V6"/>
      <c r="W6"/>
      <c r="X6"/>
    </row>
    <row r="7" spans="2:24" s="18" customFormat="1" ht="21.75" customHeight="1" x14ac:dyDescent="0.4">
      <c r="C7" s="20"/>
      <c r="D7" s="115">
        <v>5100409</v>
      </c>
      <c r="E7" s="116" t="s">
        <v>686</v>
      </c>
      <c r="F7" s="21"/>
      <c r="G7" s="22">
        <f>COUNTIFS(Todos!$B$2:$B$71,'Resumo '!G$1,Todos!$A$2:$A$71,'Resumo '!$E7)</f>
        <v>0</v>
      </c>
      <c r="H7" s="22">
        <f>COUNTIFS(Todos!$B$2:$B$71,'Resumo '!H$1,Todos!$A$2:$A$71,'Resumo '!$E7)</f>
        <v>0</v>
      </c>
      <c r="I7" s="23">
        <f t="shared" si="0"/>
        <v>0</v>
      </c>
      <c r="K7" s="20"/>
      <c r="L7" s="44">
        <v>5102793</v>
      </c>
      <c r="M7" s="45" t="s">
        <v>63</v>
      </c>
      <c r="N7" s="21"/>
      <c r="O7" s="22"/>
      <c r="P7" s="22"/>
      <c r="Q7" s="23"/>
      <c r="V7"/>
      <c r="W7"/>
      <c r="X7"/>
    </row>
    <row r="8" spans="2:24" s="18" customFormat="1" ht="21.75" customHeight="1" x14ac:dyDescent="0.4">
      <c r="C8" s="20"/>
      <c r="D8" s="115">
        <v>5100607</v>
      </c>
      <c r="E8" s="116" t="s">
        <v>687</v>
      </c>
      <c r="F8" s="21"/>
      <c r="G8" s="22">
        <f>COUNTIFS(Todos!$B$2:$B$71,'Resumo '!G$1,Todos!$A$2:$A$71,'Resumo '!$E8)</f>
        <v>0</v>
      </c>
      <c r="H8" s="22">
        <f>COUNTIFS(Todos!$B$2:$B$71,'Resumo '!H$1,Todos!$A$2:$A$71,'Resumo '!$E8)</f>
        <v>1</v>
      </c>
      <c r="I8" s="23">
        <f t="shared" si="0"/>
        <v>1</v>
      </c>
      <c r="K8" s="20"/>
      <c r="L8" s="44"/>
      <c r="M8" s="45"/>
      <c r="N8" s="21"/>
      <c r="O8" s="22"/>
      <c r="P8" s="22"/>
      <c r="Q8" s="23"/>
      <c r="V8"/>
      <c r="W8"/>
      <c r="X8"/>
    </row>
    <row r="9" spans="2:24" s="18" customFormat="1" ht="21.75" customHeight="1" x14ac:dyDescent="0.4">
      <c r="C9" s="20"/>
      <c r="D9" s="115">
        <v>5200902</v>
      </c>
      <c r="E9" s="116" t="s">
        <v>688</v>
      </c>
      <c r="F9" s="21"/>
      <c r="G9" s="22">
        <f>COUNTIFS(Todos!$B$2:$B$71,'Resumo '!G$1,Todos!$A$2:$A$71,'Resumo '!$E9)</f>
        <v>0</v>
      </c>
      <c r="H9" s="22">
        <f>COUNTIFS(Todos!$B$2:$B$71,'Resumo '!H$1,Todos!$A$2:$A$71,'Resumo '!$E9)</f>
        <v>3</v>
      </c>
      <c r="I9" s="23">
        <f t="shared" si="0"/>
        <v>3</v>
      </c>
      <c r="K9" s="20"/>
      <c r="L9" s="44"/>
      <c r="M9" s="45"/>
      <c r="N9" s="21"/>
      <c r="O9" s="22"/>
      <c r="P9" s="22"/>
      <c r="Q9" s="23"/>
      <c r="V9"/>
      <c r="W9"/>
      <c r="X9"/>
    </row>
    <row r="10" spans="2:24" s="18" customFormat="1" ht="21.75" customHeight="1" x14ac:dyDescent="0.4">
      <c r="C10" s="20"/>
      <c r="D10" s="115">
        <v>5201454</v>
      </c>
      <c r="E10" s="116" t="s">
        <v>689</v>
      </c>
      <c r="F10" s="21"/>
      <c r="G10" s="22">
        <f>COUNTIFS(Todos!$B$2:$B$71,'Resumo '!G$1,Todos!$A$2:$A$71,'Resumo '!$E10)</f>
        <v>0</v>
      </c>
      <c r="H10" s="22">
        <f>COUNTIFS(Todos!$B$2:$B$71,'Resumo '!H$1,Todos!$A$2:$A$71,'Resumo '!$E10)</f>
        <v>1</v>
      </c>
      <c r="I10" s="23">
        <f t="shared" si="0"/>
        <v>1</v>
      </c>
      <c r="K10" s="20"/>
      <c r="L10" s="44"/>
      <c r="M10" s="45"/>
      <c r="N10" s="21"/>
      <c r="O10" s="22"/>
      <c r="P10" s="22"/>
      <c r="Q10" s="23"/>
      <c r="V10"/>
      <c r="W10"/>
      <c r="X10"/>
    </row>
    <row r="11" spans="2:24" s="18" customFormat="1" ht="21.75" customHeight="1" x14ac:dyDescent="0.4">
      <c r="C11" s="20"/>
      <c r="D11" s="115">
        <v>5001003</v>
      </c>
      <c r="E11" s="116" t="s">
        <v>690</v>
      </c>
      <c r="F11" s="21"/>
      <c r="G11" s="22">
        <f>COUNTIFS(Todos!$B$2:$B$71,'Resumo '!G$1,Todos!$A$2:$A$71,'Resumo '!$E11)</f>
        <v>0</v>
      </c>
      <c r="H11" s="22">
        <f>COUNTIFS(Todos!$B$2:$B$71,'Resumo '!H$1,Todos!$A$2:$A$71,'Resumo '!$E11)</f>
        <v>0</v>
      </c>
      <c r="I11" s="23">
        <f t="shared" si="0"/>
        <v>0</v>
      </c>
      <c r="K11" s="20"/>
      <c r="L11" s="44"/>
      <c r="M11" s="45"/>
      <c r="N11" s="21"/>
      <c r="O11" s="22"/>
      <c r="P11" s="22"/>
      <c r="Q11" s="23"/>
      <c r="V11"/>
      <c r="W11"/>
      <c r="X11"/>
    </row>
    <row r="12" spans="2:24" s="18" customFormat="1" ht="21.75" customHeight="1" x14ac:dyDescent="0.4">
      <c r="C12" s="20"/>
      <c r="D12" s="115">
        <v>5201504</v>
      </c>
      <c r="E12" s="116" t="s">
        <v>691</v>
      </c>
      <c r="F12" s="21"/>
      <c r="G12" s="22">
        <f>COUNTIFS(Todos!$B$2:$B$71,'Resumo '!G$1,Todos!$A$2:$A$71,'Resumo '!$E12)</f>
        <v>0</v>
      </c>
      <c r="H12" s="22">
        <f>COUNTIFS(Todos!$B$2:$B$71,'Resumo '!H$1,Todos!$A$2:$A$71,'Resumo '!$E12)</f>
        <v>2</v>
      </c>
      <c r="I12" s="23">
        <f t="shared" si="0"/>
        <v>2</v>
      </c>
      <c r="K12" s="20"/>
      <c r="L12" s="44"/>
      <c r="M12" s="45"/>
      <c r="N12" s="21"/>
      <c r="O12" s="22"/>
      <c r="P12" s="22"/>
      <c r="Q12" s="23"/>
      <c r="V12"/>
      <c r="W12"/>
      <c r="X12"/>
    </row>
    <row r="13" spans="2:24" s="18" customFormat="1" ht="21.75" customHeight="1" x14ac:dyDescent="0.4">
      <c r="C13" s="20"/>
      <c r="D13" s="115">
        <v>5101209</v>
      </c>
      <c r="E13" s="116" t="s">
        <v>692</v>
      </c>
      <c r="F13" s="21"/>
      <c r="G13" s="22">
        <f>COUNTIFS(Todos!$B$2:$B$71,'Resumo '!G$1,Todos!$A$2:$A$71,'Resumo '!$E13)</f>
        <v>0</v>
      </c>
      <c r="H13" s="22">
        <f>COUNTIFS(Todos!$B$2:$B$71,'Resumo '!H$1,Todos!$A$2:$A$71,'Resumo '!$E13)</f>
        <v>0</v>
      </c>
      <c r="I13" s="23">
        <f t="shared" si="0"/>
        <v>0</v>
      </c>
      <c r="K13" s="20"/>
      <c r="L13" s="44"/>
      <c r="M13" s="45"/>
      <c r="N13" s="21"/>
      <c r="O13" s="22"/>
      <c r="P13" s="22"/>
      <c r="Q13" s="23"/>
      <c r="V13"/>
      <c r="W13"/>
      <c r="X13"/>
    </row>
    <row r="14" spans="2:24" s="18" customFormat="1" ht="21.75" customHeight="1" x14ac:dyDescent="0.4">
      <c r="C14" s="20"/>
      <c r="D14" s="115">
        <v>5202353</v>
      </c>
      <c r="E14" s="116" t="s">
        <v>693</v>
      </c>
      <c r="F14" s="21"/>
      <c r="G14" s="22">
        <f>COUNTIFS(Todos!$B$2:$B$71,'Resumo '!G$1,Todos!$A$2:$A$71,'Resumo '!$E14)</f>
        <v>0</v>
      </c>
      <c r="H14" s="22">
        <f>COUNTIFS(Todos!$B$2:$B$71,'Resumo '!H$1,Todos!$A$2:$A$71,'Resumo '!$E14)</f>
        <v>0</v>
      </c>
      <c r="I14" s="23">
        <f t="shared" si="0"/>
        <v>0</v>
      </c>
      <c r="K14" s="20"/>
      <c r="L14" s="44"/>
      <c r="M14" s="45"/>
      <c r="N14" s="21"/>
      <c r="O14" s="22"/>
      <c r="P14" s="22"/>
      <c r="Q14" s="23"/>
      <c r="V14"/>
      <c r="W14"/>
      <c r="X14"/>
    </row>
    <row r="15" spans="2:24" s="18" customFormat="1" ht="21.75" customHeight="1" x14ac:dyDescent="0.4">
      <c r="C15" s="20"/>
      <c r="D15" s="115">
        <v>5203500</v>
      </c>
      <c r="E15" s="116" t="s">
        <v>694</v>
      </c>
      <c r="F15" s="21"/>
      <c r="G15" s="22">
        <f>COUNTIFS(Todos!$B$2:$B$71,'Resumo '!G$1,Todos!$A$2:$A$71,'Resumo '!$E15)</f>
        <v>0</v>
      </c>
      <c r="H15" s="22">
        <f>COUNTIFS(Todos!$B$2:$B$71,'Resumo '!H$1,Todos!$A$2:$A$71,'Resumo '!$E15)</f>
        <v>0</v>
      </c>
      <c r="I15" s="23">
        <f t="shared" si="0"/>
        <v>0</v>
      </c>
      <c r="K15" s="20"/>
      <c r="L15" s="44"/>
      <c r="M15" s="45"/>
      <c r="N15" s="21"/>
      <c r="O15" s="22"/>
      <c r="P15" s="22"/>
      <c r="Q15" s="23"/>
      <c r="V15"/>
      <c r="W15"/>
      <c r="X15"/>
    </row>
    <row r="16" spans="2:24" s="18" customFormat="1" ht="21.75" customHeight="1" x14ac:dyDescent="0.4">
      <c r="C16" s="20"/>
      <c r="D16" s="115">
        <v>5204102</v>
      </c>
      <c r="E16" s="116" t="s">
        <v>695</v>
      </c>
      <c r="F16" s="21"/>
      <c r="G16" s="22">
        <f>COUNTIFS(Todos!$B$2:$B$71,'Resumo '!G$1,Todos!$A$2:$A$71,'Resumo '!$E16)</f>
        <v>1</v>
      </c>
      <c r="H16" s="22">
        <f>COUNTIFS(Todos!$B$2:$B$71,'Resumo '!H$1,Todos!$A$2:$A$71,'Resumo '!$E16)</f>
        <v>1</v>
      </c>
      <c r="I16" s="23">
        <f t="shared" si="0"/>
        <v>2</v>
      </c>
      <c r="K16" s="20"/>
      <c r="L16" s="44"/>
      <c r="M16" s="45"/>
      <c r="N16" s="21"/>
      <c r="O16" s="22"/>
      <c r="P16" s="22"/>
      <c r="Q16" s="23"/>
      <c r="V16"/>
      <c r="W16"/>
      <c r="X16"/>
    </row>
    <row r="17" spans="3:24" s="18" customFormat="1" ht="21.75" customHeight="1" x14ac:dyDescent="0.4">
      <c r="C17" s="20"/>
      <c r="D17" s="115">
        <v>5204300</v>
      </c>
      <c r="E17" s="116" t="s">
        <v>696</v>
      </c>
      <c r="F17" s="21"/>
      <c r="G17" s="22">
        <f>COUNTIFS(Todos!$B$2:$B$71,'Resumo '!G$1,Todos!$A$2:$A$71,'Resumo '!$E17)</f>
        <v>0</v>
      </c>
      <c r="H17" s="22">
        <f>COUNTIFS(Todos!$B$2:$B$71,'Resumo '!H$1,Todos!$A$2:$A$71,'Resumo '!$E17)</f>
        <v>0</v>
      </c>
      <c r="I17" s="23">
        <f t="shared" si="0"/>
        <v>0</v>
      </c>
      <c r="K17" s="20"/>
      <c r="L17" s="44"/>
      <c r="M17" s="45"/>
      <c r="N17" s="21"/>
      <c r="O17" s="22"/>
      <c r="P17" s="22"/>
      <c r="Q17" s="23"/>
      <c r="V17"/>
      <c r="W17"/>
      <c r="X17"/>
    </row>
    <row r="18" spans="3:24" s="18" customFormat="1" ht="21.75" customHeight="1" x14ac:dyDescent="0.4">
      <c r="C18" s="20"/>
      <c r="D18" s="115">
        <v>5204409</v>
      </c>
      <c r="E18" s="116" t="s">
        <v>697</v>
      </c>
      <c r="F18" s="21"/>
      <c r="G18" s="22">
        <f>COUNTIFS(Todos!$B$2:$B$71,'Resumo '!G$1,Todos!$A$2:$A$71,'Resumo '!$E18)</f>
        <v>0</v>
      </c>
      <c r="H18" s="22">
        <f>COUNTIFS(Todos!$B$2:$B$71,'Resumo '!H$1,Todos!$A$2:$A$71,'Resumo '!$E18)</f>
        <v>2</v>
      </c>
      <c r="I18" s="23">
        <f t="shared" si="0"/>
        <v>2</v>
      </c>
      <c r="K18" s="20"/>
      <c r="L18" s="44"/>
      <c r="M18" s="45"/>
      <c r="N18" s="21"/>
      <c r="O18" s="22"/>
      <c r="P18" s="22"/>
      <c r="Q18" s="23"/>
      <c r="V18"/>
      <c r="W18"/>
      <c r="X18"/>
    </row>
    <row r="19" spans="3:24" s="18" customFormat="1" ht="21.75" customHeight="1" x14ac:dyDescent="0.4">
      <c r="C19" s="20"/>
      <c r="D19" s="115">
        <v>5002902</v>
      </c>
      <c r="E19" s="116" t="s">
        <v>698</v>
      </c>
      <c r="F19" s="21"/>
      <c r="G19" s="22">
        <f>COUNTIFS(Todos!$B$2:$B$71,'Resumo '!G$1,Todos!$A$2:$A$71,'Resumo '!$E19)</f>
        <v>0</v>
      </c>
      <c r="H19" s="22">
        <f>COUNTIFS(Todos!$B$2:$B$71,'Resumo '!H$1,Todos!$A$2:$A$71,'Resumo '!$E19)</f>
        <v>2</v>
      </c>
      <c r="I19" s="23">
        <f t="shared" si="0"/>
        <v>2</v>
      </c>
      <c r="K19" s="20"/>
      <c r="L19" s="44"/>
      <c r="M19" s="45"/>
      <c r="N19" s="21"/>
      <c r="O19" s="22"/>
      <c r="P19" s="22"/>
      <c r="Q19" s="23"/>
      <c r="V19"/>
      <c r="W19"/>
      <c r="X19"/>
    </row>
    <row r="20" spans="3:24" s="18" customFormat="1" ht="21.75" customHeight="1" x14ac:dyDescent="0.4">
      <c r="C20" s="20"/>
      <c r="D20" s="115">
        <v>5205059</v>
      </c>
      <c r="E20" s="116" t="s">
        <v>699</v>
      </c>
      <c r="F20" s="21"/>
      <c r="G20" s="22">
        <f>COUNTIFS(Todos!$B$2:$B$71,'Resumo '!G$1,Todos!$A$2:$A$71,'Resumo '!$E20)</f>
        <v>1</v>
      </c>
      <c r="H20" s="22">
        <f>COUNTIFS(Todos!$B$2:$B$71,'Resumo '!H$1,Todos!$A$2:$A$71,'Resumo '!$E20)</f>
        <v>3</v>
      </c>
      <c r="I20" s="23">
        <f t="shared" si="0"/>
        <v>4</v>
      </c>
      <c r="K20" s="20"/>
      <c r="L20" s="44"/>
      <c r="M20" s="45"/>
      <c r="N20" s="21"/>
      <c r="O20" s="22"/>
      <c r="P20" s="22"/>
      <c r="Q20" s="23"/>
      <c r="V20"/>
      <c r="W20"/>
      <c r="X20"/>
    </row>
    <row r="21" spans="3:24" s="18" customFormat="1" ht="21.75" customHeight="1" x14ac:dyDescent="0.4">
      <c r="C21" s="20"/>
      <c r="D21" s="115">
        <v>5205471</v>
      </c>
      <c r="E21" s="116" t="s">
        <v>700</v>
      </c>
      <c r="F21" s="21"/>
      <c r="G21" s="22">
        <f>COUNTIFS(Todos!$B$2:$B$71,'Resumo '!G$1,Todos!$A$2:$A$71,'Resumo '!$E21)</f>
        <v>1</v>
      </c>
      <c r="H21" s="22">
        <f>COUNTIFS(Todos!$B$2:$B$71,'Resumo '!H$1,Todos!$A$2:$A$71,'Resumo '!$E21)</f>
        <v>1</v>
      </c>
      <c r="I21" s="23">
        <f t="shared" si="0"/>
        <v>2</v>
      </c>
      <c r="K21" s="20"/>
      <c r="L21" s="44"/>
      <c r="M21" s="45"/>
      <c r="N21" s="21"/>
      <c r="O21" s="22"/>
      <c r="P21" s="22"/>
      <c r="Q21" s="23"/>
      <c r="V21"/>
      <c r="W21"/>
      <c r="X21"/>
    </row>
    <row r="22" spans="3:24" s="18" customFormat="1" ht="21.75" customHeight="1" x14ac:dyDescent="0.4">
      <c r="C22" s="20"/>
      <c r="D22" s="115">
        <v>5002951</v>
      </c>
      <c r="E22" s="116" t="s">
        <v>701</v>
      </c>
      <c r="F22" s="21"/>
      <c r="G22" s="22">
        <f>COUNTIFS(Todos!$B$2:$B$71,'Resumo '!G$1,Todos!$A$2:$A$71,'Resumo '!$E22)</f>
        <v>0</v>
      </c>
      <c r="H22" s="22">
        <f>COUNTIFS(Todos!$B$2:$B$71,'Resumo '!H$1,Todos!$A$2:$A$71,'Resumo '!$E22)</f>
        <v>0</v>
      </c>
      <c r="I22" s="23">
        <f t="shared" si="0"/>
        <v>0</v>
      </c>
      <c r="K22" s="20"/>
      <c r="L22" s="44"/>
      <c r="M22" s="45"/>
      <c r="N22" s="21"/>
      <c r="O22" s="22"/>
      <c r="P22" s="22"/>
      <c r="Q22" s="23"/>
      <c r="V22"/>
      <c r="W22"/>
      <c r="X22"/>
    </row>
    <row r="23" spans="3:24" s="18" customFormat="1" ht="21.75" customHeight="1" x14ac:dyDescent="0.4">
      <c r="C23" s="20"/>
      <c r="D23" s="115">
        <v>5003256</v>
      </c>
      <c r="E23" s="116" t="s">
        <v>702</v>
      </c>
      <c r="F23" s="21"/>
      <c r="G23" s="22">
        <f>COUNTIFS(Todos!$B$2:$B$71,'Resumo '!G$1,Todos!$A$2:$A$71,'Resumo '!$E23)</f>
        <v>0</v>
      </c>
      <c r="H23" s="22">
        <f>COUNTIFS(Todos!$B$2:$B$71,'Resumo '!H$1,Todos!$A$2:$A$71,'Resumo '!$E23)</f>
        <v>2</v>
      </c>
      <c r="I23" s="23">
        <f t="shared" si="0"/>
        <v>2</v>
      </c>
      <c r="K23" s="20"/>
      <c r="L23" s="44"/>
      <c r="M23" s="45"/>
      <c r="N23" s="21"/>
      <c r="O23" s="22"/>
      <c r="P23" s="22"/>
      <c r="Q23" s="23"/>
      <c r="V23"/>
      <c r="W23"/>
      <c r="X23"/>
    </row>
    <row r="24" spans="3:24" s="18" customFormat="1" ht="21.75" customHeight="1" x14ac:dyDescent="0.4">
      <c r="C24" s="20"/>
      <c r="D24" s="115">
        <v>5207105</v>
      </c>
      <c r="E24" s="116" t="s">
        <v>703</v>
      </c>
      <c r="F24" s="21"/>
      <c r="G24" s="22">
        <f>COUNTIFS(Todos!$B$2:$B$71,'Resumo '!G$1,Todos!$A$2:$A$71,'Resumo '!$E24)</f>
        <v>0</v>
      </c>
      <c r="H24" s="22">
        <f>COUNTIFS(Todos!$B$2:$B$71,'Resumo '!H$1,Todos!$A$2:$A$71,'Resumo '!$E24)</f>
        <v>0</v>
      </c>
      <c r="I24" s="23">
        <f t="shared" si="0"/>
        <v>0</v>
      </c>
      <c r="K24" s="20"/>
      <c r="L24" s="44"/>
      <c r="M24" s="45"/>
      <c r="N24" s="21"/>
      <c r="O24" s="22"/>
      <c r="P24" s="22"/>
      <c r="Q24" s="23"/>
      <c r="V24"/>
      <c r="W24"/>
      <c r="X24"/>
    </row>
    <row r="25" spans="3:24" s="18" customFormat="1" ht="21.75" customHeight="1" x14ac:dyDescent="0.4">
      <c r="C25" s="20"/>
      <c r="D25" s="115">
        <v>5207253</v>
      </c>
      <c r="E25" s="116" t="s">
        <v>704</v>
      </c>
      <c r="F25" s="21"/>
      <c r="G25" s="22">
        <f>COUNTIFS(Todos!$B$2:$B$71,'Resumo '!G$1,Todos!$A$2:$A$71,'Resumo '!$E25)</f>
        <v>0</v>
      </c>
      <c r="H25" s="22">
        <f>COUNTIFS(Todos!$B$2:$B$71,'Resumo '!H$1,Todos!$A$2:$A$71,'Resumo '!$E25)</f>
        <v>0</v>
      </c>
      <c r="I25" s="23">
        <f t="shared" si="0"/>
        <v>0</v>
      </c>
      <c r="K25" s="20"/>
      <c r="L25" s="44"/>
      <c r="M25" s="45"/>
      <c r="N25" s="21"/>
      <c r="O25" s="22"/>
      <c r="P25" s="22"/>
      <c r="Q25" s="23"/>
      <c r="V25"/>
      <c r="W25"/>
      <c r="X25"/>
    </row>
    <row r="26" spans="3:24" s="18" customFormat="1" ht="21.75" customHeight="1" x14ac:dyDescent="0.4">
      <c r="C26" s="20"/>
      <c r="D26" s="115">
        <v>5209150</v>
      </c>
      <c r="E26" s="116" t="s">
        <v>705</v>
      </c>
      <c r="F26" s="21"/>
      <c r="G26" s="22">
        <f>COUNTIFS(Todos!$B$2:$B$71,'Resumo '!G$1,Todos!$A$2:$A$71,'Resumo '!$E26)</f>
        <v>0</v>
      </c>
      <c r="H26" s="22">
        <f>COUNTIFS(Todos!$B$2:$B$71,'Resumo '!H$1,Todos!$A$2:$A$71,'Resumo '!$E26)</f>
        <v>1</v>
      </c>
      <c r="I26" s="23">
        <f t="shared" si="0"/>
        <v>1</v>
      </c>
      <c r="K26" s="20"/>
      <c r="L26" s="44"/>
      <c r="M26" s="45"/>
      <c r="N26" s="21"/>
      <c r="O26" s="22"/>
      <c r="P26" s="22"/>
      <c r="Q26" s="23"/>
      <c r="V26"/>
      <c r="W26"/>
      <c r="X26"/>
    </row>
    <row r="27" spans="3:24" s="18" customFormat="1" ht="21.75" customHeight="1" x14ac:dyDescent="0.4">
      <c r="C27" s="20"/>
      <c r="D27" s="115">
        <v>5209937</v>
      </c>
      <c r="E27" s="116" t="s">
        <v>706</v>
      </c>
      <c r="F27" s="21"/>
      <c r="G27" s="22">
        <f>COUNTIFS(Todos!$B$2:$B$71,'Resumo '!G$1,Todos!$A$2:$A$71,'Resumo '!$E27)</f>
        <v>1</v>
      </c>
      <c r="H27" s="22">
        <f>COUNTIFS(Todos!$B$2:$B$71,'Resumo '!H$1,Todos!$A$2:$A$71,'Resumo '!$E27)</f>
        <v>1</v>
      </c>
      <c r="I27" s="23">
        <f t="shared" si="0"/>
        <v>2</v>
      </c>
      <c r="K27" s="20"/>
      <c r="L27" s="44"/>
      <c r="M27" s="45"/>
      <c r="N27" s="21"/>
      <c r="O27" s="22"/>
      <c r="P27" s="22"/>
      <c r="Q27" s="23"/>
      <c r="V27"/>
      <c r="W27"/>
      <c r="X27"/>
    </row>
    <row r="28" spans="3:24" s="18" customFormat="1" ht="21.75" customHeight="1" x14ac:dyDescent="0.4">
      <c r="C28" s="20"/>
      <c r="D28" s="115">
        <v>5210208</v>
      </c>
      <c r="E28" s="116" t="s">
        <v>707</v>
      </c>
      <c r="F28" s="21"/>
      <c r="G28" s="22">
        <f>COUNTIFS(Todos!$B$2:$B$71,'Resumo '!G$1,Todos!$A$2:$A$71,'Resumo '!$E28)</f>
        <v>0</v>
      </c>
      <c r="H28" s="22">
        <f>COUNTIFS(Todos!$B$2:$B$71,'Resumo '!H$1,Todos!$A$2:$A$71,'Resumo '!$E28)</f>
        <v>0</v>
      </c>
      <c r="I28" s="23">
        <f t="shared" si="0"/>
        <v>0</v>
      </c>
      <c r="K28" s="20"/>
      <c r="L28" s="44"/>
      <c r="M28" s="45"/>
      <c r="N28" s="21"/>
      <c r="O28" s="22"/>
      <c r="P28" s="22"/>
      <c r="Q28" s="23"/>
      <c r="V28"/>
      <c r="W28"/>
      <c r="X28"/>
    </row>
    <row r="29" spans="3:24" s="18" customFormat="1" ht="21.75" customHeight="1" x14ac:dyDescent="0.4">
      <c r="C29" s="20"/>
      <c r="D29" s="115">
        <v>5210802</v>
      </c>
      <c r="E29" s="116" t="s">
        <v>708</v>
      </c>
      <c r="F29" s="21"/>
      <c r="G29" s="22">
        <f>COUNTIFS(Todos!$B$2:$B$71,'Resumo '!G$1,Todos!$A$2:$A$71,'Resumo '!$E29)</f>
        <v>1</v>
      </c>
      <c r="H29" s="22">
        <f>COUNTIFS(Todos!$B$2:$B$71,'Resumo '!H$1,Todos!$A$2:$A$71,'Resumo '!$E29)</f>
        <v>0</v>
      </c>
      <c r="I29" s="23">
        <f t="shared" si="0"/>
        <v>1</v>
      </c>
      <c r="K29" s="20"/>
      <c r="L29" s="44"/>
      <c r="M29" s="45"/>
      <c r="N29" s="21"/>
      <c r="O29" s="22"/>
      <c r="P29" s="22"/>
      <c r="Q29" s="23"/>
      <c r="V29"/>
      <c r="W29"/>
      <c r="X29"/>
    </row>
    <row r="30" spans="3:24" s="18" customFormat="1" ht="21.75" customHeight="1" x14ac:dyDescent="0.4">
      <c r="C30" s="20"/>
      <c r="D30" s="115">
        <v>5211305</v>
      </c>
      <c r="E30" s="116" t="s">
        <v>709</v>
      </c>
      <c r="F30" s="21"/>
      <c r="G30" s="22">
        <f>COUNTIFS(Todos!$B$2:$B$71,'Resumo '!G$1,Todos!$A$2:$A$71,'Resumo '!$E30)</f>
        <v>1</v>
      </c>
      <c r="H30" s="22">
        <f>COUNTIFS(Todos!$B$2:$B$71,'Resumo '!H$1,Todos!$A$2:$A$71,'Resumo '!$E30)</f>
        <v>0</v>
      </c>
      <c r="I30" s="23">
        <f t="shared" si="0"/>
        <v>1</v>
      </c>
      <c r="K30" s="20"/>
      <c r="L30" s="44"/>
      <c r="M30" s="45"/>
      <c r="N30" s="21"/>
      <c r="O30" s="22"/>
      <c r="P30" s="22"/>
      <c r="Q30" s="23"/>
      <c r="V30"/>
      <c r="W30"/>
      <c r="X30"/>
    </row>
    <row r="31" spans="3:24" s="18" customFormat="1" ht="21.75" customHeight="1" x14ac:dyDescent="0.4">
      <c r="C31" s="20"/>
      <c r="D31" s="115">
        <v>5211909</v>
      </c>
      <c r="E31" s="116" t="s">
        <v>710</v>
      </c>
      <c r="F31" s="21"/>
      <c r="G31" s="22">
        <f>COUNTIFS(Todos!$B$2:$B$71,'Resumo '!G$1,Todos!$A$2:$A$71,'Resumo '!$E31)</f>
        <v>1</v>
      </c>
      <c r="H31" s="22">
        <f>COUNTIFS(Todos!$B$2:$B$71,'Resumo '!H$1,Todos!$A$2:$A$71,'Resumo '!$E31)</f>
        <v>2</v>
      </c>
      <c r="I31" s="23">
        <f t="shared" si="0"/>
        <v>3</v>
      </c>
      <c r="K31" s="20"/>
      <c r="L31" s="44"/>
      <c r="M31" s="45"/>
      <c r="N31" s="21"/>
      <c r="O31" s="22"/>
      <c r="P31" s="22"/>
      <c r="Q31" s="23"/>
      <c r="V31"/>
      <c r="W31"/>
      <c r="X31"/>
    </row>
    <row r="32" spans="3:24" s="18" customFormat="1" ht="21.75" customHeight="1" x14ac:dyDescent="0.4">
      <c r="C32" s="20"/>
      <c r="D32" s="115">
        <v>5212253</v>
      </c>
      <c r="E32" s="116" t="s">
        <v>711</v>
      </c>
      <c r="F32" s="21"/>
      <c r="G32" s="22">
        <f>COUNTIFS(Todos!$B$2:$B$71,'Resumo '!G$1,Todos!$A$2:$A$71,'Resumo '!$E32)</f>
        <v>0</v>
      </c>
      <c r="H32" s="22">
        <f>COUNTIFS(Todos!$B$2:$B$71,'Resumo '!H$1,Todos!$A$2:$A$71,'Resumo '!$E32)</f>
        <v>0</v>
      </c>
      <c r="I32" s="23">
        <f t="shared" si="0"/>
        <v>0</v>
      </c>
      <c r="K32" s="20"/>
      <c r="L32" s="44"/>
      <c r="M32" s="45"/>
      <c r="N32" s="21"/>
      <c r="O32" s="22"/>
      <c r="P32" s="22"/>
      <c r="Q32" s="23"/>
      <c r="V32"/>
      <c r="W32"/>
      <c r="X32"/>
    </row>
    <row r="33" spans="3:24" s="18" customFormat="1" ht="21.75" customHeight="1" x14ac:dyDescent="0.4">
      <c r="C33" s="20"/>
      <c r="D33" s="115">
        <v>5213004</v>
      </c>
      <c r="E33" s="116" t="s">
        <v>712</v>
      </c>
      <c r="F33" s="21"/>
      <c r="G33" s="22">
        <f>COUNTIFS(Todos!$B$2:$B$71,'Resumo '!G$1,Todos!$A$2:$A$71,'Resumo '!$E33)</f>
        <v>0</v>
      </c>
      <c r="H33" s="22">
        <f>COUNTIFS(Todos!$B$2:$B$71,'Resumo '!H$1,Todos!$A$2:$A$71,'Resumo '!$E33)</f>
        <v>1</v>
      </c>
      <c r="I33" s="23">
        <f t="shared" si="0"/>
        <v>1</v>
      </c>
      <c r="K33" s="20"/>
      <c r="L33" s="44"/>
      <c r="M33" s="45"/>
      <c r="N33" s="21"/>
      <c r="O33" s="22"/>
      <c r="P33" s="22"/>
      <c r="Q33" s="23"/>
      <c r="V33"/>
      <c r="W33"/>
      <c r="X33"/>
    </row>
    <row r="34" spans="3:24" s="18" customFormat="1" ht="21.75" customHeight="1" x14ac:dyDescent="0.4">
      <c r="C34" s="20"/>
      <c r="D34" s="115">
        <v>5213103</v>
      </c>
      <c r="E34" s="116" t="s">
        <v>713</v>
      </c>
      <c r="F34" s="21"/>
      <c r="G34" s="22">
        <f>COUNTIFS(Todos!$B$2:$B$71,'Resumo '!G$1,Todos!$A$2:$A$71,'Resumo '!$E34)</f>
        <v>0</v>
      </c>
      <c r="H34" s="22">
        <f>COUNTIFS(Todos!$B$2:$B$71,'Resumo '!H$1,Todos!$A$2:$A$71,'Resumo '!$E34)</f>
        <v>2</v>
      </c>
      <c r="I34" s="23">
        <f t="shared" si="0"/>
        <v>2</v>
      </c>
      <c r="K34" s="20"/>
      <c r="L34" s="44"/>
      <c r="M34" s="45"/>
      <c r="N34" s="21"/>
      <c r="O34" s="22"/>
      <c r="P34" s="22"/>
      <c r="Q34" s="23"/>
      <c r="V34"/>
      <c r="W34"/>
      <c r="X34"/>
    </row>
    <row r="35" spans="3:24" s="18" customFormat="1" ht="21.75" customHeight="1" x14ac:dyDescent="0.4">
      <c r="C35" s="20"/>
      <c r="D35" s="115">
        <v>5213756</v>
      </c>
      <c r="E35" s="116" t="s">
        <v>714</v>
      </c>
      <c r="F35" s="21"/>
      <c r="G35" s="22">
        <f>COUNTIFS(Todos!$B$2:$B$71,'Resumo '!G$1,Todos!$A$2:$A$71,'Resumo '!$E35)</f>
        <v>0</v>
      </c>
      <c r="H35" s="22">
        <f>COUNTIFS(Todos!$B$2:$B$71,'Resumo '!H$1,Todos!$A$2:$A$71,'Resumo '!$E35)</f>
        <v>2</v>
      </c>
      <c r="I35" s="23">
        <f t="shared" si="0"/>
        <v>2</v>
      </c>
      <c r="K35" s="20"/>
      <c r="L35" s="44"/>
      <c r="M35" s="45"/>
      <c r="N35" s="21"/>
      <c r="O35" s="22"/>
      <c r="P35" s="22"/>
      <c r="Q35" s="23"/>
      <c r="V35"/>
      <c r="W35"/>
      <c r="X35"/>
    </row>
    <row r="36" spans="3:24" s="18" customFormat="1" ht="21.75" customHeight="1" x14ac:dyDescent="0.4">
      <c r="C36" s="20"/>
      <c r="D36" s="115">
        <v>5215652</v>
      </c>
      <c r="E36" s="116" t="s">
        <v>715</v>
      </c>
      <c r="F36" s="21"/>
      <c r="G36" s="22">
        <f>COUNTIFS(Todos!$B$2:$B$71,'Resumo '!G$1,Todos!$A$2:$A$71,'Resumo '!$E36)</f>
        <v>1</v>
      </c>
      <c r="H36" s="22">
        <f>COUNTIFS(Todos!$B$2:$B$71,'Resumo '!H$1,Todos!$A$2:$A$71,'Resumo '!$E36)</f>
        <v>2</v>
      </c>
      <c r="I36" s="23">
        <f t="shared" si="0"/>
        <v>3</v>
      </c>
      <c r="K36" s="20"/>
      <c r="L36" s="44"/>
      <c r="M36" s="45"/>
      <c r="N36" s="21"/>
      <c r="O36" s="22"/>
      <c r="P36" s="22"/>
      <c r="Q36" s="23"/>
      <c r="V36"/>
      <c r="W36"/>
      <c r="X36"/>
    </row>
    <row r="37" spans="3:24" s="18" customFormat="1" ht="21.75" customHeight="1" x14ac:dyDescent="0.4">
      <c r="C37" s="20"/>
      <c r="D37" s="115">
        <v>5006275</v>
      </c>
      <c r="E37" s="116" t="s">
        <v>716</v>
      </c>
      <c r="F37" s="21"/>
      <c r="G37" s="22">
        <f>COUNTIFS(Todos!$B$2:$B$71,'Resumo '!G$1,Todos!$A$2:$A$71,'Resumo '!$E37)</f>
        <v>0</v>
      </c>
      <c r="H37" s="22">
        <f>COUNTIFS(Todos!$B$2:$B$71,'Resumo '!H$1,Todos!$A$2:$A$71,'Resumo '!$E37)</f>
        <v>0</v>
      </c>
      <c r="I37" s="23">
        <f t="shared" si="0"/>
        <v>0</v>
      </c>
      <c r="K37" s="20"/>
      <c r="L37" s="44"/>
      <c r="M37" s="45"/>
      <c r="N37" s="21"/>
      <c r="O37" s="22"/>
      <c r="P37" s="22"/>
      <c r="Q37" s="23"/>
      <c r="V37"/>
      <c r="W37"/>
      <c r="X37"/>
    </row>
    <row r="38" spans="3:24" s="18" customFormat="1" ht="21.75" customHeight="1" x14ac:dyDescent="0.4">
      <c r="C38" s="20"/>
      <c r="D38" s="115">
        <v>5006309</v>
      </c>
      <c r="E38" s="116" t="s">
        <v>717</v>
      </c>
      <c r="F38" s="21"/>
      <c r="G38" s="22">
        <f>COUNTIFS(Todos!$B$2:$B$71,'Resumo '!G$1,Todos!$A$2:$A$71,'Resumo '!$E38)</f>
        <v>0</v>
      </c>
      <c r="H38" s="22">
        <f>COUNTIFS(Todos!$B$2:$B$71,'Resumo '!H$1,Todos!$A$2:$A$71,'Resumo '!$E38)</f>
        <v>3</v>
      </c>
      <c r="I38" s="23">
        <f t="shared" si="0"/>
        <v>3</v>
      </c>
      <c r="K38" s="20"/>
      <c r="L38" s="44"/>
      <c r="M38" s="45"/>
      <c r="N38" s="21"/>
      <c r="O38" s="22"/>
      <c r="P38" s="22"/>
      <c r="Q38" s="23"/>
      <c r="V38"/>
      <c r="W38"/>
      <c r="X38"/>
    </row>
    <row r="39" spans="3:24" s="18" customFormat="1" ht="21.75" customHeight="1" x14ac:dyDescent="0.4">
      <c r="C39" s="20"/>
      <c r="D39" s="115">
        <v>5216304</v>
      </c>
      <c r="E39" s="116" t="s">
        <v>718</v>
      </c>
      <c r="F39" s="21"/>
      <c r="G39" s="22">
        <f>COUNTIFS(Todos!$B$2:$B$71,'Resumo '!G$1,Todos!$A$2:$A$71,'Resumo '!$E39)</f>
        <v>0</v>
      </c>
      <c r="H39" s="22">
        <f>COUNTIFS(Todos!$B$2:$B$71,'Resumo '!H$1,Todos!$A$2:$A$71,'Resumo '!$E39)</f>
        <v>0</v>
      </c>
      <c r="I39" s="23">
        <f t="shared" si="0"/>
        <v>0</v>
      </c>
      <c r="K39" s="20"/>
      <c r="L39" s="44"/>
      <c r="M39" s="45"/>
      <c r="N39" s="21"/>
      <c r="O39" s="22"/>
      <c r="P39" s="22"/>
      <c r="Q39" s="23"/>
      <c r="V39"/>
      <c r="W39"/>
      <c r="X39"/>
    </row>
    <row r="40" spans="3:24" s="18" customFormat="1" ht="21.75" customHeight="1" x14ac:dyDescent="0.4">
      <c r="C40" s="20"/>
      <c r="D40" s="115">
        <v>5216452</v>
      </c>
      <c r="E40" s="116" t="s">
        <v>719</v>
      </c>
      <c r="F40" s="21"/>
      <c r="G40" s="22">
        <f>COUNTIFS(Todos!$B$2:$B$71,'Resumo '!G$1,Todos!$A$2:$A$71,'Resumo '!$E40)</f>
        <v>0</v>
      </c>
      <c r="H40" s="22">
        <f>COUNTIFS(Todos!$B$2:$B$71,'Resumo '!H$1,Todos!$A$2:$A$71,'Resumo '!$E40)</f>
        <v>3</v>
      </c>
      <c r="I40" s="23">
        <f t="shared" si="0"/>
        <v>3</v>
      </c>
      <c r="K40" s="20"/>
      <c r="L40" s="44"/>
      <c r="M40" s="45"/>
      <c r="N40" s="21"/>
      <c r="O40" s="22"/>
      <c r="P40" s="22"/>
      <c r="Q40" s="23"/>
      <c r="V40"/>
      <c r="W40"/>
      <c r="X40"/>
    </row>
    <row r="41" spans="3:24" s="18" customFormat="1" ht="21.75" customHeight="1" x14ac:dyDescent="0.4">
      <c r="C41" s="20"/>
      <c r="D41" s="115">
        <v>5217203</v>
      </c>
      <c r="E41" s="116" t="s">
        <v>720</v>
      </c>
      <c r="F41" s="21"/>
      <c r="G41" s="22">
        <f>COUNTIFS(Todos!$B$2:$B$71,'Resumo '!G$1,Todos!$A$2:$A$71,'Resumo '!$E41)</f>
        <v>0</v>
      </c>
      <c r="H41" s="22">
        <f>COUNTIFS(Todos!$B$2:$B$71,'Resumo '!H$1,Todos!$A$2:$A$71,'Resumo '!$E41)</f>
        <v>0</v>
      </c>
      <c r="I41" s="23">
        <f t="shared" si="0"/>
        <v>0</v>
      </c>
      <c r="K41" s="20"/>
      <c r="L41" s="44"/>
      <c r="M41" s="45"/>
      <c r="N41" s="21"/>
      <c r="O41" s="22"/>
      <c r="P41" s="22"/>
      <c r="Q41" s="23"/>
      <c r="V41"/>
      <c r="W41"/>
      <c r="X41"/>
    </row>
    <row r="42" spans="3:24" s="18" customFormat="1" ht="21.75" customHeight="1" x14ac:dyDescent="0.4">
      <c r="C42" s="20"/>
      <c r="D42" s="115">
        <v>5106703</v>
      </c>
      <c r="E42" s="116" t="s">
        <v>721</v>
      </c>
      <c r="F42" s="21"/>
      <c r="G42" s="22">
        <f>COUNTIFS(Todos!$B$2:$B$71,'Resumo '!G$1,Todos!$A$2:$A$71,'Resumo '!$E42)</f>
        <v>0</v>
      </c>
      <c r="H42" s="22">
        <f>COUNTIFS(Todos!$B$2:$B$71,'Resumo '!H$1,Todos!$A$2:$A$71,'Resumo '!$E42)</f>
        <v>0</v>
      </c>
      <c r="I42" s="23">
        <f t="shared" si="0"/>
        <v>0</v>
      </c>
      <c r="K42" s="20"/>
      <c r="L42" s="44"/>
      <c r="M42" s="45"/>
      <c r="N42" s="21"/>
      <c r="O42" s="22"/>
      <c r="P42" s="22"/>
      <c r="Q42" s="23"/>
      <c r="V42"/>
      <c r="W42"/>
      <c r="X42"/>
    </row>
    <row r="43" spans="3:24" s="18" customFormat="1" ht="21.75" customHeight="1" x14ac:dyDescent="0.4">
      <c r="C43" s="20"/>
      <c r="D43" s="115">
        <v>5218052</v>
      </c>
      <c r="E43" s="116" t="s">
        <v>722</v>
      </c>
      <c r="F43" s="21"/>
      <c r="G43" s="22">
        <f>COUNTIFS(Todos!$B$2:$B$71,'Resumo '!G$1,Todos!$A$2:$A$71,'Resumo '!$E43)</f>
        <v>0</v>
      </c>
      <c r="H43" s="22">
        <f>COUNTIFS(Todos!$B$2:$B$71,'Resumo '!H$1,Todos!$A$2:$A$71,'Resumo '!$E43)</f>
        <v>0</v>
      </c>
      <c r="I43" s="23">
        <f t="shared" si="0"/>
        <v>0</v>
      </c>
      <c r="K43" s="20"/>
      <c r="L43" s="44"/>
      <c r="M43" s="45"/>
      <c r="N43" s="21"/>
      <c r="O43" s="22"/>
      <c r="P43" s="22"/>
      <c r="Q43" s="23"/>
      <c r="V43"/>
      <c r="W43"/>
      <c r="X43"/>
    </row>
    <row r="44" spans="3:24" s="18" customFormat="1" ht="21.75" customHeight="1" x14ac:dyDescent="0.4">
      <c r="C44" s="20"/>
      <c r="D44" s="115">
        <v>5218102</v>
      </c>
      <c r="E44" s="116" t="s">
        <v>723</v>
      </c>
      <c r="F44" s="21"/>
      <c r="G44" s="22">
        <f>COUNTIFS(Todos!$B$2:$B$71,'Resumo '!G$1,Todos!$A$2:$A$71,'Resumo '!$E44)</f>
        <v>0</v>
      </c>
      <c r="H44" s="22">
        <f>COUNTIFS(Todos!$B$2:$B$71,'Resumo '!H$1,Todos!$A$2:$A$71,'Resumo '!$E44)</f>
        <v>0</v>
      </c>
      <c r="I44" s="23">
        <f t="shared" si="0"/>
        <v>0</v>
      </c>
      <c r="K44" s="20"/>
      <c r="L44" s="44"/>
      <c r="M44" s="45"/>
      <c r="N44" s="21"/>
      <c r="O44" s="22"/>
      <c r="P44" s="22"/>
      <c r="Q44" s="23"/>
      <c r="V44"/>
      <c r="W44"/>
      <c r="X44"/>
    </row>
    <row r="45" spans="3:24" s="18" customFormat="1" ht="21.75" customHeight="1" x14ac:dyDescent="0.4">
      <c r="C45" s="20"/>
      <c r="D45" s="115">
        <v>5218508</v>
      </c>
      <c r="E45" s="116" t="s">
        <v>724</v>
      </c>
      <c r="F45" s="21"/>
      <c r="G45" s="22">
        <f>COUNTIFS(Todos!$B$2:$B$71,'Resumo '!G$1,Todos!$A$2:$A$71,'Resumo '!$E45)</f>
        <v>0</v>
      </c>
      <c r="H45" s="22">
        <f>COUNTIFS(Todos!$B$2:$B$71,'Resumo '!H$1,Todos!$A$2:$A$71,'Resumo '!$E45)</f>
        <v>1</v>
      </c>
      <c r="I45" s="23">
        <f t="shared" si="0"/>
        <v>1</v>
      </c>
      <c r="K45" s="20"/>
      <c r="L45" s="44"/>
      <c r="M45" s="45"/>
      <c r="N45" s="21"/>
      <c r="O45" s="22"/>
      <c r="P45" s="22"/>
      <c r="Q45" s="23"/>
      <c r="V45"/>
      <c r="W45"/>
      <c r="X45"/>
    </row>
    <row r="46" spans="3:24" s="18" customFormat="1" ht="21.75" customHeight="1" x14ac:dyDescent="0.4">
      <c r="C46" s="20"/>
      <c r="D46" s="115">
        <v>5107198</v>
      </c>
      <c r="E46" s="116" t="s">
        <v>725</v>
      </c>
      <c r="F46" s="21"/>
      <c r="G46" s="22">
        <f>COUNTIFS(Todos!$B$2:$B$71,'Resumo '!G$1,Todos!$A$2:$A$71,'Resumo '!$E46)</f>
        <v>0</v>
      </c>
      <c r="H46" s="22">
        <f>COUNTIFS(Todos!$B$2:$B$71,'Resumo '!H$1,Todos!$A$2:$A$71,'Resumo '!$E46)</f>
        <v>2</v>
      </c>
      <c r="I46" s="23">
        <f t="shared" si="0"/>
        <v>2</v>
      </c>
      <c r="K46" s="20"/>
      <c r="L46" s="44"/>
      <c r="M46" s="45"/>
      <c r="N46" s="21"/>
      <c r="O46" s="22"/>
      <c r="P46" s="22"/>
      <c r="Q46" s="23"/>
      <c r="V46"/>
      <c r="W46"/>
      <c r="X46"/>
    </row>
    <row r="47" spans="3:24" s="18" customFormat="1" ht="21.75" customHeight="1" x14ac:dyDescent="0.4">
      <c r="C47" s="20"/>
      <c r="D47" s="115">
        <v>5218805</v>
      </c>
      <c r="E47" s="116" t="s">
        <v>726</v>
      </c>
      <c r="F47" s="21"/>
      <c r="G47" s="22">
        <f>COUNTIFS(Todos!$B$2:$B$71,'Resumo '!G$1,Todos!$A$2:$A$71,'Resumo '!$E47)</f>
        <v>0</v>
      </c>
      <c r="H47" s="22">
        <f>COUNTIFS(Todos!$B$2:$B$71,'Resumo '!H$1,Todos!$A$2:$A$71,'Resumo '!$E47)</f>
        <v>3</v>
      </c>
      <c r="I47" s="23">
        <f t="shared" si="0"/>
        <v>3</v>
      </c>
      <c r="K47" s="20"/>
      <c r="L47" s="44"/>
      <c r="M47" s="45"/>
      <c r="N47" s="21"/>
      <c r="O47" s="22"/>
      <c r="P47" s="22"/>
      <c r="Q47" s="23"/>
      <c r="V47"/>
      <c r="W47"/>
      <c r="X47"/>
    </row>
    <row r="48" spans="3:24" s="18" customFormat="1" ht="21.75" customHeight="1" x14ac:dyDescent="0.4">
      <c r="C48" s="20"/>
      <c r="D48" s="115">
        <v>5219308</v>
      </c>
      <c r="E48" s="116" t="s">
        <v>727</v>
      </c>
      <c r="F48" s="21"/>
      <c r="G48" s="22">
        <f>COUNTIFS(Todos!$B$2:$B$71,'Resumo '!G$1,Todos!$A$2:$A$71,'Resumo '!$E48)</f>
        <v>0</v>
      </c>
      <c r="H48" s="22">
        <f>COUNTIFS(Todos!$B$2:$B$71,'Resumo '!H$1,Todos!$A$2:$A$71,'Resumo '!$E48)</f>
        <v>2</v>
      </c>
      <c r="I48" s="23">
        <f t="shared" si="0"/>
        <v>2</v>
      </c>
      <c r="K48" s="20"/>
      <c r="L48" s="44"/>
      <c r="M48" s="45"/>
      <c r="N48" s="21"/>
      <c r="O48" s="22"/>
      <c r="P48" s="22"/>
      <c r="Q48" s="23"/>
      <c r="V48"/>
      <c r="W48"/>
      <c r="X48"/>
    </row>
    <row r="49" spans="2:24" s="18" customFormat="1" ht="21.75" customHeight="1" x14ac:dyDescent="0.4">
      <c r="C49" s="20"/>
      <c r="D49" s="115">
        <v>5219407</v>
      </c>
      <c r="E49" s="116" t="s">
        <v>728</v>
      </c>
      <c r="F49" s="21"/>
      <c r="G49" s="22">
        <f>COUNTIFS(Todos!$B$2:$B$71,'Resumo '!G$1,Todos!$A$2:$A$71,'Resumo '!$E49)</f>
        <v>0</v>
      </c>
      <c r="H49" s="22">
        <f>COUNTIFS(Todos!$B$2:$B$71,'Resumo '!H$1,Todos!$A$2:$A$71,'Resumo '!$E49)</f>
        <v>2</v>
      </c>
      <c r="I49" s="23">
        <f t="shared" si="0"/>
        <v>2</v>
      </c>
      <c r="K49" s="20"/>
      <c r="L49" s="44"/>
      <c r="M49" s="45"/>
      <c r="N49" s="21"/>
      <c r="O49" s="22"/>
      <c r="P49" s="22"/>
      <c r="Q49" s="23"/>
      <c r="V49"/>
      <c r="W49"/>
      <c r="X49"/>
    </row>
    <row r="50" spans="2:24" s="18" customFormat="1" ht="21.75" customHeight="1" x14ac:dyDescent="0.4">
      <c r="C50" s="20"/>
      <c r="D50" s="115">
        <v>5219712</v>
      </c>
      <c r="E50" s="116" t="s">
        <v>729</v>
      </c>
      <c r="F50" s="21"/>
      <c r="G50" s="22">
        <f>COUNTIFS(Todos!$B$2:$B$71,'Resumo '!G$1,Todos!$A$2:$A$71,'Resumo '!$E50)</f>
        <v>0</v>
      </c>
      <c r="H50" s="22">
        <f>COUNTIFS(Todos!$B$2:$B$71,'Resumo '!H$1,Todos!$A$2:$A$71,'Resumo '!$E50)</f>
        <v>0</v>
      </c>
      <c r="I50" s="23">
        <f t="shared" si="0"/>
        <v>0</v>
      </c>
      <c r="K50" s="20"/>
      <c r="L50" s="44"/>
      <c r="M50" s="45"/>
      <c r="N50" s="21"/>
      <c r="O50" s="22"/>
      <c r="P50" s="22"/>
      <c r="Q50" s="23"/>
      <c r="V50"/>
      <c r="W50"/>
      <c r="X50"/>
    </row>
    <row r="51" spans="2:24" s="18" customFormat="1" ht="21.75" customHeight="1" x14ac:dyDescent="0.4">
      <c r="C51" s="20"/>
      <c r="D51" s="115">
        <v>5220207</v>
      </c>
      <c r="E51" s="116" t="s">
        <v>730</v>
      </c>
      <c r="F51" s="21"/>
      <c r="G51" s="22">
        <f>COUNTIFS(Todos!$B$2:$B$71,'Resumo '!G$1,Todos!$A$2:$A$71,'Resumo '!$E51)</f>
        <v>1</v>
      </c>
      <c r="H51" s="22">
        <f>COUNTIFS(Todos!$B$2:$B$71,'Resumo '!H$1,Todos!$A$2:$A$71,'Resumo '!$E51)</f>
        <v>0</v>
      </c>
      <c r="I51" s="23">
        <f t="shared" si="0"/>
        <v>1</v>
      </c>
      <c r="K51" s="20"/>
      <c r="L51" s="44"/>
      <c r="M51" s="45"/>
      <c r="N51" s="21"/>
      <c r="O51" s="22"/>
      <c r="P51" s="22"/>
      <c r="Q51" s="23"/>
      <c r="V51"/>
      <c r="W51"/>
      <c r="X51"/>
    </row>
    <row r="52" spans="2:24" s="18" customFormat="1" ht="21.75" customHeight="1" x14ac:dyDescent="0.4">
      <c r="C52" s="20"/>
      <c r="D52" s="115">
        <v>5220405</v>
      </c>
      <c r="E52" s="116" t="s">
        <v>731</v>
      </c>
      <c r="F52" s="21"/>
      <c r="G52" s="22">
        <f>COUNTIFS(Todos!$B$2:$B$71,'Resumo '!G$1,Todos!$A$2:$A$71,'Resumo '!$E52)</f>
        <v>0</v>
      </c>
      <c r="H52" s="22">
        <f>COUNTIFS(Todos!$B$2:$B$71,'Resumo '!H$1,Todos!$A$2:$A$71,'Resumo '!$E52)</f>
        <v>1</v>
      </c>
      <c r="I52" s="23">
        <f t="shared" si="0"/>
        <v>1</v>
      </c>
      <c r="K52" s="20"/>
      <c r="L52" s="44"/>
      <c r="M52" s="45"/>
      <c r="N52" s="21"/>
      <c r="O52" s="22"/>
      <c r="P52" s="22"/>
      <c r="Q52" s="23"/>
      <c r="V52"/>
      <c r="W52"/>
      <c r="X52"/>
    </row>
    <row r="53" spans="2:24" s="18" customFormat="1" ht="21.75" customHeight="1" x14ac:dyDescent="0.4">
      <c r="C53" s="20"/>
      <c r="D53" s="115">
        <v>5007802</v>
      </c>
      <c r="E53" s="116" t="s">
        <v>732</v>
      </c>
      <c r="F53" s="21"/>
      <c r="G53" s="22">
        <f>COUNTIFS(Todos!$B$2:$B$71,'Resumo '!G$1,Todos!$A$2:$A$71,'Resumo '!$E53)</f>
        <v>0</v>
      </c>
      <c r="H53" s="22">
        <f>COUNTIFS(Todos!$B$2:$B$71,'Resumo '!H$1,Todos!$A$2:$A$71,'Resumo '!$E53)</f>
        <v>0</v>
      </c>
      <c r="I53" s="23">
        <f t="shared" si="0"/>
        <v>0</v>
      </c>
      <c r="K53" s="20"/>
      <c r="L53" s="44"/>
      <c r="M53" s="45"/>
      <c r="N53" s="21"/>
      <c r="O53" s="22"/>
      <c r="P53" s="22"/>
      <c r="Q53" s="23"/>
      <c r="V53"/>
      <c r="W53"/>
      <c r="X53"/>
    </row>
    <row r="54" spans="2:24" s="18" customFormat="1" ht="21.75" customHeight="1" x14ac:dyDescent="0.4">
      <c r="C54" s="20"/>
      <c r="D54" s="115">
        <v>5220504</v>
      </c>
      <c r="E54" s="116" t="s">
        <v>733</v>
      </c>
      <c r="F54" s="21"/>
      <c r="G54" s="22">
        <f>COUNTIFS(Todos!$B$2:$B$71,'Resumo '!G$1,Todos!$A$2:$A$71,'Resumo '!$E54)</f>
        <v>2</v>
      </c>
      <c r="H54" s="22">
        <f>COUNTIFS(Todos!$B$2:$B$71,'Resumo '!H$1,Todos!$A$2:$A$71,'Resumo '!$E54)</f>
        <v>2</v>
      </c>
      <c r="I54" s="23">
        <f t="shared" si="0"/>
        <v>4</v>
      </c>
      <c r="K54" s="20"/>
      <c r="L54" s="44"/>
      <c r="M54" s="45"/>
      <c r="N54" s="21"/>
      <c r="O54" s="22"/>
      <c r="P54" s="22"/>
      <c r="Q54" s="23"/>
      <c r="V54"/>
      <c r="W54"/>
      <c r="X54"/>
    </row>
    <row r="55" spans="2:24" s="18" customFormat="1" ht="21.75" customHeight="1" x14ac:dyDescent="0.4">
      <c r="C55" s="20"/>
      <c r="D55" s="115">
        <v>5108204</v>
      </c>
      <c r="E55" s="116" t="s">
        <v>734</v>
      </c>
      <c r="F55" s="21"/>
      <c r="G55" s="22">
        <f>COUNTIFS(Todos!$B$2:$B$71,'Resumo '!G$1,Todos!$A$2:$A$71,'Resumo '!$E55)</f>
        <v>0</v>
      </c>
      <c r="H55" s="22">
        <f>COUNTIFS(Todos!$B$2:$B$71,'Resumo '!H$1,Todos!$A$2:$A$71,'Resumo '!$E55)</f>
        <v>0</v>
      </c>
      <c r="I55" s="23">
        <f t="shared" si="0"/>
        <v>0</v>
      </c>
      <c r="K55" s="20"/>
      <c r="L55" s="44"/>
      <c r="M55" s="45"/>
      <c r="N55" s="21"/>
      <c r="O55" s="22"/>
      <c r="P55" s="22"/>
      <c r="Q55" s="23"/>
      <c r="V55"/>
      <c r="W55"/>
      <c r="X55"/>
    </row>
    <row r="56" spans="2:24" s="18" customFormat="1" ht="21.75" customHeight="1" thickBot="1" x14ac:dyDescent="0.45">
      <c r="C56" s="20"/>
      <c r="D56" s="115">
        <v>5221551</v>
      </c>
      <c r="E56" s="116" t="s">
        <v>735</v>
      </c>
      <c r="F56" s="21"/>
      <c r="G56" s="22">
        <f>COUNTIFS(Todos!$B$2:$B$71,'Resumo '!G$1,Todos!$A$2:$A$71,'Resumo '!$E56)</f>
        <v>0</v>
      </c>
      <c r="H56" s="22">
        <f>COUNTIFS(Todos!$B$2:$B$71,'Resumo '!H$1,Todos!$A$2:$A$71,'Resumo '!$E56)</f>
        <v>1</v>
      </c>
      <c r="I56" s="23">
        <f t="shared" si="0"/>
        <v>1</v>
      </c>
      <c r="K56" s="20"/>
      <c r="L56" s="44"/>
      <c r="M56" s="45"/>
      <c r="N56" s="21"/>
      <c r="O56" s="22"/>
      <c r="P56" s="22"/>
      <c r="Q56" s="23"/>
      <c r="V56"/>
      <c r="W56"/>
      <c r="X56"/>
    </row>
    <row r="57" spans="2:24" s="18" customFormat="1" ht="21.75" customHeight="1" x14ac:dyDescent="0.4">
      <c r="C57" s="70" t="s">
        <v>48</v>
      </c>
      <c r="D57" s="70"/>
      <c r="E57" s="70"/>
      <c r="F57" s="70"/>
      <c r="G57" s="24">
        <f>SUM(G5:G56)</f>
        <v>11</v>
      </c>
      <c r="H57" s="24">
        <f>SUM(H5:H56)</f>
        <v>49</v>
      </c>
      <c r="I57" s="25">
        <f>SUM(I5:I56)</f>
        <v>60</v>
      </c>
      <c r="K57" s="70" t="s">
        <v>48</v>
      </c>
      <c r="L57" s="70"/>
      <c r="M57" s="70"/>
      <c r="N57" s="70"/>
      <c r="O57" s="24">
        <v>17</v>
      </c>
      <c r="P57" s="24">
        <v>63</v>
      </c>
      <c r="Q57" s="25">
        <f>+O57+P57</f>
        <v>80</v>
      </c>
      <c r="S57" s="18" t="str">
        <f t="shared" si="1"/>
        <v>60/80</v>
      </c>
    </row>
    <row r="58" spans="2:24" s="18" customFormat="1" ht="21.75" customHeight="1" thickBot="1" x14ac:dyDescent="0.45">
      <c r="B58" s="26"/>
      <c r="C58" s="70" t="s">
        <v>49</v>
      </c>
      <c r="D58" s="70"/>
      <c r="E58" s="70"/>
      <c r="F58" s="70"/>
      <c r="G58" s="27">
        <f>COUNTIF(G5:G56,"&lt;&gt;0")</f>
        <v>10</v>
      </c>
      <c r="H58" s="27">
        <f>COUNTIF(H5:H56,"&lt;&gt;0")</f>
        <v>27</v>
      </c>
      <c r="I58" s="28">
        <f>COUNTIF(I5:I56,"&lt;&gt;0")</f>
        <v>30</v>
      </c>
      <c r="K58" s="70" t="s">
        <v>49</v>
      </c>
      <c r="L58" s="70"/>
      <c r="M58" s="70"/>
      <c r="N58" s="70"/>
      <c r="O58" s="27">
        <v>16</v>
      </c>
      <c r="P58" s="27">
        <v>35</v>
      </c>
      <c r="Q58" s="28">
        <v>36</v>
      </c>
      <c r="S58" s="18" t="str">
        <f t="shared" si="1"/>
        <v>30/36</v>
      </c>
    </row>
    <row r="59" spans="2:24" s="18" customFormat="1" ht="21.75" customHeight="1" x14ac:dyDescent="0.4">
      <c r="E59" s="29"/>
      <c r="G59" s="18">
        <v>32</v>
      </c>
      <c r="H59" s="18">
        <v>60</v>
      </c>
      <c r="I59" s="18">
        <v>92</v>
      </c>
    </row>
    <row r="60" spans="2:24" s="18" customFormat="1" ht="21.75" customHeight="1" x14ac:dyDescent="0.4">
      <c r="E60" s="29"/>
      <c r="G60" s="30">
        <f t="shared" ref="G60:H60" si="2">+G57/G59</f>
        <v>0.34375</v>
      </c>
      <c r="H60" s="30">
        <f t="shared" si="2"/>
        <v>0.81666666666666665</v>
      </c>
      <c r="I60" s="30">
        <f>+I57/I59</f>
        <v>0.65217391304347827</v>
      </c>
    </row>
    <row r="62" spans="2:24" ht="21.75" customHeight="1" x14ac:dyDescent="0.2">
      <c r="K62" s="31">
        <f>+G57/$I$57</f>
        <v>0.18333333333333332</v>
      </c>
      <c r="L62" s="31">
        <f>+H57/$I$57</f>
        <v>0.81666666666666665</v>
      </c>
      <c r="M62" s="31">
        <f>+I57/$I$57</f>
        <v>1</v>
      </c>
    </row>
    <row r="63" spans="2:24" ht="21.75" customHeight="1" x14ac:dyDescent="0.2">
      <c r="G63" s="19" t="s">
        <v>3</v>
      </c>
      <c r="H63" s="19" t="s">
        <v>53</v>
      </c>
      <c r="I63" s="19" t="s">
        <v>43</v>
      </c>
    </row>
    <row r="64" spans="2:24" s="32" customFormat="1" ht="21.75" customHeight="1" x14ac:dyDescent="0.2">
      <c r="D64" s="33"/>
      <c r="E64" s="33"/>
      <c r="F64" s="33" t="s">
        <v>51</v>
      </c>
      <c r="G64" s="34">
        <f>+G57</f>
        <v>11</v>
      </c>
      <c r="H64" s="34">
        <f t="shared" ref="H64:I64" si="3">+H57</f>
        <v>49</v>
      </c>
      <c r="I64" s="34">
        <f t="shared" si="3"/>
        <v>60</v>
      </c>
    </row>
    <row r="65" spans="3:9" s="32" customFormat="1" ht="21.75" customHeight="1" x14ac:dyDescent="0.2">
      <c r="D65" s="33"/>
      <c r="E65" s="33"/>
      <c r="F65" s="33" t="s">
        <v>52</v>
      </c>
      <c r="G65" s="34">
        <f>+G58</f>
        <v>10</v>
      </c>
      <c r="H65" s="34">
        <f t="shared" ref="H65:I65" si="4">+H58</f>
        <v>27</v>
      </c>
      <c r="I65" s="34">
        <f t="shared" si="4"/>
        <v>30</v>
      </c>
    </row>
    <row r="66" spans="3:9" s="32" customFormat="1" ht="21.75" customHeight="1" x14ac:dyDescent="0.2">
      <c r="E66" s="35"/>
      <c r="F66" s="36"/>
    </row>
    <row r="67" spans="3:9" s="32" customFormat="1" ht="21.75" customHeight="1" x14ac:dyDescent="0.2">
      <c r="E67" s="35"/>
      <c r="F67" s="36"/>
    </row>
    <row r="68" spans="3:9" s="32" customFormat="1" ht="21.75" customHeight="1" x14ac:dyDescent="0.2">
      <c r="C68" s="68" t="s">
        <v>48</v>
      </c>
      <c r="D68" s="68"/>
      <c r="E68" s="68"/>
      <c r="F68" s="68"/>
    </row>
    <row r="69" spans="3:9" s="32" customFormat="1" ht="21.75" customHeight="1" x14ac:dyDescent="0.2">
      <c r="C69" s="68" t="s">
        <v>49</v>
      </c>
      <c r="D69" s="68"/>
      <c r="E69" s="68"/>
      <c r="F69" s="68"/>
    </row>
    <row r="70" spans="3:9" s="32" customFormat="1" ht="21.75" customHeight="1" x14ac:dyDescent="0.2">
      <c r="E70" s="35"/>
      <c r="F70" s="36"/>
    </row>
    <row r="71" spans="3:9" s="32" customFormat="1" ht="21.75" customHeight="1" x14ac:dyDescent="0.2">
      <c r="E71" s="35"/>
      <c r="F71" s="36" t="s">
        <v>51</v>
      </c>
      <c r="G71" s="32" t="s">
        <v>52</v>
      </c>
    </row>
    <row r="72" spans="3:9" s="32" customFormat="1" ht="21.75" customHeight="1" x14ac:dyDescent="0.2">
      <c r="E72" s="35" t="s">
        <v>3</v>
      </c>
      <c r="F72" s="36">
        <f>+G64</f>
        <v>11</v>
      </c>
      <c r="G72" s="32">
        <f>+G65</f>
        <v>10</v>
      </c>
    </row>
    <row r="73" spans="3:9" s="32" customFormat="1" ht="21.75" customHeight="1" x14ac:dyDescent="0.2">
      <c r="E73" s="35" t="s">
        <v>53</v>
      </c>
      <c r="F73" s="36">
        <f>+H64</f>
        <v>49</v>
      </c>
      <c r="G73" s="32">
        <f>+H65</f>
        <v>27</v>
      </c>
    </row>
    <row r="74" spans="3:9" s="32" customFormat="1" ht="21.75" customHeight="1" x14ac:dyDescent="0.2">
      <c r="E74" s="35"/>
      <c r="F74" s="36"/>
    </row>
    <row r="75" spans="3:9" s="32" customFormat="1" ht="21.75" customHeight="1" x14ac:dyDescent="0.2">
      <c r="E75" s="35"/>
      <c r="F75" s="36">
        <v>63</v>
      </c>
    </row>
    <row r="76" spans="3:9" s="32" customFormat="1" ht="21.75" customHeight="1" x14ac:dyDescent="0.2">
      <c r="E76" s="35"/>
      <c r="F76" s="36">
        <v>17</v>
      </c>
    </row>
    <row r="77" spans="3:9" s="32" customFormat="1" ht="21.75" customHeight="1" x14ac:dyDescent="0.2">
      <c r="E77" s="35"/>
      <c r="F77" s="36">
        <f>+F75+F76</f>
        <v>80</v>
      </c>
    </row>
    <row r="78" spans="3:9" s="32" customFormat="1" ht="21.75" customHeight="1" x14ac:dyDescent="0.2">
      <c r="E78" s="35"/>
      <c r="F78" s="118">
        <f>+I64/F77</f>
        <v>0.75</v>
      </c>
      <c r="G78" s="119">
        <f>+F72/F76</f>
        <v>0.6470588235294118</v>
      </c>
    </row>
    <row r="79" spans="3:9" s="32" customFormat="1" ht="21.75" customHeight="1" x14ac:dyDescent="0.2">
      <c r="E79" s="35"/>
      <c r="F79" s="36"/>
      <c r="G79" s="119">
        <f>+F73/F75</f>
        <v>0.77777777777777779</v>
      </c>
    </row>
    <row r="80" spans="3:9" s="32" customFormat="1" ht="21.75" customHeight="1" x14ac:dyDescent="0.2">
      <c r="E80" s="35"/>
      <c r="F80" s="36"/>
    </row>
    <row r="81" spans="5:6" s="32" customFormat="1" ht="21.75" customHeight="1" x14ac:dyDescent="0.2">
      <c r="E81" s="35"/>
      <c r="F81" s="36"/>
    </row>
    <row r="82" spans="5:6" s="32" customFormat="1" ht="21.75" customHeight="1" x14ac:dyDescent="0.2">
      <c r="E82" s="35"/>
      <c r="F82" s="36"/>
    </row>
    <row r="83" spans="5:6" s="32" customFormat="1" ht="21.75" customHeight="1" x14ac:dyDescent="0.2">
      <c r="E83" s="35"/>
      <c r="F83" s="36"/>
    </row>
    <row r="84" spans="5:6" s="32" customFormat="1" ht="21.75" customHeight="1" x14ac:dyDescent="0.2">
      <c r="E84" s="35"/>
      <c r="F84" s="36"/>
    </row>
    <row r="85" spans="5:6" s="32" customFormat="1" ht="21.75" customHeight="1" x14ac:dyDescent="0.2">
      <c r="E85" s="35"/>
      <c r="F85" s="36"/>
    </row>
    <row r="86" spans="5:6" s="32" customFormat="1" ht="21.75" customHeight="1" x14ac:dyDescent="0.2">
      <c r="E86" s="35"/>
      <c r="F86" s="36"/>
    </row>
    <row r="87" spans="5:6" s="32" customFormat="1" ht="21.75" customHeight="1" x14ac:dyDescent="0.2">
      <c r="E87" s="35"/>
      <c r="F87" s="36"/>
    </row>
  </sheetData>
  <mergeCells count="16">
    <mergeCell ref="C69:F69"/>
    <mergeCell ref="O3:Q3"/>
    <mergeCell ref="K57:N57"/>
    <mergeCell ref="K58:N58"/>
    <mergeCell ref="C68:F68"/>
    <mergeCell ref="C57:F57"/>
    <mergeCell ref="C58:F58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Planilha2</vt:lpstr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2026-05-05T17:46:51Z</dcterms:modified>
</cp:coreProperties>
</file>