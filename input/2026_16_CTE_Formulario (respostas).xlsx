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tos" sheetId="2" r:id="rId6"/>
  </sheets>
  <definedNames/>
  <calcPr/>
</workbook>
</file>

<file path=xl/sharedStrings.xml><?xml version="1.0" encoding="utf-8"?>
<sst xmlns="http://schemas.openxmlformats.org/spreadsheetml/2006/main" count="331" uniqueCount="206">
  <si>
    <t>Município</t>
  </si>
  <si>
    <t>Inscritos</t>
  </si>
  <si>
    <t>CACS-FUNDEB</t>
  </si>
  <si>
    <t>Gestão municipal</t>
  </si>
  <si>
    <t>Registro</t>
  </si>
  <si>
    <t>Araputanga</t>
  </si>
  <si>
    <t>Carimbo de data/hora</t>
  </si>
  <si>
    <t>Endereço de e-mail</t>
  </si>
  <si>
    <t>Campos de Júlio</t>
  </si>
  <si>
    <t>Nome Completo: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</si>
  <si>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</si>
  <si>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</si>
  <si>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</si>
  <si>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</si>
  <si>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</si>
  <si>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</si>
  <si>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</si>
  <si>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</si>
  <si>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</si>
  <si>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Comodoro</t>
  </si>
  <si>
    <t>Confirmação de veracidade dos dados</t>
  </si>
  <si>
    <t>sassasfs@vsd.edu.mt.gov.br</t>
  </si>
  <si>
    <t>Fabiano Ap. Domingos</t>
  </si>
  <si>
    <t>287.794.758-09</t>
  </si>
  <si>
    <t>(65)99629-3689</t>
  </si>
  <si>
    <t>Pontes e Lacerda</t>
  </si>
  <si>
    <t>técnico</t>
  </si>
  <si>
    <t>Conquista D'Oeste</t>
  </si>
  <si>
    <t>Declaro que revisei e confirmo a veracidade de todas as informações prestadas neste formulário.</t>
  </si>
  <si>
    <t>smec@mirassoldoeste.mt.gov.br</t>
  </si>
  <si>
    <t>ANICLÉIA SANTOS SOUZA</t>
  </si>
  <si>
    <t>015.993.181-99</t>
  </si>
  <si>
    <t>Curvelândia</t>
  </si>
  <si>
    <t>(65)99689-1558</t>
  </si>
  <si>
    <t>Mirassol d'Oeste</t>
  </si>
  <si>
    <t>GERENTE DE TRANSPORTE E OPERADORA DOS SISTEMAS REALACIONADOS AO TRANSPORTE</t>
  </si>
  <si>
    <t>CONSIGO MIGRAR DADOS DO SISTEMA GEOTER (TRANSCOLAR) PARA O SISTEMA SETE?</t>
  </si>
  <si>
    <t>Figueirópolis D'Oeste</t>
  </si>
  <si>
    <t>juscillenetizzo@gmail.com</t>
  </si>
  <si>
    <t>Jucilene Gomes Tizzo</t>
  </si>
  <si>
    <t>041.564.271-02</t>
  </si>
  <si>
    <t>(65)99615-9673</t>
  </si>
  <si>
    <t>Glória D'Oeste</t>
  </si>
  <si>
    <t>Nova Lacerda</t>
  </si>
  <si>
    <t>Professora articuladora/ Responsável pelo sistema do Transporte Escolar. (Geoter)</t>
  </si>
  <si>
    <t>genim460@gmail.com</t>
  </si>
  <si>
    <t>Indiavaí</t>
  </si>
  <si>
    <t>Genes Batista de Morais</t>
  </si>
  <si>
    <t>010.203.911-97</t>
  </si>
  <si>
    <t>(65)99948-0747</t>
  </si>
  <si>
    <t>Jauru</t>
  </si>
  <si>
    <t xml:space="preserve">Assessor Especial de Frotas </t>
  </si>
  <si>
    <t>mirandaandreia407@gmail.com</t>
  </si>
  <si>
    <t>Andreia Miranda da Silva</t>
  </si>
  <si>
    <t>Lambari D'Oeste</t>
  </si>
  <si>
    <t>002.593.521-60</t>
  </si>
  <si>
    <t>(65)99804-8403</t>
  </si>
  <si>
    <t>Secretária Adjunta de Educação e Cultura</t>
  </si>
  <si>
    <t>tlayanebritorcomp@gmail.com</t>
  </si>
  <si>
    <t>THAMIRES LAYANE RAMOS DE BRITO</t>
  </si>
  <si>
    <t>026.322.321-39</t>
  </si>
  <si>
    <t>(65)98449-1689</t>
  </si>
  <si>
    <t>Vila Bela da Santíssima Trindade</t>
  </si>
  <si>
    <t>Técnica Administrativa Escolar</t>
  </si>
  <si>
    <t xml:space="preserve">Frotas novas para o município e a continuidade dos serviços de transporte escolar terceirizado, visto que o município possui 43 linhas somente no transporte escolar terceirizados. </t>
  </si>
  <si>
    <t>jessica_aquarela@hotmail.com</t>
  </si>
  <si>
    <t>Jéssica Cordeiro Martins</t>
  </si>
  <si>
    <t>032.845.151-78</t>
  </si>
  <si>
    <t>(65)99680-7383</t>
  </si>
  <si>
    <t xml:space="preserve">Técnico </t>
  </si>
  <si>
    <t>dirlenioliveira@hotmail.com</t>
  </si>
  <si>
    <t xml:space="preserve">Dirleni de Oliveira Ribeiro </t>
  </si>
  <si>
    <t>922.891.851-91</t>
  </si>
  <si>
    <t>(65)99662-0393</t>
  </si>
  <si>
    <t>Presidente do CACAS FUNDEB</t>
  </si>
  <si>
    <t>arisleibruno1806@gmail.com</t>
  </si>
  <si>
    <t>Porto Esperidião</t>
  </si>
  <si>
    <t xml:space="preserve">Arisley Bruno Valeriano dos Santos </t>
  </si>
  <si>
    <t>056.862.501-38</t>
  </si>
  <si>
    <t>(65)98411-2959</t>
  </si>
  <si>
    <t>Conselheiro - Titular</t>
  </si>
  <si>
    <t>Reserva do Cabaçal</t>
  </si>
  <si>
    <t>jusciellebezerrasouza476@gmail.com</t>
  </si>
  <si>
    <t>Juscielle Bezerra Souza</t>
  </si>
  <si>
    <t>056.357.781-94</t>
  </si>
  <si>
    <t>(66)99245-5397</t>
  </si>
  <si>
    <t>Rondolândia</t>
  </si>
  <si>
    <t>Agente Administrativo</t>
  </si>
  <si>
    <t>Rio Branco</t>
  </si>
  <si>
    <t>elianip011@gmail.com</t>
  </si>
  <si>
    <t>Eliani Pereira de Souza</t>
  </si>
  <si>
    <t>027.366.512-00</t>
  </si>
  <si>
    <t>(66)99250-0533</t>
  </si>
  <si>
    <t xml:space="preserve">representante dos pais </t>
  </si>
  <si>
    <t>secretariaedu11@gmail.com</t>
  </si>
  <si>
    <t>Eduardo Trindade de Oliveira</t>
  </si>
  <si>
    <t>036.458.981-74</t>
  </si>
  <si>
    <t>(65)98405-9329</t>
  </si>
  <si>
    <t>Salto do Céu</t>
  </si>
  <si>
    <t xml:space="preserve">Técnico administrativo educacional </t>
  </si>
  <si>
    <t>geovana.conquistadoeste2021@gmail.com</t>
  </si>
  <si>
    <t>GEOVANA MARIA DE ALMEIDA ALVES</t>
  </si>
  <si>
    <t>São José dos Quatro Marcos</t>
  </si>
  <si>
    <t>055.557.541-16</t>
  </si>
  <si>
    <t>(65)99957-3144</t>
  </si>
  <si>
    <t>Agente Responsável Pela Prestação De Contas</t>
  </si>
  <si>
    <t>katianedasilvasantossilvasanto@gmail.com</t>
  </si>
  <si>
    <t xml:space="preserve">Katiane da Silva Santos </t>
  </si>
  <si>
    <t>Sapezal</t>
  </si>
  <si>
    <t>036.521.415-98</t>
  </si>
  <si>
    <t>(65)99920-4158</t>
  </si>
  <si>
    <t xml:space="preserve">Presidente </t>
  </si>
  <si>
    <t>ivanilda.matiasc@gmail.com</t>
  </si>
  <si>
    <t>Vale de São Domingos</t>
  </si>
  <si>
    <t xml:space="preserve">Ivanilda Matias Cáceres </t>
  </si>
  <si>
    <t>004.334.561-16</t>
  </si>
  <si>
    <t>(65)98469-6390</t>
  </si>
  <si>
    <t>Tecnico transporte escolar</t>
  </si>
  <si>
    <t>A aquisição do Marua</t>
  </si>
  <si>
    <t>lubulamark@hotmail.com</t>
  </si>
  <si>
    <t>Lucimar Maria diniz</t>
  </si>
  <si>
    <t>626.780.601-44</t>
  </si>
  <si>
    <t>(65)99629-6236</t>
  </si>
  <si>
    <t>SECRETARIA DE EDUCAÇÃO</t>
  </si>
  <si>
    <t>AINDA NÃO</t>
  </si>
  <si>
    <t>Total</t>
  </si>
  <si>
    <t>jairjt@gmail.com</t>
  </si>
  <si>
    <t>Jair José Teodoro</t>
  </si>
  <si>
    <t>276.972.742-72</t>
  </si>
  <si>
    <t>Munípios Inscritos</t>
  </si>
  <si>
    <t>(65)99282-6868</t>
  </si>
  <si>
    <t>Conselheiro</t>
  </si>
  <si>
    <t>brunoprogresso1991@hotmail.com</t>
  </si>
  <si>
    <t xml:space="preserve">Bruno fagundes Rodrigues borges </t>
  </si>
  <si>
    <t>320.747.388-11</t>
  </si>
  <si>
    <t>(11)98432-3159</t>
  </si>
  <si>
    <t>itamarjauru@gmail.com</t>
  </si>
  <si>
    <t xml:space="preserve">Itamar Lucas Rosa </t>
  </si>
  <si>
    <t>825.543.071-72</t>
  </si>
  <si>
    <t>(65)99607-3376</t>
  </si>
  <si>
    <t xml:space="preserve">Técnico na Secretaria de Educação </t>
  </si>
  <si>
    <t>nilton_lucato@hotmail.com</t>
  </si>
  <si>
    <t xml:space="preserve">Nilton Fernando Lucato </t>
  </si>
  <si>
    <t>219.439.348-00</t>
  </si>
  <si>
    <t>(65)99638-7598</t>
  </si>
  <si>
    <t xml:space="preserve">Técnico da secretaria municipal de educação </t>
  </si>
  <si>
    <t>michele.batistello@gmail.com</t>
  </si>
  <si>
    <t>MICHELE DUARTE MAILHO BATISTELLO</t>
  </si>
  <si>
    <t>890.945.731-72</t>
  </si>
  <si>
    <t>(65)99274-2638</t>
  </si>
  <si>
    <t>Agente Administrativo/Prestação de Contas</t>
  </si>
  <si>
    <t>gilcimarpf@gmail.com</t>
  </si>
  <si>
    <t xml:space="preserve">Gilcimar Pinto de Freitas </t>
  </si>
  <si>
    <t>645.314.739-49</t>
  </si>
  <si>
    <t>(65)99320-6969</t>
  </si>
  <si>
    <t xml:space="preserve">Vice-presidente </t>
  </si>
  <si>
    <t>transportecjmt@gmail.com</t>
  </si>
  <si>
    <t>VANESSA CRISTINA DE ALMEIDA</t>
  </si>
  <si>
    <t>004.966.541-36</t>
  </si>
  <si>
    <t>(65)99963-1507</t>
  </si>
  <si>
    <t>COORDENADORA  DE DESENVOLVIMENTO HUMANO DA EDUCAÇÃO</t>
  </si>
  <si>
    <t>nosso município foi a otimização das rotas por meio do planejamento periódico dos itinerários, considerando a localização dos estudantes e as condições das estradas. Essa ação possibilitou a redução do tempo de deslocamento, maior pontualidade no atendimento e melhor aproveitamento da frota disponível.</t>
  </si>
  <si>
    <t>elianabrferreira4@gmail.com</t>
  </si>
  <si>
    <t xml:space="preserve">Eliana Maria Ferreira </t>
  </si>
  <si>
    <t>041.666.226-92</t>
  </si>
  <si>
    <t>(65)99255-7172</t>
  </si>
  <si>
    <t xml:space="preserve">Representante dos Professores da Educação Básica Pública </t>
  </si>
  <si>
    <t>patybella.pn@gmail.com</t>
  </si>
  <si>
    <t xml:space="preserve">Patricia Do Nascimento Bezerra </t>
  </si>
  <si>
    <t>042.233.761-79</t>
  </si>
  <si>
    <t>(65)99672-8485</t>
  </si>
  <si>
    <t xml:space="preserve">Chefe de Setor de Transporte Escolar </t>
  </si>
  <si>
    <t>paulovictorrosa14@gmail.com</t>
  </si>
  <si>
    <t>Paulo Victor Rosa</t>
  </si>
  <si>
    <t>011.731.721-73</t>
  </si>
  <si>
    <t>(65)99995-0131</t>
  </si>
  <si>
    <t>Assessor Pedagógico/Presidente da Comissão do Transporte</t>
  </si>
  <si>
    <t xml:space="preserve">Compromisso </t>
  </si>
  <si>
    <t>navaferreira0202@gmail.com</t>
  </si>
  <si>
    <t>Edinalva ferreira da silva</t>
  </si>
  <si>
    <t>981.048.531-04</t>
  </si>
  <si>
    <t>(65)98417-4848</t>
  </si>
  <si>
    <t>Tecnico administrativo</t>
  </si>
  <si>
    <t>fpedrokeasy@gmail.com</t>
  </si>
  <si>
    <t xml:space="preserve">Pedro Amarildo Fernandes Toledo </t>
  </si>
  <si>
    <t>fpedrokessy@gmail.com</t>
  </si>
  <si>
    <t>704.928.871-36</t>
  </si>
  <si>
    <t>(65)98453-1412</t>
  </si>
  <si>
    <t xml:space="preserve">Membro </t>
  </si>
  <si>
    <t>tecenf977@gmail.com</t>
  </si>
  <si>
    <t xml:space="preserve">José Bernardo dos Santos Filho </t>
  </si>
  <si>
    <t>819.178.481-53</t>
  </si>
  <si>
    <t>(65)98434-5552</t>
  </si>
  <si>
    <t>Membro</t>
  </si>
  <si>
    <t>elisavitorhugo1982@gmail.com</t>
  </si>
  <si>
    <t>Elisabete Borges da Silva</t>
  </si>
  <si>
    <t>Elisavitorhugo1982@gmail.com</t>
  </si>
  <si>
    <t>004.304.751-36</t>
  </si>
  <si>
    <t>(65)99613-3098</t>
  </si>
  <si>
    <t>SECRETARIA EXECUTIVA DO CONSELHO</t>
  </si>
  <si>
    <t>elizangelafreitasdasilva38@gmail.com</t>
  </si>
  <si>
    <t>Elisangela Freitas da Silva Ramalho</t>
  </si>
  <si>
    <t>953.609.211-53</t>
  </si>
  <si>
    <t>(65)96851-1096</t>
  </si>
  <si>
    <t>assistente administrativo</t>
  </si>
  <si>
    <t>O transporte escolar de Pontes e Lacerda  tem sido referência em atendimento aos alunos que utilizam o transporte.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</si>
</sst>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 readingOrder="0" shrinkToFit="0" vertical="center" wrapText="0"/>
    </xf>
    <xf borderId="1" fillId="5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2" displayName="Form_Responses" name="Form_Responses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7" t="s">
        <v>6</v>
      </c>
      <c r="B1" s="7" t="s">
        <v>7</v>
      </c>
      <c r="C1" s="9" t="s">
        <v>9</v>
      </c>
      <c r="D1" s="9" t="s">
        <v>10</v>
      </c>
      <c r="E1" s="9" t="s">
        <v>11</v>
      </c>
      <c r="F1" s="9" t="s">
        <v>12</v>
      </c>
      <c r="G1" s="7" t="s">
        <v>13</v>
      </c>
      <c r="H1" s="9" t="s">
        <v>14</v>
      </c>
      <c r="I1" s="9" t="s">
        <v>15</v>
      </c>
      <c r="J1" s="9" t="s">
        <v>16</v>
      </c>
      <c r="K1" s="7" t="s">
        <v>17</v>
      </c>
      <c r="L1" s="9" t="s">
        <v>18</v>
      </c>
      <c r="M1" s="10" t="s">
        <v>20</v>
      </c>
    </row>
    <row r="2" ht="22.5" customHeight="1">
      <c r="A2" s="11">
        <v>46167.7370247338</v>
      </c>
      <c r="B2" s="12" t="s">
        <v>21</v>
      </c>
      <c r="C2" s="12" t="s">
        <v>22</v>
      </c>
      <c r="D2" s="12" t="s">
        <v>21</v>
      </c>
      <c r="E2" s="12" t="s">
        <v>23</v>
      </c>
      <c r="F2" s="13">
        <v>27979.0</v>
      </c>
      <c r="G2" s="12" t="s">
        <v>24</v>
      </c>
      <c r="H2" s="12" t="s">
        <v>25</v>
      </c>
      <c r="I2" s="12" t="s">
        <v>3</v>
      </c>
      <c r="J2" s="12" t="s">
        <v>26</v>
      </c>
      <c r="K2" s="14"/>
      <c r="L2" s="14"/>
      <c r="M2" s="12" t="s">
        <v>28</v>
      </c>
    </row>
    <row r="3" ht="22.5" customHeight="1">
      <c r="A3" s="11">
        <v>46168.5716434375</v>
      </c>
      <c r="B3" s="12" t="s">
        <v>29</v>
      </c>
      <c r="C3" s="12" t="s">
        <v>30</v>
      </c>
      <c r="D3" s="12" t="s">
        <v>29</v>
      </c>
      <c r="E3" s="12" t="s">
        <v>31</v>
      </c>
      <c r="F3" s="13">
        <v>31494.0</v>
      </c>
      <c r="G3" s="12" t="s">
        <v>33</v>
      </c>
      <c r="H3" s="12" t="s">
        <v>34</v>
      </c>
      <c r="I3" s="12" t="s">
        <v>3</v>
      </c>
      <c r="J3" s="12" t="s">
        <v>35</v>
      </c>
      <c r="K3" s="12" t="s">
        <v>36</v>
      </c>
      <c r="L3" s="14"/>
      <c r="M3" s="12" t="s">
        <v>28</v>
      </c>
    </row>
    <row r="4" ht="22.5" customHeight="1">
      <c r="A4" s="15">
        <v>46171.62448837963</v>
      </c>
      <c r="B4" s="16" t="s">
        <v>38</v>
      </c>
      <c r="C4" s="16" t="s">
        <v>39</v>
      </c>
      <c r="D4" s="16" t="s">
        <v>38</v>
      </c>
      <c r="E4" s="16" t="s">
        <v>40</v>
      </c>
      <c r="F4" s="17">
        <v>33394.0</v>
      </c>
      <c r="G4" s="16" t="s">
        <v>41</v>
      </c>
      <c r="H4" s="16" t="s">
        <v>43</v>
      </c>
      <c r="I4" s="16" t="s">
        <v>3</v>
      </c>
      <c r="J4" s="16" t="s">
        <v>44</v>
      </c>
      <c r="M4" s="16" t="s">
        <v>28</v>
      </c>
    </row>
    <row r="5" ht="22.5" customHeight="1">
      <c r="A5" s="15">
        <v>46174.60282493055</v>
      </c>
      <c r="B5" s="16" t="s">
        <v>45</v>
      </c>
      <c r="C5" s="16" t="s">
        <v>47</v>
      </c>
      <c r="D5" s="16" t="s">
        <v>45</v>
      </c>
      <c r="E5" s="16" t="s">
        <v>48</v>
      </c>
      <c r="F5" s="17">
        <v>30775.0</v>
      </c>
      <c r="G5" s="16" t="s">
        <v>49</v>
      </c>
      <c r="H5" s="16" t="s">
        <v>43</v>
      </c>
      <c r="I5" s="16" t="s">
        <v>3</v>
      </c>
      <c r="J5" s="16" t="s">
        <v>51</v>
      </c>
      <c r="M5" s="16" t="s">
        <v>28</v>
      </c>
    </row>
    <row r="6" ht="22.5" customHeight="1">
      <c r="A6" s="15">
        <v>46174.60498790509</v>
      </c>
      <c r="B6" s="16" t="s">
        <v>52</v>
      </c>
      <c r="C6" s="16" t="s">
        <v>53</v>
      </c>
      <c r="D6" s="16" t="s">
        <v>52</v>
      </c>
      <c r="E6" s="16" t="s">
        <v>55</v>
      </c>
      <c r="F6" s="17">
        <v>30586.0</v>
      </c>
      <c r="G6" s="16" t="s">
        <v>56</v>
      </c>
      <c r="H6" s="16" t="s">
        <v>43</v>
      </c>
      <c r="I6" s="16" t="s">
        <v>3</v>
      </c>
      <c r="J6" s="16" t="s">
        <v>57</v>
      </c>
      <c r="M6" s="16" t="s">
        <v>28</v>
      </c>
    </row>
    <row r="7" ht="22.5" customHeight="1">
      <c r="A7" s="15">
        <v>46183.61162650463</v>
      </c>
      <c r="B7" s="16" t="s">
        <v>58</v>
      </c>
      <c r="C7" s="16" t="s">
        <v>59</v>
      </c>
      <c r="D7" s="16" t="s">
        <v>58</v>
      </c>
      <c r="E7" s="16" t="s">
        <v>60</v>
      </c>
      <c r="F7" s="17">
        <v>33595.0</v>
      </c>
      <c r="G7" s="16" t="s">
        <v>61</v>
      </c>
      <c r="H7" s="16" t="s">
        <v>62</v>
      </c>
      <c r="I7" s="16" t="s">
        <v>3</v>
      </c>
      <c r="J7" s="16" t="s">
        <v>63</v>
      </c>
      <c r="K7" s="16" t="s">
        <v>64</v>
      </c>
      <c r="M7" s="16" t="s">
        <v>28</v>
      </c>
    </row>
    <row r="8" ht="22.5" customHeight="1">
      <c r="A8" s="15">
        <v>46183.62115909722</v>
      </c>
      <c r="B8" s="16" t="s">
        <v>65</v>
      </c>
      <c r="C8" s="16" t="s">
        <v>66</v>
      </c>
      <c r="D8" s="16" t="s">
        <v>65</v>
      </c>
      <c r="E8" s="16" t="s">
        <v>67</v>
      </c>
      <c r="F8" s="17">
        <v>34153.0</v>
      </c>
      <c r="G8" s="16" t="s">
        <v>68</v>
      </c>
      <c r="H8" s="16" t="s">
        <v>62</v>
      </c>
      <c r="I8" s="16" t="s">
        <v>3</v>
      </c>
      <c r="J8" s="16" t="s">
        <v>69</v>
      </c>
      <c r="M8" s="16" t="s">
        <v>28</v>
      </c>
    </row>
    <row r="9" ht="22.5" customHeight="1">
      <c r="A9" s="15">
        <v>46183.635092453704</v>
      </c>
      <c r="B9" s="16" t="s">
        <v>70</v>
      </c>
      <c r="C9" s="16" t="s">
        <v>71</v>
      </c>
      <c r="D9" s="16" t="s">
        <v>70</v>
      </c>
      <c r="E9" s="16" t="s">
        <v>72</v>
      </c>
      <c r="F9" s="17">
        <v>29109.0</v>
      </c>
      <c r="G9" s="16" t="s">
        <v>73</v>
      </c>
      <c r="H9" s="16" t="s">
        <v>62</v>
      </c>
      <c r="I9" s="16" t="s">
        <v>2</v>
      </c>
      <c r="L9" s="16" t="s">
        <v>74</v>
      </c>
      <c r="M9" s="16" t="s">
        <v>28</v>
      </c>
    </row>
    <row r="10" ht="22.5" customHeight="1">
      <c r="A10" s="15">
        <v>46183.642291516204</v>
      </c>
      <c r="B10" s="16" t="s">
        <v>75</v>
      </c>
      <c r="C10" s="16" t="s">
        <v>77</v>
      </c>
      <c r="D10" s="16" t="s">
        <v>75</v>
      </c>
      <c r="E10" s="16" t="s">
        <v>78</v>
      </c>
      <c r="F10" s="17">
        <v>46183.0</v>
      </c>
      <c r="G10" s="16" t="s">
        <v>79</v>
      </c>
      <c r="H10" s="16" t="s">
        <v>62</v>
      </c>
      <c r="I10" s="16" t="s">
        <v>2</v>
      </c>
      <c r="L10" s="16" t="s">
        <v>80</v>
      </c>
      <c r="M10" s="16" t="s">
        <v>28</v>
      </c>
    </row>
    <row r="11" ht="22.5" customHeight="1">
      <c r="A11" s="15">
        <v>46184.52719596065</v>
      </c>
      <c r="B11" s="16" t="s">
        <v>82</v>
      </c>
      <c r="C11" s="16" t="s">
        <v>83</v>
      </c>
      <c r="D11" s="16" t="s">
        <v>82</v>
      </c>
      <c r="E11" s="16" t="s">
        <v>84</v>
      </c>
      <c r="F11" s="17">
        <v>34546.0</v>
      </c>
      <c r="G11" s="16" t="s">
        <v>85</v>
      </c>
      <c r="H11" s="16" t="s">
        <v>86</v>
      </c>
      <c r="I11" s="16" t="s">
        <v>3</v>
      </c>
      <c r="J11" s="16" t="s">
        <v>87</v>
      </c>
      <c r="M11" s="16" t="s">
        <v>28</v>
      </c>
    </row>
    <row r="12" ht="22.5" customHeight="1">
      <c r="A12" s="15">
        <v>46184.52925392361</v>
      </c>
      <c r="B12" s="16" t="s">
        <v>89</v>
      </c>
      <c r="C12" s="16" t="s">
        <v>90</v>
      </c>
      <c r="D12" s="16" t="s">
        <v>89</v>
      </c>
      <c r="E12" s="16" t="s">
        <v>91</v>
      </c>
      <c r="F12" s="17">
        <v>34109.0</v>
      </c>
      <c r="G12" s="16" t="s">
        <v>92</v>
      </c>
      <c r="H12" s="16" t="s">
        <v>86</v>
      </c>
      <c r="I12" s="16" t="s">
        <v>2</v>
      </c>
      <c r="L12" s="16" t="s">
        <v>93</v>
      </c>
      <c r="M12" s="16" t="s">
        <v>28</v>
      </c>
    </row>
    <row r="13" ht="22.5" customHeight="1">
      <c r="A13" s="15">
        <v>46188.433818171296</v>
      </c>
      <c r="B13" s="16" t="s">
        <v>94</v>
      </c>
      <c r="C13" s="16" t="s">
        <v>95</v>
      </c>
      <c r="D13" s="16" t="s">
        <v>94</v>
      </c>
      <c r="E13" s="16" t="s">
        <v>96</v>
      </c>
      <c r="F13" s="17">
        <v>38767.0</v>
      </c>
      <c r="G13" s="16" t="s">
        <v>97</v>
      </c>
      <c r="H13" s="16" t="s">
        <v>37</v>
      </c>
      <c r="I13" s="16" t="s">
        <v>3</v>
      </c>
      <c r="J13" s="16" t="s">
        <v>99</v>
      </c>
      <c r="M13" s="16" t="s">
        <v>28</v>
      </c>
    </row>
    <row r="14" ht="22.5" customHeight="1">
      <c r="A14" s="15">
        <v>46188.50152525463</v>
      </c>
      <c r="B14" s="16" t="s">
        <v>100</v>
      </c>
      <c r="C14" s="16" t="s">
        <v>101</v>
      </c>
      <c r="D14" s="16" t="s">
        <v>100</v>
      </c>
      <c r="E14" s="16" t="s">
        <v>103</v>
      </c>
      <c r="F14" s="17">
        <v>35449.0</v>
      </c>
      <c r="G14" s="16" t="s">
        <v>104</v>
      </c>
      <c r="H14" s="16" t="s">
        <v>27</v>
      </c>
      <c r="I14" s="16" t="s">
        <v>3</v>
      </c>
      <c r="J14" s="16" t="s">
        <v>105</v>
      </c>
      <c r="M14" s="16" t="s">
        <v>28</v>
      </c>
    </row>
    <row r="15" ht="22.5" customHeight="1">
      <c r="A15" s="15">
        <v>46188.539651354164</v>
      </c>
      <c r="B15" s="16" t="s">
        <v>106</v>
      </c>
      <c r="C15" s="16" t="s">
        <v>107</v>
      </c>
      <c r="D15" s="16" t="s">
        <v>106</v>
      </c>
      <c r="E15" s="16" t="s">
        <v>109</v>
      </c>
      <c r="F15" s="17">
        <v>32317.0</v>
      </c>
      <c r="G15" s="16" t="s">
        <v>110</v>
      </c>
      <c r="H15" s="16" t="s">
        <v>27</v>
      </c>
      <c r="I15" s="16" t="s">
        <v>2</v>
      </c>
      <c r="L15" s="16" t="s">
        <v>111</v>
      </c>
      <c r="M15" s="16" t="s">
        <v>28</v>
      </c>
    </row>
    <row r="16" ht="22.5" customHeight="1">
      <c r="A16" s="15">
        <v>46188.73101340278</v>
      </c>
      <c r="B16" s="16" t="s">
        <v>112</v>
      </c>
      <c r="C16" s="16" t="s">
        <v>114</v>
      </c>
      <c r="D16" s="16" t="s">
        <v>112</v>
      </c>
      <c r="E16" s="16" t="s">
        <v>115</v>
      </c>
      <c r="F16" s="17">
        <v>27163.0</v>
      </c>
      <c r="G16" s="16" t="s">
        <v>116</v>
      </c>
      <c r="H16" s="16" t="s">
        <v>27</v>
      </c>
      <c r="I16" s="16" t="s">
        <v>3</v>
      </c>
      <c r="J16" s="16" t="s">
        <v>117</v>
      </c>
      <c r="K16" s="16" t="s">
        <v>118</v>
      </c>
      <c r="M16" s="16" t="s">
        <v>28</v>
      </c>
    </row>
    <row r="17" ht="22.5" customHeight="1">
      <c r="A17" s="15">
        <v>46189.5019391088</v>
      </c>
      <c r="B17" s="16" t="s">
        <v>119</v>
      </c>
      <c r="C17" s="16" t="s">
        <v>120</v>
      </c>
      <c r="D17" s="16" t="s">
        <v>119</v>
      </c>
      <c r="E17" s="16" t="s">
        <v>121</v>
      </c>
      <c r="F17" s="17">
        <v>28113.0</v>
      </c>
      <c r="G17" s="16" t="s">
        <v>122</v>
      </c>
      <c r="H17" s="16" t="s">
        <v>81</v>
      </c>
      <c r="I17" s="16" t="s">
        <v>3</v>
      </c>
      <c r="J17" s="16" t="s">
        <v>123</v>
      </c>
      <c r="K17" s="16" t="s">
        <v>124</v>
      </c>
      <c r="M17" s="16" t="s">
        <v>28</v>
      </c>
    </row>
    <row r="18" ht="22.5" customHeight="1">
      <c r="A18" s="15">
        <v>46189.57740825231</v>
      </c>
      <c r="B18" s="16" t="s">
        <v>126</v>
      </c>
      <c r="C18" s="16" t="s">
        <v>127</v>
      </c>
      <c r="D18" s="16" t="s">
        <v>126</v>
      </c>
      <c r="E18" s="16" t="s">
        <v>128</v>
      </c>
      <c r="F18" s="17">
        <v>25005.0</v>
      </c>
      <c r="G18" s="16" t="s">
        <v>130</v>
      </c>
      <c r="H18" s="16" t="s">
        <v>19</v>
      </c>
      <c r="I18" s="16" t="s">
        <v>2</v>
      </c>
      <c r="L18" s="16" t="s">
        <v>131</v>
      </c>
      <c r="M18" s="16" t="s">
        <v>28</v>
      </c>
    </row>
    <row r="19" ht="22.5" customHeight="1">
      <c r="A19" s="15">
        <v>46189.58349077546</v>
      </c>
      <c r="B19" s="16" t="s">
        <v>132</v>
      </c>
      <c r="C19" s="16" t="s">
        <v>133</v>
      </c>
      <c r="D19" s="16" t="s">
        <v>132</v>
      </c>
      <c r="E19" s="16" t="s">
        <v>134</v>
      </c>
      <c r="F19" s="17">
        <v>33367.0</v>
      </c>
      <c r="G19" s="16" t="s">
        <v>135</v>
      </c>
      <c r="H19" s="16" t="s">
        <v>81</v>
      </c>
      <c r="I19" s="16" t="s">
        <v>2</v>
      </c>
      <c r="L19" s="16" t="s">
        <v>111</v>
      </c>
      <c r="M19" s="16" t="s">
        <v>28</v>
      </c>
    </row>
    <row r="20" ht="22.5" customHeight="1">
      <c r="A20" s="15">
        <v>46189.634026388885</v>
      </c>
      <c r="B20" s="16" t="s">
        <v>136</v>
      </c>
      <c r="C20" s="16" t="s">
        <v>137</v>
      </c>
      <c r="D20" s="16" t="s">
        <v>136</v>
      </c>
      <c r="E20" s="16" t="s">
        <v>138</v>
      </c>
      <c r="F20" s="17">
        <v>28485.0</v>
      </c>
      <c r="G20" s="16" t="s">
        <v>139</v>
      </c>
      <c r="H20" s="16" t="s">
        <v>50</v>
      </c>
      <c r="I20" s="16" t="s">
        <v>3</v>
      </c>
      <c r="J20" s="16" t="s">
        <v>140</v>
      </c>
      <c r="M20" s="16" t="s">
        <v>28</v>
      </c>
    </row>
    <row r="21" ht="22.5" customHeight="1">
      <c r="A21" s="15">
        <v>46189.65552983797</v>
      </c>
      <c r="B21" s="16" t="s">
        <v>141</v>
      </c>
      <c r="C21" s="16" t="s">
        <v>142</v>
      </c>
      <c r="D21" s="16" t="s">
        <v>141</v>
      </c>
      <c r="E21" s="16" t="s">
        <v>143</v>
      </c>
      <c r="F21" s="17">
        <v>30030.0</v>
      </c>
      <c r="G21" s="16" t="s">
        <v>144</v>
      </c>
      <c r="H21" s="16" t="s">
        <v>50</v>
      </c>
      <c r="I21" s="16" t="s">
        <v>3</v>
      </c>
      <c r="J21" s="16" t="s">
        <v>145</v>
      </c>
      <c r="M21" s="16" t="s">
        <v>28</v>
      </c>
    </row>
    <row r="22" ht="22.5" customHeight="1">
      <c r="A22" s="15">
        <v>46189.677704375004</v>
      </c>
      <c r="B22" s="16" t="s">
        <v>146</v>
      </c>
      <c r="C22" s="16" t="s">
        <v>147</v>
      </c>
      <c r="D22" s="16" t="s">
        <v>146</v>
      </c>
      <c r="E22" s="16" t="s">
        <v>148</v>
      </c>
      <c r="F22" s="17">
        <v>28080.0</v>
      </c>
      <c r="G22" s="16" t="s">
        <v>149</v>
      </c>
      <c r="H22" s="16" t="s">
        <v>8</v>
      </c>
      <c r="I22" s="16" t="s">
        <v>3</v>
      </c>
      <c r="J22" s="16" t="s">
        <v>150</v>
      </c>
      <c r="M22" s="16" t="s">
        <v>28</v>
      </c>
    </row>
    <row r="23" ht="22.5" customHeight="1">
      <c r="A23" s="15">
        <v>46189.68998592593</v>
      </c>
      <c r="B23" s="16" t="s">
        <v>151</v>
      </c>
      <c r="C23" s="16" t="s">
        <v>152</v>
      </c>
      <c r="D23" s="16" t="s">
        <v>151</v>
      </c>
      <c r="E23" s="16" t="s">
        <v>153</v>
      </c>
      <c r="F23" s="17">
        <v>23800.0</v>
      </c>
      <c r="G23" s="16" t="s">
        <v>154</v>
      </c>
      <c r="H23" s="16" t="s">
        <v>50</v>
      </c>
      <c r="I23" s="16" t="s">
        <v>2</v>
      </c>
      <c r="L23" s="16" t="s">
        <v>155</v>
      </c>
      <c r="M23" s="16" t="s">
        <v>28</v>
      </c>
    </row>
    <row r="24" ht="22.5" customHeight="1">
      <c r="A24" s="15">
        <v>46189.69319603009</v>
      </c>
      <c r="B24" s="16" t="s">
        <v>156</v>
      </c>
      <c r="C24" s="16" t="s">
        <v>157</v>
      </c>
      <c r="D24" s="16" t="s">
        <v>156</v>
      </c>
      <c r="E24" s="16" t="s">
        <v>158</v>
      </c>
      <c r="F24" s="17">
        <v>30174.0</v>
      </c>
      <c r="G24" s="16" t="s">
        <v>159</v>
      </c>
      <c r="H24" s="16" t="s">
        <v>8</v>
      </c>
      <c r="I24" s="16" t="s">
        <v>3</v>
      </c>
      <c r="J24" s="16" t="s">
        <v>160</v>
      </c>
      <c r="K24" s="16" t="s">
        <v>161</v>
      </c>
      <c r="M24" s="16" t="s">
        <v>28</v>
      </c>
    </row>
    <row r="25" ht="22.5" customHeight="1">
      <c r="A25" s="15">
        <v>46189.721542824074</v>
      </c>
      <c r="B25" s="16" t="s">
        <v>162</v>
      </c>
      <c r="C25" s="16" t="s">
        <v>163</v>
      </c>
      <c r="D25" s="16" t="s">
        <v>162</v>
      </c>
      <c r="E25" s="16" t="s">
        <v>164</v>
      </c>
      <c r="F25" s="17">
        <v>27607.0</v>
      </c>
      <c r="G25" s="16" t="s">
        <v>165</v>
      </c>
      <c r="H25" s="16" t="s">
        <v>50</v>
      </c>
      <c r="I25" s="16" t="s">
        <v>2</v>
      </c>
      <c r="L25" s="16" t="s">
        <v>166</v>
      </c>
      <c r="M25" s="16" t="s">
        <v>28</v>
      </c>
    </row>
    <row r="26" ht="22.5" customHeight="1">
      <c r="A26" s="15">
        <v>46190.418867291664</v>
      </c>
      <c r="B26" s="16" t="s">
        <v>167</v>
      </c>
      <c r="C26" s="16" t="s">
        <v>168</v>
      </c>
      <c r="D26" s="16" t="s">
        <v>167</v>
      </c>
      <c r="E26" s="16" t="s">
        <v>169</v>
      </c>
      <c r="F26" s="17">
        <v>34602.0</v>
      </c>
      <c r="G26" s="16" t="s">
        <v>170</v>
      </c>
      <c r="H26" s="16" t="s">
        <v>25</v>
      </c>
      <c r="I26" s="16" t="s">
        <v>3</v>
      </c>
      <c r="J26" s="16" t="s">
        <v>171</v>
      </c>
      <c r="M26" s="16" t="s">
        <v>28</v>
      </c>
    </row>
    <row r="27" ht="22.5" customHeight="1">
      <c r="A27" s="15">
        <v>46190.71236171296</v>
      </c>
      <c r="B27" s="16" t="s">
        <v>172</v>
      </c>
      <c r="C27" s="16" t="s">
        <v>173</v>
      </c>
      <c r="D27" s="16" t="s">
        <v>172</v>
      </c>
      <c r="E27" s="16" t="s">
        <v>174</v>
      </c>
      <c r="F27" s="17">
        <v>31377.0</v>
      </c>
      <c r="G27" s="16" t="s">
        <v>175</v>
      </c>
      <c r="H27" s="16" t="s">
        <v>8</v>
      </c>
      <c r="I27" s="16" t="s">
        <v>3</v>
      </c>
      <c r="J27" s="16" t="s">
        <v>176</v>
      </c>
      <c r="K27" s="16" t="s">
        <v>177</v>
      </c>
      <c r="M27" s="16" t="s">
        <v>28</v>
      </c>
    </row>
    <row r="28" ht="22.5" customHeight="1">
      <c r="A28" s="15">
        <v>46191.5748390625</v>
      </c>
      <c r="B28" s="16" t="s">
        <v>178</v>
      </c>
      <c r="C28" s="16" t="s">
        <v>179</v>
      </c>
      <c r="D28" s="16" t="s">
        <v>178</v>
      </c>
      <c r="E28" s="16" t="s">
        <v>180</v>
      </c>
      <c r="F28" s="17">
        <v>28270.0</v>
      </c>
      <c r="G28" s="16" t="s">
        <v>181</v>
      </c>
      <c r="H28" s="16" t="s">
        <v>81</v>
      </c>
      <c r="I28" s="16" t="s">
        <v>3</v>
      </c>
      <c r="J28" s="16" t="s">
        <v>182</v>
      </c>
      <c r="M28" s="16" t="s">
        <v>28</v>
      </c>
    </row>
    <row r="29" ht="22.5" customHeight="1">
      <c r="A29" s="15">
        <v>46195.63568905093</v>
      </c>
      <c r="B29" s="16" t="s">
        <v>183</v>
      </c>
      <c r="C29" s="16" t="s">
        <v>184</v>
      </c>
      <c r="D29" s="16" t="s">
        <v>185</v>
      </c>
      <c r="E29" s="16" t="s">
        <v>186</v>
      </c>
      <c r="F29" s="17">
        <v>37019.0</v>
      </c>
      <c r="G29" s="16" t="s">
        <v>187</v>
      </c>
      <c r="H29" s="16" t="s">
        <v>32</v>
      </c>
      <c r="I29" s="16" t="s">
        <v>2</v>
      </c>
      <c r="L29" s="16" t="s">
        <v>188</v>
      </c>
      <c r="M29" s="16" t="s">
        <v>28</v>
      </c>
    </row>
    <row r="30" ht="22.5" customHeight="1">
      <c r="A30" s="15">
        <v>46195.63587972222</v>
      </c>
      <c r="B30" s="16" t="s">
        <v>189</v>
      </c>
      <c r="C30" s="16" t="s">
        <v>190</v>
      </c>
      <c r="D30" s="16" t="s">
        <v>189</v>
      </c>
      <c r="E30" s="16" t="s">
        <v>191</v>
      </c>
      <c r="F30" s="17">
        <v>28563.0</v>
      </c>
      <c r="G30" s="16" t="s">
        <v>192</v>
      </c>
      <c r="H30" s="16" t="s">
        <v>32</v>
      </c>
      <c r="I30" s="16" t="s">
        <v>2</v>
      </c>
      <c r="L30" s="16" t="s">
        <v>193</v>
      </c>
      <c r="M30" s="16" t="s">
        <v>28</v>
      </c>
    </row>
    <row r="31" ht="22.5" customHeight="1">
      <c r="A31" s="15">
        <v>46195.75513300926</v>
      </c>
      <c r="B31" s="16" t="s">
        <v>194</v>
      </c>
      <c r="C31" s="16" t="s">
        <v>195</v>
      </c>
      <c r="D31" s="16" t="s">
        <v>196</v>
      </c>
      <c r="E31" s="16" t="s">
        <v>197</v>
      </c>
      <c r="F31" s="17">
        <v>30083.0</v>
      </c>
      <c r="G31" s="16" t="s">
        <v>198</v>
      </c>
      <c r="H31" s="16" t="s">
        <v>32</v>
      </c>
      <c r="I31" s="16" t="s">
        <v>2</v>
      </c>
      <c r="L31" s="16" t="s">
        <v>199</v>
      </c>
      <c r="M31" s="16" t="s">
        <v>28</v>
      </c>
    </row>
    <row r="32" ht="22.5" customHeight="1">
      <c r="A32" s="15">
        <v>46197.375694953706</v>
      </c>
      <c r="B32" s="16" t="s">
        <v>200</v>
      </c>
      <c r="C32" s="16" t="s">
        <v>201</v>
      </c>
      <c r="D32" s="16" t="s">
        <v>200</v>
      </c>
      <c r="E32" s="16" t="s">
        <v>202</v>
      </c>
      <c r="F32" s="17">
        <v>29166.0</v>
      </c>
      <c r="G32" s="16" t="s">
        <v>203</v>
      </c>
      <c r="H32" s="16" t="s">
        <v>25</v>
      </c>
      <c r="I32" s="16" t="s">
        <v>3</v>
      </c>
      <c r="J32" s="16" t="s">
        <v>204</v>
      </c>
      <c r="K32" s="16" t="s">
        <v>205</v>
      </c>
      <c r="M32" s="16" t="s">
        <v>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3" max="5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>
      <c r="A2" s="4" t="s">
        <v>5</v>
      </c>
      <c r="B2" s="5">
        <f>COUNTIF('Respostas ao formulário 1'!$H$2:$H$262,A2)</f>
        <v>0</v>
      </c>
      <c r="C2" s="6">
        <f>COUNTIFS('Respostas ao formulário 1'!$H$2:$H$237,$A2,'Respostas ao formulário 1'!$I$2:$I$237,C$1)</f>
        <v>0</v>
      </c>
      <c r="D2" s="8">
        <f>COUNTIFS('Respostas ao formulário 1'!$H$2:$H$237,$A2,'Respostas ao formulário 1'!$I$2:$I$237,D$1)</f>
        <v>0</v>
      </c>
    </row>
    <row r="3">
      <c r="A3" s="4" t="s">
        <v>8</v>
      </c>
      <c r="B3" s="5">
        <f>COUNTIF('Respostas ao formulário 1'!$H$2:$H$262,A3)</f>
        <v>3</v>
      </c>
      <c r="C3" s="6">
        <f>COUNTIFS('Respostas ao formulário 1'!$H$2:$H$237,$A3,'Respostas ao formulário 1'!$I$2:$I$237,C$1)</f>
        <v>0</v>
      </c>
      <c r="D3" s="8">
        <f>COUNTIFS('Respostas ao formulário 1'!$H$2:$H$237,$A3,'Respostas ao formulário 1'!$I$2:$I$237,D$1)</f>
        <v>3</v>
      </c>
    </row>
    <row r="4">
      <c r="A4" s="4" t="s">
        <v>19</v>
      </c>
      <c r="B4" s="5">
        <f>COUNTIF('Respostas ao formulário 1'!$H$2:$H$262,A4)</f>
        <v>1</v>
      </c>
      <c r="C4" s="6">
        <f>COUNTIFS('Respostas ao formulário 1'!$H$2:$H$237,$A4,'Respostas ao formulário 1'!$I$2:$I$237,C$1)</f>
        <v>1</v>
      </c>
      <c r="D4" s="6">
        <f>COUNTIFS('Respostas ao formulário 1'!$H$2:$H$237,$A4,'Respostas ao formulário 1'!$I$2:$I$237,D$1)</f>
        <v>0</v>
      </c>
    </row>
    <row r="5">
      <c r="A5" s="4" t="s">
        <v>27</v>
      </c>
      <c r="B5" s="5">
        <f>COUNTIF('Respostas ao formulário 1'!$H$2:$H$262,A5)</f>
        <v>3</v>
      </c>
      <c r="C5" s="8">
        <f>COUNTIFS('Respostas ao formulário 1'!$H$2:$H$237,$A5,'Respostas ao formulário 1'!$I$2:$I$237,C$1)</f>
        <v>1</v>
      </c>
      <c r="D5" s="8">
        <f>COUNTIFS('Respostas ao formulário 1'!$H$2:$H$237,$A5,'Respostas ao formulário 1'!$I$2:$I$237,D$1)</f>
        <v>2</v>
      </c>
    </row>
    <row r="6">
      <c r="A6" s="4" t="s">
        <v>32</v>
      </c>
      <c r="B6" s="5">
        <f>COUNTIF('Respostas ao formulário 1'!$H$2:$H$262,A6)</f>
        <v>3</v>
      </c>
      <c r="C6" s="6">
        <f>COUNTIFS('Respostas ao formulário 1'!$H$2:$H$237,$A6,'Respostas ao formulário 1'!$I$2:$I$237,C$1)</f>
        <v>3</v>
      </c>
      <c r="D6" s="8">
        <f>COUNTIFS('Respostas ao formulário 1'!$H$2:$H$237,$A6,'Respostas ao formulário 1'!$I$2:$I$237,D$1)</f>
        <v>0</v>
      </c>
    </row>
    <row r="7">
      <c r="A7" s="4" t="s">
        <v>37</v>
      </c>
      <c r="B7" s="5">
        <f>COUNTIF('Respostas ao formulário 1'!$H$2:$H$262,A7)</f>
        <v>1</v>
      </c>
      <c r="C7" s="6">
        <f>COUNTIFS('Respostas ao formulário 1'!$H$2:$H$237,$A7,'Respostas ao formulário 1'!$I$2:$I$237,C$1)</f>
        <v>0</v>
      </c>
      <c r="D7" s="8">
        <f>COUNTIFS('Respostas ao formulário 1'!$H$2:$H$237,$A7,'Respostas ao formulário 1'!$I$2:$I$237,D$1)</f>
        <v>1</v>
      </c>
    </row>
    <row r="8">
      <c r="A8" s="4" t="s">
        <v>42</v>
      </c>
      <c r="B8" s="5">
        <f>COUNTIF('Respostas ao formulário 1'!$H$2:$H$262,A8)</f>
        <v>0</v>
      </c>
      <c r="C8" s="6">
        <f>COUNTIFS('Respostas ao formulário 1'!$H$2:$H$237,$A8,'Respostas ao formulário 1'!$I$2:$I$237,C$1)</f>
        <v>0</v>
      </c>
      <c r="D8" s="8">
        <f>COUNTIFS('Respostas ao formulário 1'!$H$2:$H$237,$A8,'Respostas ao formulário 1'!$I$2:$I$237,D$1)</f>
        <v>0</v>
      </c>
    </row>
    <row r="9">
      <c r="A9" s="4" t="s">
        <v>46</v>
      </c>
      <c r="B9" s="5">
        <f>COUNTIF('Respostas ao formulário 1'!$H$2:$H$262,A9)</f>
        <v>0</v>
      </c>
      <c r="C9" s="8">
        <f>COUNTIFS('Respostas ao formulário 1'!$H$2:$H$237,$A9,'Respostas ao formulário 1'!$I$2:$I$237,C$1)</f>
        <v>0</v>
      </c>
      <c r="D9" s="8">
        <f>COUNTIFS('Respostas ao formulário 1'!$H$2:$H$237,$A9,'Respostas ao formulário 1'!$I$2:$I$237,D$1)</f>
        <v>0</v>
      </c>
    </row>
    <row r="10">
      <c r="A10" s="4" t="s">
        <v>50</v>
      </c>
      <c r="B10" s="5">
        <f>COUNTIF('Respostas ao formulário 1'!$H$2:$H$262,A10)</f>
        <v>4</v>
      </c>
      <c r="C10" s="8">
        <f>COUNTIFS('Respostas ao formulário 1'!$H$2:$H$237,$A10,'Respostas ao formulário 1'!$I$2:$I$237,C$1)</f>
        <v>2</v>
      </c>
      <c r="D10" s="6">
        <f>COUNTIFS('Respostas ao formulário 1'!$H$2:$H$237,$A10,'Respostas ao formulário 1'!$I$2:$I$237,D$1)</f>
        <v>2</v>
      </c>
    </row>
    <row r="11">
      <c r="A11" s="4" t="s">
        <v>54</v>
      </c>
      <c r="B11" s="5">
        <f>COUNTIF('Respostas ao formulário 1'!$H$2:$H$262,A11)</f>
        <v>0</v>
      </c>
      <c r="C11" s="6">
        <f>COUNTIFS('Respostas ao formulário 1'!$H$2:$H$237,$A11,'Respostas ao formulário 1'!$I$2:$I$237,C$1)</f>
        <v>0</v>
      </c>
      <c r="D11" s="6">
        <f>COUNTIFS('Respostas ao formulário 1'!$H$2:$H$237,$A11,'Respostas ao formulário 1'!$I$2:$I$237,D$1)</f>
        <v>0</v>
      </c>
    </row>
    <row r="12">
      <c r="A12" s="4" t="s">
        <v>34</v>
      </c>
      <c r="B12" s="5">
        <f>COUNTIF('Respostas ao formulário 1'!$H$2:$H$262,A12)</f>
        <v>1</v>
      </c>
      <c r="C12" s="6">
        <f>COUNTIFS('Respostas ao formulário 1'!$H$2:$H$237,$A12,'Respostas ao formulário 1'!$I$2:$I$237,C$1)</f>
        <v>0</v>
      </c>
      <c r="D12" s="6">
        <f>COUNTIFS('Respostas ao formulário 1'!$H$2:$H$237,$A12,'Respostas ao formulário 1'!$I$2:$I$237,D$1)</f>
        <v>1</v>
      </c>
      <c r="E12" s="18">
        <f>SUM(C2:D12)</f>
        <v>16</v>
      </c>
    </row>
    <row r="13">
      <c r="A13" s="4" t="s">
        <v>43</v>
      </c>
      <c r="B13" s="5">
        <f>COUNTIF('Respostas ao formulário 1'!$H$2:$H$262,A13)</f>
        <v>3</v>
      </c>
      <c r="C13" s="6">
        <f>COUNTIFS('Respostas ao formulário 1'!$H$2:$H$237,$A13,'Respostas ao formulário 1'!$I$2:$I$237,C$1)</f>
        <v>0</v>
      </c>
      <c r="D13" s="6">
        <f>COUNTIFS('Respostas ao formulário 1'!$H$2:$H$237,$A13,'Respostas ao formulário 1'!$I$2:$I$237,D$1)</f>
        <v>3</v>
      </c>
    </row>
    <row r="14">
      <c r="A14" s="4" t="s">
        <v>25</v>
      </c>
      <c r="B14" s="5">
        <f>COUNTIF('Respostas ao formulário 1'!$H$2:$H$262,A14)</f>
        <v>3</v>
      </c>
      <c r="C14" s="6">
        <f>COUNTIFS('Respostas ao formulário 1'!$H$2:$H$237,$A14,'Respostas ao formulário 1'!$I$2:$I$237,C$1)</f>
        <v>0</v>
      </c>
      <c r="D14" s="6">
        <f>COUNTIFS('Respostas ao formulário 1'!$H$2:$H$237,$A14,'Respostas ao formulário 1'!$I$2:$I$237,D$1)</f>
        <v>3</v>
      </c>
    </row>
    <row r="15">
      <c r="A15" s="4" t="s">
        <v>76</v>
      </c>
      <c r="B15" s="5">
        <f>COUNTIF('Respostas ao formulário 1'!$H$2:$H$262,A15)</f>
        <v>0</v>
      </c>
      <c r="C15" s="6">
        <f>COUNTIFS('Respostas ao formulário 1'!$H$2:$H$237,$A15,'Respostas ao formulário 1'!$I$2:$I$237,C$1)</f>
        <v>0</v>
      </c>
      <c r="D15" s="6">
        <f>COUNTIFS('Respostas ao formulário 1'!$H$2:$H$237,$A15,'Respostas ao formulário 1'!$I$2:$I$237,D$1)</f>
        <v>0</v>
      </c>
    </row>
    <row r="16">
      <c r="A16" s="4" t="s">
        <v>81</v>
      </c>
      <c r="B16" s="5">
        <f>COUNTIF('Respostas ao formulário 1'!$H$2:$H$262,A16)</f>
        <v>3</v>
      </c>
      <c r="C16" s="6">
        <f>COUNTIFS('Respostas ao formulário 1'!$H$2:$H$237,$A16,'Respostas ao formulário 1'!$I$2:$I$237,C$1)</f>
        <v>1</v>
      </c>
      <c r="D16" s="6">
        <f>COUNTIFS('Respostas ao formulário 1'!$H$2:$H$237,$A16,'Respostas ao formulário 1'!$I$2:$I$237,D$1)</f>
        <v>2</v>
      </c>
    </row>
    <row r="17">
      <c r="A17" s="4" t="s">
        <v>88</v>
      </c>
      <c r="B17" s="5">
        <f>COUNTIF('Respostas ao formulário 1'!$H$2:$H$262,A17)</f>
        <v>0</v>
      </c>
      <c r="C17" s="8">
        <f>COUNTIFS('Respostas ao formulário 1'!$H$2:$H$237,$A17,'Respostas ao formulário 1'!$I$2:$I$237,C$1)</f>
        <v>0</v>
      </c>
      <c r="D17" s="8">
        <f>COUNTIFS('Respostas ao formulário 1'!$H$2:$H$237,$A17,'Respostas ao formulário 1'!$I$2:$I$237,D$1)</f>
        <v>0</v>
      </c>
    </row>
    <row r="18" ht="17.25" customHeight="1">
      <c r="A18" s="4" t="s">
        <v>86</v>
      </c>
      <c r="B18" s="5">
        <f>COUNTIF('Respostas ao formulário 1'!$H$2:$H$262,A18)</f>
        <v>2</v>
      </c>
      <c r="C18" s="6">
        <f>COUNTIFS('Respostas ao formulário 1'!$H$2:$H$237,$A18,'Respostas ao formulário 1'!$I$2:$I$237,C$1)</f>
        <v>1</v>
      </c>
      <c r="D18" s="6">
        <f>COUNTIFS('Respostas ao formulário 1'!$H$2:$H$237,$A18,'Respostas ao formulário 1'!$I$2:$I$237,D$1)</f>
        <v>1</v>
      </c>
    </row>
    <row r="19">
      <c r="A19" s="4" t="s">
        <v>98</v>
      </c>
      <c r="B19" s="5">
        <f>COUNTIF('Respostas ao formulário 1'!$H$2:$H$262,A19)</f>
        <v>0</v>
      </c>
      <c r="C19" s="6">
        <f>COUNTIFS('Respostas ao formulário 1'!$H$2:$H$237,$A19,'Respostas ao formulário 1'!$I$2:$I$237,C$1)</f>
        <v>0</v>
      </c>
      <c r="D19" s="6">
        <f>COUNTIFS('Respostas ao formulário 1'!$H$2:$H$237,$A19,'Respostas ao formulário 1'!$I$2:$I$237,D$1)</f>
        <v>0</v>
      </c>
    </row>
    <row r="20">
      <c r="A20" s="4" t="s">
        <v>102</v>
      </c>
      <c r="B20" s="5">
        <f>COUNTIF('Respostas ao formulário 1'!$H$2:$H$262,A20)</f>
        <v>0</v>
      </c>
      <c r="C20" s="6">
        <f>COUNTIFS('Respostas ao formulário 1'!$H$2:$H$237,$A20,'Respostas ao formulário 1'!$I$2:$I$237,C$1)</f>
        <v>0</v>
      </c>
      <c r="D20" s="6">
        <f>COUNTIFS('Respostas ao formulário 1'!$H$2:$H$237,$A20,'Respostas ao formulário 1'!$I$2:$I$237,D$1)</f>
        <v>0</v>
      </c>
    </row>
    <row r="21">
      <c r="A21" s="4" t="s">
        <v>108</v>
      </c>
      <c r="B21" s="5">
        <f>COUNTIF('Respostas ao formulário 1'!$H$2:$H$262,A21)</f>
        <v>0</v>
      </c>
      <c r="C21" s="6">
        <f>COUNTIFS('Respostas ao formulário 1'!$H$2:$H$237,$A21,'Respostas ao formulário 1'!$I$2:$I$237,C$1)</f>
        <v>0</v>
      </c>
      <c r="D21" s="6">
        <f>COUNTIFS('Respostas ao formulário 1'!$H$2:$H$237,$A21,'Respostas ao formulário 1'!$I$2:$I$237,D$1)</f>
        <v>0</v>
      </c>
    </row>
    <row r="22">
      <c r="A22" s="4" t="s">
        <v>113</v>
      </c>
      <c r="B22" s="5">
        <f>COUNTIF('Respostas ao formulário 1'!$H$2:$H$262,A22)</f>
        <v>0</v>
      </c>
      <c r="C22" s="6">
        <f>COUNTIFS('Respostas ao formulário 1'!$H$2:$H$237,$A22,'Respostas ao formulário 1'!$I$2:$I$237,C$1)</f>
        <v>0</v>
      </c>
      <c r="D22" s="6">
        <f>COUNTIFS('Respostas ao formulário 1'!$H$2:$H$237,$A22,'Respostas ao formulário 1'!$I$2:$I$237,D$1)</f>
        <v>0</v>
      </c>
    </row>
    <row r="23">
      <c r="A23" s="4" t="s">
        <v>62</v>
      </c>
      <c r="B23" s="5">
        <f>COUNTIF('Respostas ao formulário 1'!$H$2:$H$262,A23)</f>
        <v>4</v>
      </c>
      <c r="C23" s="6">
        <f>COUNTIFS('Respostas ao formulário 1'!$H$2:$H$237,$A23,'Respostas ao formulário 1'!$I$2:$I$237,C$1)</f>
        <v>2</v>
      </c>
      <c r="D23" s="6">
        <f>COUNTIFS('Respostas ao formulário 1'!$H$2:$H$237,$A23,'Respostas ao formulário 1'!$I$2:$I$237,D$1)</f>
        <v>2</v>
      </c>
      <c r="E23" s="18">
        <f>SUM(C13:D23)</f>
        <v>15</v>
      </c>
    </row>
    <row r="24">
      <c r="A24" s="19" t="s">
        <v>125</v>
      </c>
      <c r="B24" s="20">
        <f t="shared" ref="B24:D24" si="1">SUM(B2:B23)</f>
        <v>31</v>
      </c>
      <c r="C24" s="20">
        <f t="shared" si="1"/>
        <v>11</v>
      </c>
      <c r="D24" s="20">
        <f t="shared" si="1"/>
        <v>20</v>
      </c>
    </row>
    <row r="25">
      <c r="A25" s="19" t="s">
        <v>129</v>
      </c>
      <c r="B25" s="21"/>
      <c r="C25" s="20">
        <f t="shared" ref="C25:D25" si="2">COUNTIF(C2:C23,"&gt;0")</f>
        <v>7</v>
      </c>
      <c r="D25" s="20">
        <f t="shared" si="2"/>
        <v>10</v>
      </c>
    </row>
    <row r="26">
      <c r="A26" s="22"/>
      <c r="B26" s="2" t="s">
        <v>1</v>
      </c>
      <c r="C26" s="2" t="s">
        <v>2</v>
      </c>
      <c r="D26" s="2" t="s">
        <v>3</v>
      </c>
    </row>
  </sheetData>
  <conditionalFormatting sqref="C2:D23">
    <cfRule type="cellIs" dxfId="5" priority="1" operator="greaterThanOrEqual">
      <formula>1</formula>
    </cfRule>
  </conditionalFormatting>
  <conditionalFormatting sqref="C2:D23">
    <cfRule type="cellIs" dxfId="6" priority="2" operator="equal">
      <formula>0</formula>
    </cfRule>
  </conditionalFormatting>
  <drawing r:id="rId1"/>
</worksheet>
</file>